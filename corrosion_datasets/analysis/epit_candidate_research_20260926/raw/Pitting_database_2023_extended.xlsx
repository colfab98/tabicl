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046754\Documents\Master Statistics - Data Science\Master Thesis\"/>
    </mc:Choice>
  </mc:AlternateContent>
  <xr:revisionPtr revIDLastSave="0" documentId="13_ncr:1_{F556D984-2287-4A05-8323-3E5614EDEA80}" xr6:coauthVersionLast="47" xr6:coauthVersionMax="47" xr10:uidLastSave="{00000000-0000-0000-0000-000000000000}"/>
  <bookViews>
    <workbookView xWindow="-108" yWindow="-108" windowWidth="23256" windowHeight="12576" xr2:uid="{16206DF6-7941-45CF-9F54-0E851D96B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03" i="1" l="1"/>
  <c r="T504" i="1"/>
  <c r="T490" i="1"/>
  <c r="T491" i="1"/>
  <c r="T492" i="1"/>
  <c r="T493" i="1"/>
  <c r="T494" i="1"/>
  <c r="T505" i="1"/>
  <c r="T506" i="1"/>
  <c r="T507" i="1"/>
  <c r="T508" i="1"/>
  <c r="T509" i="1"/>
  <c r="T515" i="1"/>
  <c r="T516" i="1"/>
  <c r="T517" i="1"/>
  <c r="T518" i="1"/>
  <c r="T519" i="1"/>
  <c r="T485" i="1"/>
  <c r="T486" i="1"/>
  <c r="T487" i="1"/>
  <c r="T488" i="1"/>
  <c r="T489" i="1"/>
  <c r="T495" i="1"/>
  <c r="T496" i="1"/>
  <c r="T497" i="1"/>
  <c r="T498" i="1"/>
  <c r="T499" i="1"/>
  <c r="T520" i="1"/>
  <c r="T521" i="1"/>
  <c r="T522" i="1"/>
  <c r="T523" i="1"/>
  <c r="T524" i="1"/>
  <c r="T535" i="1"/>
  <c r="T536" i="1"/>
  <c r="T537" i="1"/>
  <c r="T538" i="1"/>
  <c r="T539" i="1"/>
  <c r="T525" i="1"/>
  <c r="T526" i="1"/>
  <c r="T527" i="1"/>
  <c r="T528" i="1"/>
  <c r="T529" i="1"/>
  <c r="T545" i="1"/>
  <c r="T546" i="1"/>
  <c r="T547" i="1"/>
  <c r="T548" i="1"/>
  <c r="T549" i="1"/>
  <c r="T510" i="1"/>
  <c r="T511" i="1"/>
  <c r="T512" i="1"/>
  <c r="T513" i="1"/>
  <c r="T514" i="1"/>
  <c r="T540" i="1"/>
  <c r="T541" i="1"/>
  <c r="T542" i="1"/>
  <c r="T543" i="1"/>
  <c r="T544" i="1"/>
  <c r="T530" i="1"/>
  <c r="T531" i="1"/>
  <c r="T532" i="1"/>
  <c r="T533" i="1"/>
  <c r="T534" i="1"/>
  <c r="T559" i="1"/>
  <c r="T558" i="1"/>
  <c r="T557" i="1"/>
  <c r="T370" i="1"/>
  <c r="T371" i="1"/>
  <c r="T372" i="1"/>
  <c r="T364" i="1"/>
  <c r="T368" i="1"/>
  <c r="T369" i="1"/>
  <c r="T363" i="1"/>
  <c r="T366" i="1"/>
  <c r="T367" i="1"/>
  <c r="T365" i="1"/>
  <c r="T379" i="1"/>
  <c r="T376" i="1"/>
  <c r="T373" i="1"/>
  <c r="T377" i="1"/>
  <c r="T380" i="1"/>
  <c r="T375" i="1"/>
  <c r="T381" i="1"/>
  <c r="T374" i="1"/>
  <c r="T378" i="1"/>
  <c r="T328" i="1"/>
  <c r="T329" i="1"/>
  <c r="T337" i="1"/>
  <c r="T330" i="1"/>
  <c r="T338" i="1"/>
  <c r="T324" i="1"/>
  <c r="T326" i="1"/>
  <c r="T331" i="1"/>
  <c r="T339" i="1"/>
  <c r="T325" i="1"/>
  <c r="T327" i="1"/>
  <c r="T384" i="1"/>
  <c r="T386" i="1"/>
  <c r="T382" i="1"/>
  <c r="T385" i="1"/>
  <c r="T387" i="1"/>
  <c r="T383" i="1"/>
  <c r="T604" i="1"/>
  <c r="T605" i="1"/>
  <c r="T598" i="1"/>
  <c r="T592" i="1"/>
  <c r="T606" i="1"/>
  <c r="T607" i="1"/>
  <c r="T599" i="1"/>
  <c r="T593" i="1"/>
  <c r="T568" i="1"/>
  <c r="T580" i="1"/>
  <c r="T586" i="1"/>
  <c r="T574" i="1"/>
  <c r="T569" i="1"/>
  <c r="T581" i="1"/>
  <c r="T587" i="1"/>
  <c r="T575" i="1"/>
  <c r="T608" i="1"/>
  <c r="T609" i="1"/>
  <c r="T600" i="1"/>
  <c r="T594" i="1"/>
  <c r="T610" i="1"/>
  <c r="T611" i="1"/>
  <c r="T601" i="1"/>
  <c r="T595" i="1"/>
  <c r="T570" i="1"/>
  <c r="T582" i="1"/>
  <c r="T588" i="1"/>
  <c r="T576" i="1"/>
  <c r="T571" i="1"/>
  <c r="T583" i="1"/>
  <c r="T589" i="1"/>
  <c r="T577" i="1"/>
  <c r="T612" i="1"/>
  <c r="T613" i="1"/>
  <c r="T602" i="1"/>
  <c r="T596" i="1"/>
  <c r="T614" i="1"/>
  <c r="T615" i="1"/>
  <c r="T603" i="1"/>
  <c r="T597" i="1"/>
  <c r="T572" i="1"/>
  <c r="T584" i="1"/>
  <c r="T590" i="1"/>
  <c r="T578" i="1"/>
  <c r="T573" i="1"/>
  <c r="T585" i="1"/>
  <c r="T591" i="1"/>
  <c r="T579" i="1"/>
  <c r="T401" i="1"/>
  <c r="T392" i="1"/>
  <c r="T403" i="1"/>
  <c r="T394" i="1"/>
  <c r="T388" i="1"/>
  <c r="T389" i="1"/>
  <c r="T402" i="1"/>
  <c r="T393" i="1"/>
  <c r="T404" i="1"/>
  <c r="T395" i="1"/>
  <c r="T390" i="1"/>
  <c r="T391" i="1"/>
  <c r="T396" i="1"/>
  <c r="T397" i="1"/>
  <c r="T398" i="1"/>
  <c r="T399" i="1"/>
  <c r="T400" i="1"/>
  <c r="T550" i="1"/>
  <c r="T551" i="1"/>
  <c r="T552" i="1"/>
  <c r="T553" i="1"/>
  <c r="T409" i="1"/>
  <c r="T411" i="1"/>
  <c r="T410" i="1"/>
  <c r="T412" i="1"/>
  <c r="T408" i="1"/>
  <c r="T407" i="1"/>
  <c r="T457" i="1"/>
  <c r="T458" i="1"/>
  <c r="T459" i="1"/>
  <c r="T460" i="1"/>
  <c r="T554" i="1"/>
  <c r="T86" i="1"/>
  <c r="T87" i="1"/>
  <c r="T88" i="1"/>
  <c r="T89" i="1"/>
  <c r="T90" i="1"/>
  <c r="T91" i="1"/>
  <c r="T92" i="1"/>
  <c r="T93" i="1"/>
  <c r="T108" i="1"/>
  <c r="T105" i="1"/>
  <c r="T106" i="1"/>
  <c r="T107" i="1"/>
  <c r="T109" i="1"/>
  <c r="T104" i="1"/>
  <c r="T110" i="1"/>
  <c r="T361" i="1"/>
  <c r="T362" i="1"/>
  <c r="T360" i="1"/>
  <c r="T359" i="1"/>
  <c r="T356" i="1"/>
  <c r="T357" i="1"/>
  <c r="T358" i="1"/>
  <c r="T355" i="1"/>
  <c r="T222" i="1"/>
  <c r="T217" i="1"/>
  <c r="T223" i="1"/>
  <c r="T216" i="1"/>
  <c r="T218" i="1"/>
  <c r="T219" i="1"/>
  <c r="T214" i="1"/>
  <c r="T220" i="1"/>
  <c r="T224" i="1"/>
  <c r="T225" i="1"/>
  <c r="T226" i="1"/>
  <c r="T227" i="1"/>
  <c r="T228" i="1"/>
  <c r="T229" i="1"/>
  <c r="T212" i="1"/>
  <c r="T213" i="1"/>
  <c r="T215" i="1"/>
  <c r="T221" i="1"/>
  <c r="T452" i="1"/>
  <c r="T453" i="1"/>
  <c r="T454" i="1"/>
  <c r="T455" i="1"/>
  <c r="T423" i="1"/>
  <c r="T424" i="1"/>
  <c r="T619" i="1"/>
  <c r="T405" i="1"/>
  <c r="T406" i="1"/>
  <c r="T66" i="1"/>
  <c r="T62" i="1"/>
  <c r="T70" i="1"/>
  <c r="T67" i="1"/>
  <c r="T63" i="1"/>
  <c r="T71" i="1"/>
  <c r="T68" i="1"/>
  <c r="T64" i="1"/>
  <c r="T72" i="1"/>
  <c r="T69" i="1"/>
  <c r="T65" i="1"/>
  <c r="T73" i="1"/>
  <c r="T312" i="1"/>
  <c r="T313" i="1"/>
  <c r="T322" i="1"/>
  <c r="T314" i="1"/>
  <c r="T315" i="1"/>
  <c r="T316" i="1"/>
  <c r="T317" i="1"/>
  <c r="T318" i="1"/>
  <c r="T319" i="1"/>
  <c r="T320" i="1"/>
  <c r="T294" i="1"/>
  <c r="T305" i="1"/>
  <c r="T298" i="1"/>
  <c r="T307" i="1"/>
  <c r="T303" i="1"/>
  <c r="T310" i="1"/>
  <c r="T309" i="1"/>
  <c r="T297" i="1"/>
  <c r="T299" i="1"/>
  <c r="T321" i="1"/>
  <c r="T323" i="1"/>
  <c r="T300" i="1"/>
  <c r="T302" i="1"/>
  <c r="T295" i="1"/>
  <c r="T306" i="1"/>
  <c r="T308" i="1"/>
  <c r="T304" i="1"/>
  <c r="T311" i="1"/>
  <c r="T296" i="1"/>
  <c r="T301" i="1"/>
  <c r="T237" i="1"/>
  <c r="T238" i="1"/>
  <c r="T239" i="1"/>
  <c r="T231" i="1"/>
  <c r="T236" i="1"/>
  <c r="T233" i="1"/>
  <c r="T230" i="1"/>
  <c r="T234" i="1"/>
  <c r="T235" i="1"/>
  <c r="T232" i="1"/>
  <c r="T246" i="1"/>
  <c r="T243" i="1"/>
  <c r="T240" i="1"/>
  <c r="T244" i="1"/>
  <c r="T247" i="1"/>
  <c r="T242" i="1"/>
  <c r="T248" i="1"/>
  <c r="T241" i="1"/>
  <c r="T245" i="1"/>
  <c r="T186" i="1"/>
  <c r="T182" i="1"/>
  <c r="T180" i="1"/>
  <c r="T184" i="1"/>
  <c r="T188" i="1"/>
  <c r="T187" i="1"/>
  <c r="T183" i="1"/>
  <c r="T181" i="1"/>
  <c r="T185" i="1"/>
  <c r="T189" i="1"/>
  <c r="T200" i="1"/>
  <c r="T202" i="1"/>
  <c r="T206" i="1"/>
  <c r="T204" i="1"/>
  <c r="T207" i="1"/>
  <c r="T208" i="1"/>
  <c r="T201" i="1"/>
  <c r="T203" i="1"/>
  <c r="T209" i="1"/>
  <c r="T205" i="1"/>
  <c r="T210" i="1"/>
  <c r="T211" i="1"/>
  <c r="T483" i="1"/>
  <c r="T484" i="1"/>
  <c r="T650" i="1"/>
  <c r="T648" i="1"/>
  <c r="T646" i="1"/>
  <c r="T644" i="1"/>
  <c r="T652" i="1"/>
  <c r="T651" i="1"/>
  <c r="T649" i="1"/>
  <c r="T647" i="1"/>
  <c r="T645" i="1"/>
  <c r="T556" i="1"/>
  <c r="T555" i="1"/>
  <c r="T249" i="1"/>
  <c r="T250" i="1"/>
  <c r="T112" i="1"/>
  <c r="T111" i="1"/>
  <c r="T113" i="1"/>
  <c r="T120" i="1"/>
  <c r="T114" i="1"/>
  <c r="T115" i="1"/>
  <c r="T116" i="1"/>
  <c r="T117" i="1"/>
  <c r="T118" i="1"/>
  <c r="T119" i="1"/>
  <c r="T121" i="1"/>
  <c r="T122" i="1"/>
  <c r="T123" i="1"/>
  <c r="T124" i="1"/>
  <c r="T125" i="1"/>
  <c r="T344" i="1"/>
  <c r="T345" i="1"/>
  <c r="T346" i="1"/>
  <c r="T347" i="1"/>
  <c r="T348" i="1"/>
  <c r="T341" i="1"/>
  <c r="T342" i="1"/>
  <c r="T3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4" i="1"/>
  <c r="T75" i="1"/>
  <c r="T78" i="1"/>
  <c r="T77" i="1"/>
  <c r="T76" i="1"/>
  <c r="T81" i="1"/>
  <c r="T82" i="1"/>
  <c r="T83" i="1"/>
  <c r="T79" i="1"/>
  <c r="T80" i="1"/>
  <c r="T84" i="1"/>
  <c r="T8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37" i="1"/>
  <c r="T39" i="1"/>
  <c r="T40" i="1"/>
  <c r="T38" i="1"/>
  <c r="T33" i="1"/>
  <c r="T41" i="1"/>
  <c r="T42" i="1"/>
  <c r="T43" i="1"/>
  <c r="T28" i="1"/>
  <c r="T34" i="1"/>
  <c r="T35" i="1"/>
  <c r="T36" i="1"/>
  <c r="T29" i="1"/>
  <c r="T30" i="1"/>
  <c r="T31" i="1"/>
  <c r="T32" i="1"/>
  <c r="T168" i="1"/>
  <c r="T144" i="1"/>
  <c r="T172" i="1"/>
  <c r="T164" i="1"/>
  <c r="T156" i="1"/>
  <c r="T132" i="1"/>
  <c r="T152" i="1"/>
  <c r="T148" i="1"/>
  <c r="T128" i="1"/>
  <c r="T140" i="1"/>
  <c r="T136" i="1"/>
  <c r="T169" i="1"/>
  <c r="T145" i="1"/>
  <c r="T173" i="1"/>
  <c r="T165" i="1"/>
  <c r="T157" i="1"/>
  <c r="T133" i="1"/>
  <c r="T153" i="1"/>
  <c r="T149" i="1"/>
  <c r="T129" i="1"/>
  <c r="T141" i="1"/>
  <c r="T137" i="1"/>
  <c r="T178" i="1"/>
  <c r="T170" i="1"/>
  <c r="T146" i="1"/>
  <c r="T174" i="1"/>
  <c r="T166" i="1"/>
  <c r="T176" i="1"/>
  <c r="T158" i="1"/>
  <c r="T134" i="1"/>
  <c r="T162" i="1"/>
  <c r="T154" i="1"/>
  <c r="T150" i="1"/>
  <c r="T126" i="1"/>
  <c r="T159" i="1"/>
  <c r="T130" i="1"/>
  <c r="T142" i="1"/>
  <c r="T138" i="1"/>
  <c r="T179" i="1"/>
  <c r="T171" i="1"/>
  <c r="T147" i="1"/>
  <c r="T175" i="1"/>
  <c r="T167" i="1"/>
  <c r="T177" i="1"/>
  <c r="T160" i="1"/>
  <c r="T135" i="1"/>
  <c r="T163" i="1"/>
  <c r="T155" i="1"/>
  <c r="T151" i="1"/>
  <c r="T127" i="1"/>
  <c r="T161" i="1"/>
  <c r="T131" i="1"/>
  <c r="T143" i="1"/>
  <c r="T139" i="1"/>
  <c r="T94" i="1"/>
  <c r="T95" i="1"/>
  <c r="T96" i="1"/>
  <c r="T97" i="1"/>
  <c r="T98" i="1"/>
  <c r="T99" i="1"/>
  <c r="T100" i="1"/>
  <c r="T101" i="1"/>
  <c r="T102" i="1"/>
  <c r="T103" i="1"/>
  <c r="T413" i="1"/>
  <c r="T415" i="1"/>
  <c r="T417" i="1"/>
  <c r="T418" i="1"/>
  <c r="T414" i="1"/>
  <c r="T416" i="1"/>
  <c r="T419" i="1"/>
  <c r="T420" i="1"/>
  <c r="T431" i="1"/>
  <c r="T432" i="1"/>
  <c r="T433" i="1"/>
  <c r="T434" i="1"/>
  <c r="T435" i="1"/>
  <c r="T436" i="1"/>
  <c r="T425" i="1"/>
  <c r="T426" i="1"/>
  <c r="T427" i="1"/>
  <c r="T428" i="1"/>
  <c r="T429" i="1"/>
  <c r="T430" i="1"/>
  <c r="T461" i="1"/>
  <c r="T462" i="1"/>
  <c r="T463" i="1"/>
  <c r="T464" i="1"/>
  <c r="T465" i="1"/>
  <c r="T466" i="1"/>
  <c r="T467" i="1"/>
  <c r="T468" i="1"/>
  <c r="T469" i="1"/>
  <c r="T470" i="1"/>
  <c r="T194" i="1"/>
  <c r="T192" i="1"/>
  <c r="T193" i="1"/>
  <c r="T190" i="1"/>
  <c r="T191" i="1"/>
  <c r="T195" i="1"/>
  <c r="T197" i="1"/>
  <c r="T199" i="1"/>
  <c r="T198" i="1"/>
  <c r="T196" i="1"/>
  <c r="T354" i="1"/>
  <c r="T353" i="1"/>
  <c r="T332" i="1"/>
  <c r="T333" i="1"/>
  <c r="T340" i="1"/>
  <c r="T334" i="1"/>
  <c r="T335" i="1"/>
  <c r="T336" i="1"/>
  <c r="T564" i="1"/>
  <c r="T563" i="1"/>
  <c r="T562" i="1"/>
  <c r="T561" i="1"/>
  <c r="T560" i="1"/>
  <c r="T565" i="1"/>
  <c r="T566" i="1"/>
  <c r="T567" i="1"/>
  <c r="T421" i="1"/>
  <c r="T422" i="1"/>
  <c r="T349" i="1"/>
  <c r="T351" i="1"/>
  <c r="T352" i="1"/>
  <c r="T350" i="1"/>
  <c r="T616" i="1"/>
  <c r="T617" i="1"/>
  <c r="T618" i="1"/>
  <c r="T1019" i="1"/>
  <c r="T1051" i="1"/>
  <c r="T1031" i="1"/>
  <c r="T1079" i="1"/>
  <c r="T1027" i="1"/>
  <c r="T1095" i="1"/>
  <c r="T1075" i="1"/>
  <c r="T1023" i="1"/>
  <c r="T1011" i="1"/>
  <c r="T1015" i="1"/>
  <c r="T1059" i="1"/>
  <c r="T1071" i="1"/>
  <c r="T1035" i="1"/>
  <c r="T1083" i="1"/>
  <c r="T1091" i="1"/>
  <c r="T1087" i="1"/>
  <c r="T1007" i="1"/>
  <c r="T1063" i="1"/>
  <c r="T1043" i="1"/>
  <c r="T1067" i="1"/>
  <c r="T1055" i="1"/>
  <c r="T1039" i="1"/>
  <c r="T1047" i="1"/>
  <c r="T1020" i="1"/>
  <c r="T1052" i="1"/>
  <c r="T1032" i="1"/>
  <c r="T1080" i="1"/>
  <c r="T1028" i="1"/>
  <c r="T1096" i="1"/>
  <c r="T1076" i="1"/>
  <c r="T1024" i="1"/>
  <c r="T1012" i="1"/>
  <c r="T1016" i="1"/>
  <c r="T1060" i="1"/>
  <c r="T1072" i="1"/>
  <c r="T1036" i="1"/>
  <c r="T1084" i="1"/>
  <c r="T1092" i="1"/>
  <c r="T1088" i="1"/>
  <c r="T1008" i="1"/>
  <c r="T1064" i="1"/>
  <c r="T1044" i="1"/>
  <c r="T1068" i="1"/>
  <c r="T1056" i="1"/>
  <c r="T1040" i="1"/>
  <c r="T1048" i="1"/>
  <c r="T1021" i="1"/>
  <c r="T1053" i="1"/>
  <c r="T1033" i="1"/>
  <c r="T1081" i="1"/>
  <c r="T1029" i="1"/>
  <c r="T1097" i="1"/>
  <c r="T1077" i="1"/>
  <c r="T1025" i="1"/>
  <c r="T1013" i="1"/>
  <c r="T1017" i="1"/>
  <c r="T1061" i="1"/>
  <c r="T1073" i="1"/>
  <c r="T1037" i="1"/>
  <c r="T1085" i="1"/>
  <c r="T1093" i="1"/>
  <c r="T1089" i="1"/>
  <c r="T1009" i="1"/>
  <c r="T1065" i="1"/>
  <c r="T1045" i="1"/>
  <c r="T1069" i="1"/>
  <c r="T1057" i="1"/>
  <c r="T1041" i="1"/>
  <c r="T1049" i="1"/>
  <c r="T1022" i="1"/>
  <c r="T1054" i="1"/>
  <c r="T1034" i="1"/>
  <c r="T1082" i="1"/>
  <c r="T1030" i="1"/>
  <c r="T1098" i="1"/>
  <c r="T1078" i="1"/>
  <c r="T1026" i="1"/>
  <c r="T1014" i="1"/>
  <c r="T1018" i="1"/>
  <c r="T1062" i="1"/>
  <c r="T1074" i="1"/>
  <c r="T1038" i="1"/>
  <c r="T1086" i="1"/>
  <c r="T1094" i="1"/>
  <c r="T1090" i="1"/>
  <c r="T1010" i="1"/>
  <c r="T1066" i="1"/>
  <c r="T1046" i="1"/>
  <c r="T1070" i="1"/>
  <c r="T1058" i="1"/>
  <c r="T1042" i="1"/>
  <c r="T1050" i="1"/>
  <c r="T456" i="1"/>
  <c r="T500" i="1"/>
  <c r="T501" i="1"/>
  <c r="T502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1994" i="1"/>
  <c r="T1995" i="1"/>
  <c r="T1996" i="1"/>
  <c r="T1997" i="1"/>
  <c r="T1998" i="1"/>
  <c r="T1999" i="1"/>
  <c r="T2027" i="1"/>
  <c r="T2028" i="1"/>
  <c r="T2029" i="1"/>
  <c r="T2030" i="1"/>
  <c r="T2031" i="1"/>
  <c r="T2024" i="1"/>
  <c r="T2025" i="1"/>
  <c r="T2032" i="1"/>
  <c r="T2026" i="1"/>
  <c r="T2033" i="1"/>
  <c r="T2034" i="1"/>
  <c r="T1280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82" i="1"/>
  <c r="T1483" i="1"/>
  <c r="T1484" i="1"/>
  <c r="T1485" i="1"/>
  <c r="T1486" i="1"/>
  <c r="T1487" i="1"/>
  <c r="T1500" i="1"/>
  <c r="T1501" i="1"/>
  <c r="T1502" i="1"/>
  <c r="T1503" i="1"/>
  <c r="T1504" i="1"/>
  <c r="T1505" i="1"/>
  <c r="T1476" i="1"/>
  <c r="T1477" i="1"/>
  <c r="T1478" i="1"/>
  <c r="T1479" i="1"/>
  <c r="T1480" i="1"/>
  <c r="T1481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931" i="1"/>
  <c r="T932" i="1"/>
  <c r="T933" i="1"/>
  <c r="T934" i="1"/>
  <c r="T935" i="1"/>
  <c r="T936" i="1"/>
  <c r="T937" i="1"/>
  <c r="T938" i="1"/>
  <c r="T939" i="1"/>
  <c r="T1130" i="1"/>
  <c r="T1131" i="1"/>
  <c r="T1132" i="1"/>
  <c r="T1106" i="1"/>
  <c r="T1099" i="1"/>
  <c r="T1100" i="1"/>
  <c r="T1107" i="1"/>
  <c r="T1118" i="1"/>
  <c r="T1119" i="1"/>
  <c r="T1142" i="1"/>
  <c r="T1120" i="1"/>
  <c r="T1148" i="1"/>
  <c r="T1143" i="1"/>
  <c r="T1110" i="1"/>
  <c r="T1111" i="1"/>
  <c r="T1121" i="1"/>
  <c r="T1122" i="1"/>
  <c r="T1133" i="1"/>
  <c r="T1134" i="1"/>
  <c r="T1112" i="1"/>
  <c r="T1113" i="1"/>
  <c r="T1135" i="1"/>
  <c r="T1101" i="1"/>
  <c r="T1102" i="1"/>
  <c r="T1108" i="1"/>
  <c r="T1123" i="1"/>
  <c r="T1124" i="1"/>
  <c r="T1125" i="1"/>
  <c r="T1136" i="1"/>
  <c r="T1126" i="1"/>
  <c r="T1144" i="1"/>
  <c r="T1137" i="1"/>
  <c r="T1114" i="1"/>
  <c r="T1103" i="1"/>
  <c r="T1104" i="1"/>
  <c r="T1109" i="1"/>
  <c r="T1127" i="1"/>
  <c r="T1128" i="1"/>
  <c r="T1105" i="1"/>
  <c r="T1138" i="1"/>
  <c r="T1129" i="1"/>
  <c r="T1145" i="1"/>
  <c r="T1139" i="1"/>
  <c r="T1115" i="1"/>
  <c r="T1151" i="1"/>
  <c r="T1149" i="1"/>
  <c r="T1152" i="1"/>
  <c r="T1140" i="1"/>
  <c r="T1116" i="1"/>
  <c r="T1146" i="1"/>
  <c r="T1153" i="1"/>
  <c r="T1150" i="1"/>
  <c r="T1154" i="1"/>
  <c r="T1141" i="1"/>
  <c r="T1117" i="1"/>
  <c r="T1147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440" i="1"/>
  <c r="T1442" i="1"/>
  <c r="T1446" i="1"/>
  <c r="T1443" i="1"/>
  <c r="T1441" i="1"/>
  <c r="T1444" i="1"/>
  <c r="T1447" i="1"/>
  <c r="T1445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1992" i="1"/>
  <c r="T1988" i="1"/>
  <c r="T1989" i="1"/>
  <c r="T1990" i="1"/>
  <c r="T1987" i="1"/>
  <c r="T1991" i="1"/>
  <c r="T1993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298" i="1"/>
  <c r="T1299" i="1"/>
  <c r="T1300" i="1"/>
  <c r="T1301" i="1"/>
  <c r="T1302" i="1"/>
  <c r="T1303" i="1"/>
  <c r="T1304" i="1"/>
  <c r="T1305" i="1"/>
  <c r="T1306" i="1"/>
  <c r="T1307" i="1"/>
  <c r="T1706" i="1"/>
  <c r="T1707" i="1"/>
  <c r="T1708" i="1"/>
  <c r="T1709" i="1"/>
  <c r="T1702" i="1"/>
  <c r="T1703" i="1"/>
  <c r="T1704" i="1"/>
  <c r="T1705" i="1"/>
  <c r="T1628" i="1"/>
  <c r="T1619" i="1"/>
  <c r="T1629" i="1"/>
  <c r="T1630" i="1"/>
  <c r="T1620" i="1"/>
  <c r="T1631" i="1"/>
  <c r="T1621" i="1"/>
  <c r="T1632" i="1"/>
  <c r="T1633" i="1"/>
  <c r="T1622" i="1"/>
  <c r="T1634" i="1"/>
  <c r="T1623" i="1"/>
  <c r="T1635" i="1"/>
  <c r="T1624" i="1"/>
  <c r="T1625" i="1"/>
  <c r="T1636" i="1"/>
  <c r="T1626" i="1"/>
  <c r="T1637" i="1"/>
  <c r="T1627" i="1"/>
  <c r="T1179" i="1"/>
  <c r="T1180" i="1"/>
  <c r="T1181" i="1"/>
  <c r="T1182" i="1"/>
  <c r="T1183" i="1"/>
  <c r="T1192" i="1"/>
  <c r="T1193" i="1"/>
  <c r="T1194" i="1"/>
  <c r="T1189" i="1"/>
  <c r="T1190" i="1"/>
  <c r="T1191" i="1"/>
  <c r="T1160" i="1"/>
  <c r="T1161" i="1"/>
  <c r="T1162" i="1"/>
  <c r="T1163" i="1"/>
  <c r="T1164" i="1"/>
  <c r="T1195" i="1"/>
  <c r="T1196" i="1"/>
  <c r="T1197" i="1"/>
  <c r="T1198" i="1"/>
  <c r="T1199" i="1"/>
  <c r="T1200" i="1"/>
  <c r="T1201" i="1"/>
  <c r="T1172" i="1"/>
  <c r="T1173" i="1"/>
  <c r="T1174" i="1"/>
  <c r="T1175" i="1"/>
  <c r="T1176" i="1"/>
  <c r="T1202" i="1"/>
  <c r="T1203" i="1"/>
  <c r="T1204" i="1"/>
  <c r="T1205" i="1"/>
  <c r="T1206" i="1"/>
  <c r="T1207" i="1"/>
  <c r="T1155" i="1"/>
  <c r="T1156" i="1"/>
  <c r="T1157" i="1"/>
  <c r="T1158" i="1"/>
  <c r="T1159" i="1"/>
  <c r="T1184" i="1"/>
  <c r="T1185" i="1"/>
  <c r="T1186" i="1"/>
  <c r="T1187" i="1"/>
  <c r="T1188" i="1"/>
  <c r="T1165" i="1"/>
  <c r="T1166" i="1"/>
  <c r="T1167" i="1"/>
  <c r="T1168" i="1"/>
  <c r="T1169" i="1"/>
  <c r="T1170" i="1"/>
  <c r="T1171" i="1"/>
  <c r="T1177" i="1"/>
  <c r="T1178" i="1"/>
  <c r="T1208" i="1"/>
  <c r="T1209" i="1"/>
  <c r="T1210" i="1"/>
  <c r="T1211" i="1"/>
  <c r="T1212" i="1"/>
  <c r="T1213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2304" i="1"/>
  <c r="T2305" i="1"/>
  <c r="T2409" i="1"/>
  <c r="T2420" i="1"/>
  <c r="T2379" i="1"/>
  <c r="T2390" i="1"/>
  <c r="T2292" i="1"/>
  <c r="T2283" i="1"/>
  <c r="T2356" i="1"/>
  <c r="T2346" i="1"/>
  <c r="T2369" i="1"/>
  <c r="T2399" i="1"/>
  <c r="T2429" i="1"/>
  <c r="T2335" i="1"/>
  <c r="T2324" i="1"/>
  <c r="T2306" i="1"/>
  <c r="T2307" i="1"/>
  <c r="T2410" i="1"/>
  <c r="T2421" i="1"/>
  <c r="T2380" i="1"/>
  <c r="T2391" i="1"/>
  <c r="T2293" i="1"/>
  <c r="T2284" i="1"/>
  <c r="T2357" i="1"/>
  <c r="T2347" i="1"/>
  <c r="T2370" i="1"/>
  <c r="T2400" i="1"/>
  <c r="T2430" i="1"/>
  <c r="T2336" i="1"/>
  <c r="T2325" i="1"/>
  <c r="T2308" i="1"/>
  <c r="T2309" i="1"/>
  <c r="T2411" i="1"/>
  <c r="T2422" i="1"/>
  <c r="T2381" i="1"/>
  <c r="T2392" i="1"/>
  <c r="T2294" i="1"/>
  <c r="T2285" i="1"/>
  <c r="T2358" i="1"/>
  <c r="T2348" i="1"/>
  <c r="T2371" i="1"/>
  <c r="T2401" i="1"/>
  <c r="T2431" i="1"/>
  <c r="T2337" i="1"/>
  <c r="T2326" i="1"/>
  <c r="T2310" i="1"/>
  <c r="T2311" i="1"/>
  <c r="T2412" i="1"/>
  <c r="T2423" i="1"/>
  <c r="T2382" i="1"/>
  <c r="T2393" i="1"/>
  <c r="T2295" i="1"/>
  <c r="T2286" i="1"/>
  <c r="T2359" i="1"/>
  <c r="T2349" i="1"/>
  <c r="T2372" i="1"/>
  <c r="T2402" i="1"/>
  <c r="T2432" i="1"/>
  <c r="T2338" i="1"/>
  <c r="T2327" i="1"/>
  <c r="T2312" i="1"/>
  <c r="T2313" i="1"/>
  <c r="T2413" i="1"/>
  <c r="T2424" i="1"/>
  <c r="T2383" i="1"/>
  <c r="T2394" i="1"/>
  <c r="T2296" i="1"/>
  <c r="T2287" i="1"/>
  <c r="T2360" i="1"/>
  <c r="T2350" i="1"/>
  <c r="T2373" i="1"/>
  <c r="T2403" i="1"/>
  <c r="T2433" i="1"/>
  <c r="T2339" i="1"/>
  <c r="T2328" i="1"/>
  <c r="T2314" i="1"/>
  <c r="T2315" i="1"/>
  <c r="T2414" i="1"/>
  <c r="T2425" i="1"/>
  <c r="T2384" i="1"/>
  <c r="T2395" i="1"/>
  <c r="T2297" i="1"/>
  <c r="T2288" i="1"/>
  <c r="T2361" i="1"/>
  <c r="T2351" i="1"/>
  <c r="T2374" i="1"/>
  <c r="T2404" i="1"/>
  <c r="T2434" i="1"/>
  <c r="T2340" i="1"/>
  <c r="T2329" i="1"/>
  <c r="T2316" i="1"/>
  <c r="T2317" i="1"/>
  <c r="T2415" i="1"/>
  <c r="T2426" i="1"/>
  <c r="T2385" i="1"/>
  <c r="T2396" i="1"/>
  <c r="T2298" i="1"/>
  <c r="T2289" i="1"/>
  <c r="T2362" i="1"/>
  <c r="T2341" i="1"/>
  <c r="T2330" i="1"/>
  <c r="T2318" i="1"/>
  <c r="T2416" i="1"/>
  <c r="T2386" i="1"/>
  <c r="T2299" i="1"/>
  <c r="T2363" i="1"/>
  <c r="T2352" i="1"/>
  <c r="T2375" i="1"/>
  <c r="T2405" i="1"/>
  <c r="T2435" i="1"/>
  <c r="T2342" i="1"/>
  <c r="T2331" i="1"/>
  <c r="T2319" i="1"/>
  <c r="T2417" i="1"/>
  <c r="T2387" i="1"/>
  <c r="T2300" i="1"/>
  <c r="T2364" i="1"/>
  <c r="T2353" i="1"/>
  <c r="T2376" i="1"/>
  <c r="T2406" i="1"/>
  <c r="T2436" i="1"/>
  <c r="T2343" i="1"/>
  <c r="T2332" i="1"/>
  <c r="T2301" i="1"/>
  <c r="T2365" i="1"/>
  <c r="T2437" i="1"/>
  <c r="T2366" i="1"/>
  <c r="T2320" i="1"/>
  <c r="T2321" i="1"/>
  <c r="T2418" i="1"/>
  <c r="T2427" i="1"/>
  <c r="T2388" i="1"/>
  <c r="T2397" i="1"/>
  <c r="T2302" i="1"/>
  <c r="T2290" i="1"/>
  <c r="T2367" i="1"/>
  <c r="T2354" i="1"/>
  <c r="T2377" i="1"/>
  <c r="T2407" i="1"/>
  <c r="T2438" i="1"/>
  <c r="T2344" i="1"/>
  <c r="T2333" i="1"/>
  <c r="T2322" i="1"/>
  <c r="T2323" i="1"/>
  <c r="T2419" i="1"/>
  <c r="T2428" i="1"/>
  <c r="T2389" i="1"/>
  <c r="T2398" i="1"/>
  <c r="T2303" i="1"/>
  <c r="T2291" i="1"/>
  <c r="T2368" i="1"/>
  <c r="T2355" i="1"/>
  <c r="T2378" i="1"/>
  <c r="T2408" i="1"/>
  <c r="T2439" i="1"/>
  <c r="T2345" i="1"/>
  <c r="T2334" i="1"/>
  <c r="T2226" i="1"/>
  <c r="T2227" i="1"/>
  <c r="T2250" i="1"/>
  <c r="T2251" i="1"/>
  <c r="T2252" i="1"/>
  <c r="T2253" i="1"/>
  <c r="T2246" i="1"/>
  <c r="T2247" i="1"/>
  <c r="T2248" i="1"/>
  <c r="T2249" i="1"/>
  <c r="T2228" i="1"/>
  <c r="T2229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13" i="1"/>
  <c r="T2214" i="1"/>
  <c r="T2215" i="1"/>
  <c r="T2216" i="1"/>
  <c r="T2230" i="1"/>
  <c r="T2231" i="1"/>
  <c r="T2232" i="1"/>
  <c r="T2233" i="1"/>
  <c r="T2234" i="1"/>
  <c r="T2235" i="1"/>
  <c r="T2274" i="1"/>
  <c r="T2275" i="1"/>
  <c r="T2276" i="1"/>
  <c r="T2217" i="1"/>
  <c r="T2218" i="1"/>
  <c r="T2219" i="1"/>
  <c r="T2220" i="1"/>
  <c r="T2236" i="1"/>
  <c r="T2237" i="1"/>
  <c r="T2238" i="1"/>
  <c r="T2277" i="1"/>
  <c r="T2278" i="1"/>
  <c r="T2279" i="1"/>
  <c r="T2280" i="1"/>
  <c r="T2281" i="1"/>
  <c r="T2221" i="1"/>
  <c r="T2239" i="1"/>
  <c r="T2240" i="1"/>
  <c r="T2241" i="1"/>
  <c r="T2282" i="1"/>
  <c r="T2222" i="1"/>
  <c r="T2223" i="1"/>
  <c r="T2224" i="1"/>
  <c r="T2225" i="1"/>
  <c r="T2242" i="1"/>
  <c r="T2243" i="1"/>
  <c r="T2244" i="1"/>
  <c r="T2245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850" i="1"/>
  <c r="T1851" i="1"/>
  <c r="T1852" i="1"/>
  <c r="T1853" i="1"/>
  <c r="T1854" i="1"/>
  <c r="T1855" i="1"/>
  <c r="T1856" i="1"/>
  <c r="T1857" i="1"/>
  <c r="T1858" i="1"/>
  <c r="T1859" i="1"/>
  <c r="T1860" i="1"/>
  <c r="T1323" i="1"/>
  <c r="T1324" i="1"/>
  <c r="T1325" i="1"/>
  <c r="T1326" i="1"/>
  <c r="T1327" i="1"/>
  <c r="T1318" i="1"/>
  <c r="T1319" i="1"/>
  <c r="T1320" i="1"/>
  <c r="T1321" i="1"/>
  <c r="T1322" i="1"/>
  <c r="T1308" i="1"/>
  <c r="T1309" i="1"/>
  <c r="T1310" i="1"/>
  <c r="T1311" i="1"/>
  <c r="T1312" i="1"/>
  <c r="T1313" i="1"/>
  <c r="T1314" i="1"/>
  <c r="T1315" i="1"/>
  <c r="T1316" i="1"/>
  <c r="T1317" i="1"/>
  <c r="T1328" i="1"/>
  <c r="T1329" i="1"/>
  <c r="T1330" i="1"/>
  <c r="T1331" i="1"/>
  <c r="T1332" i="1"/>
  <c r="T1333" i="1"/>
  <c r="T1334" i="1"/>
  <c r="T1335" i="1"/>
  <c r="T1336" i="1"/>
  <c r="T1337" i="1"/>
  <c r="T683" i="1"/>
  <c r="T684" i="1"/>
  <c r="T685" i="1"/>
  <c r="T686" i="1"/>
  <c r="T687" i="1"/>
  <c r="T688" i="1"/>
  <c r="T68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2000" i="1"/>
  <c r="AC931" i="1" l="1"/>
  <c r="AD447" i="1" l="1"/>
  <c r="AD446" i="1"/>
  <c r="AD442" i="1"/>
  <c r="AD437" i="1"/>
  <c r="N1705" i="1" l="1"/>
  <c r="N1704" i="1"/>
  <c r="N1703" i="1"/>
  <c r="N1702" i="1"/>
  <c r="N1709" i="1"/>
  <c r="N1708" i="1"/>
  <c r="N1707" i="1"/>
  <c r="N1706" i="1"/>
  <c r="AD1983" i="1"/>
  <c r="AD1982" i="1"/>
  <c r="AD1980" i="1"/>
  <c r="AD1981" i="1"/>
  <c r="AD1979" i="1"/>
  <c r="AD1953" i="1"/>
  <c r="AD1952" i="1"/>
  <c r="AD1951" i="1"/>
  <c r="AD1945" i="1"/>
  <c r="AD1947" i="1"/>
  <c r="AD1946" i="1"/>
  <c r="AD1970" i="1"/>
  <c r="AD1971" i="1"/>
  <c r="AD1963" i="1"/>
  <c r="AD1962" i="1"/>
  <c r="AD1957" i="1"/>
  <c r="AD1938" i="1"/>
  <c r="AD1937" i="1"/>
  <c r="AD1931" i="1"/>
  <c r="AD1932" i="1"/>
  <c r="AD1922" i="1"/>
  <c r="AD1919" i="1"/>
  <c r="AD1918" i="1"/>
  <c r="AD1911" i="1"/>
  <c r="AD1910" i="1"/>
  <c r="AD1905" i="1"/>
  <c r="AD1904" i="1"/>
  <c r="AD1933" i="1"/>
  <c r="AD1934" i="1"/>
  <c r="AD1935" i="1"/>
  <c r="AD1936" i="1"/>
  <c r="AD1939" i="1"/>
  <c r="AD1940" i="1"/>
  <c r="AD1941" i="1"/>
  <c r="AD1942" i="1"/>
  <c r="AD1943" i="1"/>
  <c r="AD1944" i="1"/>
  <c r="AD1948" i="1"/>
  <c r="AD1949" i="1"/>
  <c r="AD1950" i="1"/>
  <c r="AD1954" i="1"/>
  <c r="AD1955" i="1"/>
  <c r="AD1956" i="1"/>
  <c r="AD1958" i="1"/>
  <c r="AD1959" i="1"/>
  <c r="AD1960" i="1"/>
  <c r="AD1961" i="1"/>
  <c r="AD1964" i="1"/>
  <c r="AD1965" i="1"/>
  <c r="AD1966" i="1"/>
  <c r="AD1967" i="1"/>
  <c r="AD1968" i="1"/>
  <c r="AD1969" i="1"/>
  <c r="AD1972" i="1"/>
  <c r="AD1973" i="1"/>
  <c r="AD1974" i="1"/>
  <c r="AD1975" i="1"/>
  <c r="AD1976" i="1"/>
  <c r="AD1977" i="1"/>
  <c r="AD1978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930" i="1"/>
  <c r="AD1929" i="1"/>
  <c r="AD1928" i="1"/>
  <c r="AD1927" i="1"/>
  <c r="AD1926" i="1"/>
  <c r="AD1925" i="1"/>
  <c r="AD1924" i="1"/>
  <c r="AD1923" i="1"/>
  <c r="AD1921" i="1"/>
  <c r="AD1920" i="1"/>
  <c r="AD1917" i="1"/>
  <c r="AD1916" i="1"/>
  <c r="AD1915" i="1"/>
  <c r="AD1914" i="1"/>
  <c r="AD1913" i="1"/>
  <c r="AD1912" i="1"/>
  <c r="AD1909" i="1"/>
  <c r="AD1908" i="1"/>
  <c r="AD1907" i="1"/>
  <c r="AD1906" i="1"/>
  <c r="AD1903" i="1"/>
  <c r="AD1902" i="1"/>
  <c r="AD190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755" i="1"/>
  <c r="AD750" i="1"/>
  <c r="AD748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51" i="1"/>
  <c r="AD740" i="1"/>
  <c r="AD741" i="1"/>
  <c r="AD742" i="1"/>
  <c r="AD743" i="1"/>
  <c r="AD744" i="1"/>
  <c r="AD745" i="1"/>
  <c r="AD746" i="1"/>
  <c r="AD747" i="1"/>
  <c r="AD749" i="1"/>
  <c r="AD752" i="1"/>
  <c r="AD753" i="1"/>
  <c r="AD754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39" i="1"/>
  <c r="AD857" i="1" l="1"/>
  <c r="AD844" i="1"/>
  <c r="AD824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E1546" i="1"/>
  <c r="AE1545" i="1"/>
  <c r="AE1544" i="1"/>
  <c r="AE1543" i="1"/>
  <c r="AE1542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K1543" i="1"/>
  <c r="K1544" i="1"/>
  <c r="K1545" i="1"/>
  <c r="K1546" i="1"/>
  <c r="K1542" i="1"/>
  <c r="K2207" i="1"/>
  <c r="J2207" i="1"/>
  <c r="J2026" i="1" l="1"/>
  <c r="J2025" i="1"/>
  <c r="J2024" i="1"/>
  <c r="J2031" i="1"/>
  <c r="J2030" i="1"/>
  <c r="J1996" i="1"/>
  <c r="J1995" i="1"/>
  <c r="J1994" i="1"/>
</calcChain>
</file>

<file path=xl/sharedStrings.xml><?xml version="1.0" encoding="utf-8"?>
<sst xmlns="http://schemas.openxmlformats.org/spreadsheetml/2006/main" count="14322" uniqueCount="1979">
  <si>
    <t>CP_304_150min-H2O-1h-eq-#1</t>
  </si>
  <si>
    <t>CP_304_150min-H2O-1h-eq-#2</t>
  </si>
  <si>
    <t>CP_304_150min-H2O-1h-eq-#3</t>
  </si>
  <si>
    <t>CP_304_150min-H2O-1h-eq-#4</t>
  </si>
  <si>
    <t>CP_304_150min-H2O-24h-eq-#1</t>
  </si>
  <si>
    <t>CP_304_150min-H2O-24h-eq-#2</t>
  </si>
  <si>
    <t>CP_304_150min-H2O-24h-eq-#3</t>
  </si>
  <si>
    <t>CP_304_150min-H2O-5h-eq-#1</t>
  </si>
  <si>
    <t>CP_304_150min-H2O-5h-eq-#2</t>
  </si>
  <si>
    <t>CP_304_20min-citricacid-1h-eq-#1</t>
  </si>
  <si>
    <t>CP_304_20min-citricacid-1h-eq-#2</t>
  </si>
  <si>
    <t>CP_304_20min-citricacid-1h-eq-#3</t>
  </si>
  <si>
    <t>CP_304_20min-citricacid-24h-eq-#2</t>
  </si>
  <si>
    <t>CP_304_20min-citricacid-24h-eq-#3</t>
  </si>
  <si>
    <t>CP_304_24h-air-24h-eq-#1</t>
  </si>
  <si>
    <t>CP_304_24h-air-24h-eq-#2</t>
  </si>
  <si>
    <t>CP_304_30min-HNO3-1h-eq-#1</t>
  </si>
  <si>
    <t>CP_304_30min-HNO3-1h-eq-#2</t>
  </si>
  <si>
    <t>CP_304_30min-HNO3-1h-eq-#4</t>
  </si>
  <si>
    <t>CP_304_30min-HNO3-24h-eq-#2</t>
  </si>
  <si>
    <t>CP_304_30min-HNO3-eq5</t>
  </si>
  <si>
    <t>CP_304_30min-HNO3-eq6</t>
  </si>
  <si>
    <t>CP_304_30min-HNO3-eq7</t>
  </si>
  <si>
    <t>E_pit</t>
  </si>
  <si>
    <t>alloy</t>
  </si>
  <si>
    <t>history_medium</t>
  </si>
  <si>
    <t>history_time</t>
  </si>
  <si>
    <t>pre_test_time</t>
  </si>
  <si>
    <t>no</t>
  </si>
  <si>
    <t>air</t>
  </si>
  <si>
    <t>H2O</t>
  </si>
  <si>
    <t>HNO3</t>
  </si>
  <si>
    <t>citric</t>
  </si>
  <si>
    <t>CP_304_30min-HNO3-eq4</t>
  </si>
  <si>
    <t>CP_316_01h-HNO3_24h-eq_#1</t>
  </si>
  <si>
    <t>CP_316_01h-HNO3_24h-eq_#2</t>
  </si>
  <si>
    <t>CP_316_01h-HNO3_24h-eq_#3</t>
  </si>
  <si>
    <t>CP_316_096h-air+citric_1M-NaCl_05h-eq2</t>
  </si>
  <si>
    <t>air+citric</t>
  </si>
  <si>
    <t>CP_316_096h-air+citric_1M-NaCl_05h-eq3</t>
  </si>
  <si>
    <t>CP_316_096h-air+citric_1M-NaCl_05h-eq4</t>
  </si>
  <si>
    <t>CP_316_120h-air_01h-eq_02</t>
  </si>
  <si>
    <t>CP_316_120h-air_24h-eq_#1</t>
  </si>
  <si>
    <t>CP_316_127h-air_24h-eq_#1</t>
  </si>
  <si>
    <t>CP_316_140h-air-1h-eq1</t>
  </si>
  <si>
    <t>CP_316_140h-air-1h-eq2</t>
  </si>
  <si>
    <t>CP_316_140h-air-1h-eq3</t>
  </si>
  <si>
    <t>CP_316_15min-HNO3_24h-eq_#1</t>
  </si>
  <si>
    <t>CP_316_15min-HNO3_24h-eq_#2</t>
  </si>
  <si>
    <t>CP_316_15min-HNO3_24h-eq_#3</t>
  </si>
  <si>
    <t>CP_316_164h-air-5h-eq1</t>
  </si>
  <si>
    <t>CP_316_164h-air-5h-eq2</t>
  </si>
  <si>
    <t>CP_316_20min-citricacid_01h-eq_#1</t>
  </si>
  <si>
    <t>CP_316_20min-citricacid_01h-eq_#2</t>
  </si>
  <si>
    <t>CP_316_20min-citricacid_01h-eq_#3</t>
  </si>
  <si>
    <t>CP_316_20min-citricacid_1M-NaCl_01h-eq#1</t>
  </si>
  <si>
    <t>CP_316_20min-citricacid_1M-NaCl_01h-eq#2</t>
  </si>
  <si>
    <t>CP_316_20min-citricacid_1M-NaCl_01h-eq#3</t>
  </si>
  <si>
    <t>CP_316_20min-citricacid_1M-NaCl_05h-eq1</t>
  </si>
  <si>
    <t>CP_316_20min-citricacid_1M-NaCl_05h-eq2</t>
  </si>
  <si>
    <t>CP_316_20min-citricacid_1M-NaCl_05h-eq3</t>
  </si>
  <si>
    <t>CP_316_20min-citricacid_24h-eq_#1</t>
  </si>
  <si>
    <t>CP_316_20min-citricacid_24h-eq_#2</t>
  </si>
  <si>
    <t>CP_316_20min-citricacid_24h-eq_#3</t>
  </si>
  <si>
    <t>CP_316_20min-citricacid_24h-eq_#4</t>
  </si>
  <si>
    <t>CP_316_24h-air_24h-eq_#1</t>
  </si>
  <si>
    <t>CP_316_24h-air_24h-eq_#2</t>
  </si>
  <si>
    <t>CP_316_30min_HNO3-conc-20_24h-eq_#1</t>
  </si>
  <si>
    <t>CP_316_30min_HNO3-conc-20_24h-eq_#2</t>
  </si>
  <si>
    <t>CP_316_30min_HNO3-conc-20_24h-eq_#3</t>
  </si>
  <si>
    <t>CP_316_30min_HNO3-conc-20_24h-eq_#4</t>
  </si>
  <si>
    <t>CP_316_30min-HNO3_01h-eq_#1</t>
  </si>
  <si>
    <t>CP_316_30min-HNO3_01h-eq_#2</t>
  </si>
  <si>
    <t>CP_316_30min-HNO3_01h-eq_#3</t>
  </si>
  <si>
    <t>CP_316_30min-HNO3_1M-NaCl_5h-eq_#2</t>
  </si>
  <si>
    <t>CP_316_30min-HNO3_1M-NaCl_5h-eq_#3</t>
  </si>
  <si>
    <t>CP_316_30min-HNO3_1M-NaCl_grade120_eq1</t>
  </si>
  <si>
    <t>CP_316_30min-HNO3_1M-NaCl_grade120_eq2</t>
  </si>
  <si>
    <t>CP_316_30min-HNO3_1M-NaCl_grade120_eq3</t>
  </si>
  <si>
    <t>CP_316_30min-HNO3_24h-eq_#1</t>
  </si>
  <si>
    <t>CP_316_30min-HNO3_24h-eq_#2</t>
  </si>
  <si>
    <t>CP_316_30min-HNO3_24h-eq_#3</t>
  </si>
  <si>
    <t>CP_316_40min-citricacid-1h-eq2</t>
  </si>
  <si>
    <t>CP_316_72h-air_1M-NaCl_1h-eq-#1</t>
  </si>
  <si>
    <t>CP_316_72h-air_1M-NaCl_1h-eq-#2</t>
  </si>
  <si>
    <t>CP_316_96h-air_24h-eq_#1</t>
  </si>
  <si>
    <t>Cyclopol_1M_NaCl_unpolished_#1</t>
  </si>
  <si>
    <t>Cyclopol_1M_NaCl_unpolished_#2</t>
  </si>
  <si>
    <t>Cyclopol_1M_NaCl_unpolished_#3</t>
  </si>
  <si>
    <t>Cyclopol_1M_NaCl_unpolished_rouging</t>
  </si>
  <si>
    <t>label</t>
  </si>
  <si>
    <t>grinding</t>
  </si>
  <si>
    <t>CP_316_40min-citricacid-1h-eq1</t>
  </si>
  <si>
    <t>CP_316_096h-air+citric_1M-NaCl_05h-eq1</t>
  </si>
  <si>
    <t>CP_temp</t>
  </si>
  <si>
    <t>CP_pH</t>
  </si>
  <si>
    <t>E_corr</t>
  </si>
  <si>
    <t>Beta_an</t>
  </si>
  <si>
    <t>Beta_cath</t>
  </si>
  <si>
    <t>event</t>
  </si>
  <si>
    <t>scan_rate</t>
  </si>
  <si>
    <t>Cyclopol_1M_NaCl_unpolished_#1.DTA</t>
  </si>
  <si>
    <t>none</t>
  </si>
  <si>
    <t>Cyclopol_1M_NaCl_unpolished_#2.DTA</t>
  </si>
  <si>
    <t>Cyclopol_1M_NaCl_unpolished_#3.DTA</t>
  </si>
  <si>
    <t>Cyclopol_1M_NaCl_unpolished_rouging.DTA</t>
  </si>
  <si>
    <t>Cyclopol_5M_NaCl_citrate_#1.DTA</t>
  </si>
  <si>
    <t>citrate</t>
  </si>
  <si>
    <t>Cyclopol_5M_NaCl_citrate_#2.DTA</t>
  </si>
  <si>
    <t>Cyclopol_5M_NaCl_citrate_#3.DTA</t>
  </si>
  <si>
    <t>Cyclopol_5M_NaCl_MES_rouging_#1.DTA</t>
  </si>
  <si>
    <t>MES</t>
  </si>
  <si>
    <t>Cyclopol_5M_NaCl_MES_rouging_#2.DTA</t>
  </si>
  <si>
    <t>Cyclopol_5M_NaCl_MES_rouging_#3.DTA</t>
  </si>
  <si>
    <t>Cyclopol_5M_NaCl_rouging_#1.DTA</t>
  </si>
  <si>
    <t>Cyclopol_5M_NaCl_rouging_#2.DTA</t>
  </si>
  <si>
    <t>Cyclopol_5M_NaCl_rouging_#3.DTA</t>
  </si>
  <si>
    <t>Cyclopol_5M_NaCl_rouging_#4.DTA</t>
  </si>
  <si>
    <t>Cyclopol_5M_NaCl_steam_#1.DTA</t>
  </si>
  <si>
    <t>steam</t>
  </si>
  <si>
    <t>Cyclopol_5M_NaCl_steam_#2.DTA</t>
  </si>
  <si>
    <t>Cyclopol_5M_NaCl_steam_#3.DTA</t>
  </si>
  <si>
    <t>Cyclopol_5M_NaCl_steamb_#1.DTA</t>
  </si>
  <si>
    <t>Cyclopol_5M_NaCl_steamb_#2.DTA</t>
  </si>
  <si>
    <t>Cyclopol_5M_NaCl_steamb_#3.DTA</t>
  </si>
  <si>
    <t>Cyclopol_acid_rouging_#1.DTA</t>
  </si>
  <si>
    <t>Cyclopol_acid_rouging_#2.DTA</t>
  </si>
  <si>
    <t>Cyclopol_acid_rouging_#3.DTA</t>
  </si>
  <si>
    <t>Cyclopol_rouging_plate04_#1(1M).DTA</t>
  </si>
  <si>
    <t>Cyclopol_rouging_plate05S_#2(1M).DTA</t>
  </si>
  <si>
    <t>Cyclopol_rouging_plate08S_#3(1M).DTA</t>
  </si>
  <si>
    <t>Cyclopol_RVS304_plate02(1M).DTA</t>
  </si>
  <si>
    <t>Cyclopol_RVS316L_plate04(0_1M).DTA</t>
  </si>
  <si>
    <t>Cyclopol_RVS316L_plate05S(0_1M).DTA</t>
  </si>
  <si>
    <t>CP_316_24h-air_01h-eq_03</t>
  </si>
  <si>
    <t>CP_316_06h-air_01h-eq_03</t>
  </si>
  <si>
    <t>CP_316_24h-air_01h-eq_01</t>
  </si>
  <si>
    <t>CP_316_06h-air_01h-eq_04</t>
  </si>
  <si>
    <t>CP_316_24h-air_01h-eq_02</t>
  </si>
  <si>
    <t>aerated</t>
  </si>
  <si>
    <t>natural</t>
  </si>
  <si>
    <t>agitation</t>
  </si>
  <si>
    <t>CP_316_06h-air_01h-eq_01</t>
  </si>
  <si>
    <t>CP_316_06h-air_01h-eq_02</t>
  </si>
  <si>
    <t>CP_316_06h-air_24h-eq_02</t>
  </si>
  <si>
    <t>CP_316_06h-air_24h-eq_01</t>
  </si>
  <si>
    <t>CP_316_04h-HNO3_24h-eq_#1</t>
  </si>
  <si>
    <t>CP_316_04h-HNO3_24h-eq_#2</t>
  </si>
  <si>
    <t>corrosion_rate</t>
  </si>
  <si>
    <t>literature</t>
  </si>
  <si>
    <t>CP_4003_20min-citricacid-1h-eq-#2</t>
  </si>
  <si>
    <t>CP_4003_20min-citricacid-1h-eq-#3</t>
  </si>
  <si>
    <t>CP_4003_20min-citricacid-1h-eq-#4</t>
  </si>
  <si>
    <t>CP_4003_30min-HNO3-eq1</t>
  </si>
  <si>
    <t>CP_4003_30min-HNO3-eq2</t>
  </si>
  <si>
    <t>CP_4003_30min-HNO3-eq3</t>
  </si>
  <si>
    <t>CP_6Mo_6h-air-1h-eq1</t>
  </si>
  <si>
    <t>CP_6Mo_6h-air-5M-NaCl-1h-eq-#1</t>
  </si>
  <si>
    <t>CP_6Mo_6h-air-5M-NaCl-HCl-1h-eq-#1</t>
  </si>
  <si>
    <t>CP_duplex_20min-citricacid_24h-eq1_#4</t>
  </si>
  <si>
    <t>CP_duplex_20min-citricacid-24h-eq-#2</t>
  </si>
  <si>
    <t>CP_317_20min-citricacid-1h-eq-#1</t>
  </si>
  <si>
    <t>CP_317_20min-citricacid-1h-eq-#2</t>
  </si>
  <si>
    <t>CP_duplex_24h-air-24h-eq-#1</t>
  </si>
  <si>
    <t>CP_317_20min-citricacid-1h-eq-#3</t>
  </si>
  <si>
    <t>CP_duplex_24h-air-24h-eq-#2</t>
  </si>
  <si>
    <t>CP_duplex_30min-HNO3-24h-eq-#1</t>
  </si>
  <si>
    <t>AL6XN</t>
  </si>
  <si>
    <t>2010Arcelor1</t>
  </si>
  <si>
    <t>2010Arcelor2</t>
  </si>
  <si>
    <t>2010Arcelor3</t>
  </si>
  <si>
    <t>yes</t>
  </si>
  <si>
    <t>deaerated</t>
  </si>
  <si>
    <t>0.1 V - 30'</t>
  </si>
  <si>
    <t>0.2 V - 30'</t>
  </si>
  <si>
    <t>0.3 V - 30'</t>
  </si>
  <si>
    <t>0.4 V - 30'</t>
  </si>
  <si>
    <t>0.5 V - 30'</t>
  </si>
  <si>
    <t>1994Elsawesh1</t>
  </si>
  <si>
    <t>1994Elsawesh2</t>
  </si>
  <si>
    <t>1994Elsawesh3</t>
  </si>
  <si>
    <t>1994Elsawesh4</t>
  </si>
  <si>
    <t>1994Elsawesh5</t>
  </si>
  <si>
    <t>1994Elsawesh6</t>
  </si>
  <si>
    <t>1994Elsawesh7</t>
  </si>
  <si>
    <t>1994Elsawesh8</t>
  </si>
  <si>
    <t>1994Elsawesh9</t>
  </si>
  <si>
    <t>1994Elsawesh10</t>
  </si>
  <si>
    <t>1994Elsawesh11</t>
  </si>
  <si>
    <t>1994Elsawesh12</t>
  </si>
  <si>
    <t>2002Alonso10</t>
  </si>
  <si>
    <t>sulfuric</t>
  </si>
  <si>
    <t>reduced -1.3V</t>
  </si>
  <si>
    <t>reduced -0.2V</t>
  </si>
  <si>
    <t>Ra</t>
  </si>
  <si>
    <t>2006Nielsen1</t>
  </si>
  <si>
    <t>2006Nielsen2</t>
  </si>
  <si>
    <t>2006Nielsen3</t>
  </si>
  <si>
    <t>2006Nielsen4</t>
  </si>
  <si>
    <t>2006Nielsen5</t>
  </si>
  <si>
    <t>2006Nielsen6</t>
  </si>
  <si>
    <t>2006Nielsen7</t>
  </si>
  <si>
    <t>2006Nielsen8</t>
  </si>
  <si>
    <t>2006Nielsen9</t>
  </si>
  <si>
    <t>2006Nielsen10</t>
  </si>
  <si>
    <t>2006Nielsen11</t>
  </si>
  <si>
    <t>2006Nielsen12</t>
  </si>
  <si>
    <t>2006Nielsen13</t>
  </si>
  <si>
    <t>2006Nielsen14</t>
  </si>
  <si>
    <t>2006Nielsen15</t>
  </si>
  <si>
    <t>2006Nielsen16</t>
  </si>
  <si>
    <t>2006Nielsen17</t>
  </si>
  <si>
    <t>2006Nielsen18</t>
  </si>
  <si>
    <t>2006Nielsen19</t>
  </si>
  <si>
    <t>2006Nielsen20</t>
  </si>
  <si>
    <t>2006Nielsen21</t>
  </si>
  <si>
    <t>2006Nielsen22</t>
  </si>
  <si>
    <t>2006Nielsen23</t>
  </si>
  <si>
    <t>2006Nielsen24</t>
  </si>
  <si>
    <t>2006Nielsen25</t>
  </si>
  <si>
    <t>2006Nielsen26</t>
  </si>
  <si>
    <t>2006Nielsen27</t>
  </si>
  <si>
    <t>2006Nielsen28</t>
  </si>
  <si>
    <t>2006Nielsen29</t>
  </si>
  <si>
    <t>2006Nielsen30</t>
  </si>
  <si>
    <t>2006Nielsen31</t>
  </si>
  <si>
    <t>2006Nielsen32</t>
  </si>
  <si>
    <t>2006Nielsen33</t>
  </si>
  <si>
    <t>2006Nielsen34</t>
  </si>
  <si>
    <t>2006Nielsen35</t>
  </si>
  <si>
    <t>2006Nielsen36</t>
  </si>
  <si>
    <t>2006Nielsen37</t>
  </si>
  <si>
    <t>2006Nielsen38</t>
  </si>
  <si>
    <t>2006Nielsen39</t>
  </si>
  <si>
    <t>2006Nielsen40</t>
  </si>
  <si>
    <t>2006Nielsen41</t>
  </si>
  <si>
    <t>2006Nielsen42</t>
  </si>
  <si>
    <t>2006Nielsen43</t>
  </si>
  <si>
    <t>2006Nielsen44</t>
  </si>
  <si>
    <t>2006Nielsen45</t>
  </si>
  <si>
    <t>2006Nielsen46</t>
  </si>
  <si>
    <t>2006Nielsen47</t>
  </si>
  <si>
    <t>2006Nielsen48</t>
  </si>
  <si>
    <t>2006Nielsen49</t>
  </si>
  <si>
    <t>2006Nielsen50</t>
  </si>
  <si>
    <t>2006Nielsen51</t>
  </si>
  <si>
    <t>2006Nielsen52</t>
  </si>
  <si>
    <t>2006Nielsen53</t>
  </si>
  <si>
    <t>2006Nielsen54</t>
  </si>
  <si>
    <t>2006Nielsen55</t>
  </si>
  <si>
    <t>2006Nielsen56</t>
  </si>
  <si>
    <t>2006Nielsen57</t>
  </si>
  <si>
    <t>2006Nielsen58</t>
  </si>
  <si>
    <t>2006Nielsen59</t>
  </si>
  <si>
    <t>2006Nielsen60</t>
  </si>
  <si>
    <t>2006Nielsen61</t>
  </si>
  <si>
    <t>2006Nielsen62</t>
  </si>
  <si>
    <t>2006Nielsen63</t>
  </si>
  <si>
    <t>2006Nielsen64</t>
  </si>
  <si>
    <t>2006Nielsen65</t>
  </si>
  <si>
    <t>2006Nielsen66</t>
  </si>
  <si>
    <t>2006Nielsen67</t>
  </si>
  <si>
    <t>2006Nielsen68</t>
  </si>
  <si>
    <t>2006Nielsen69</t>
  </si>
  <si>
    <t>2006Nielsen70</t>
  </si>
  <si>
    <t>2006Nielsen71</t>
  </si>
  <si>
    <t>2006Nielsen72</t>
  </si>
  <si>
    <t>2006Nielsen73</t>
  </si>
  <si>
    <t>2006Nielsen74</t>
  </si>
  <si>
    <t>2006Nielsen75</t>
  </si>
  <si>
    <t>2006Nielsen76</t>
  </si>
  <si>
    <t>2006Nielsen77</t>
  </si>
  <si>
    <t>2006Nielsen78</t>
  </si>
  <si>
    <t>2006Nielsen79</t>
  </si>
  <si>
    <t>2006Nielsen80</t>
  </si>
  <si>
    <t>2006Nielsen81</t>
  </si>
  <si>
    <t>2006Nielsen82</t>
  </si>
  <si>
    <t>2006Nielsen83</t>
  </si>
  <si>
    <t>2006Nielsen84</t>
  </si>
  <si>
    <t>2006Nielsen85</t>
  </si>
  <si>
    <t>2006Nielsen86</t>
  </si>
  <si>
    <t>2006Nielsen87</t>
  </si>
  <si>
    <t>2006Nielsen88</t>
  </si>
  <si>
    <t>2006Nielsen89</t>
  </si>
  <si>
    <t>2006Nielsen90</t>
  </si>
  <si>
    <t>2006Nielsen91</t>
  </si>
  <si>
    <t>2006Nielsen92</t>
  </si>
  <si>
    <t>2006Nielsen93</t>
  </si>
  <si>
    <t>2006Nielsen94</t>
  </si>
  <si>
    <t>2006Nielsen95</t>
  </si>
  <si>
    <t>2006Nielsen96</t>
  </si>
  <si>
    <t>2006Nielsen97</t>
  </si>
  <si>
    <t>2006Nielsen98</t>
  </si>
  <si>
    <t>2006Nielsen99</t>
  </si>
  <si>
    <t>2006Nielsen100</t>
  </si>
  <si>
    <t>2006Nielsen101</t>
  </si>
  <si>
    <t>2021Vignal1</t>
  </si>
  <si>
    <t>2021Vignal2</t>
  </si>
  <si>
    <t>2021Vignal3</t>
  </si>
  <si>
    <t>2021Vignal4</t>
  </si>
  <si>
    <t>2021Vignal5</t>
  </si>
  <si>
    <t>2021Vignal6</t>
  </si>
  <si>
    <t>2021Vignal7</t>
  </si>
  <si>
    <t>2007Nielsen1</t>
  </si>
  <si>
    <t>2007Nielsen2</t>
  </si>
  <si>
    <t>2007Nielsen3</t>
  </si>
  <si>
    <t>2007Nielsen4</t>
  </si>
  <si>
    <t>2007Nielsen5</t>
  </si>
  <si>
    <t>2007Nielsen6</t>
  </si>
  <si>
    <t>2007Nielsen7</t>
  </si>
  <si>
    <t>2007Nielsen8</t>
  </si>
  <si>
    <t>2007Nielsen9</t>
  </si>
  <si>
    <t>2007Nielsen10</t>
  </si>
  <si>
    <t>2007Nielsen11</t>
  </si>
  <si>
    <t>2007Nielsen12</t>
  </si>
  <si>
    <t>2007Nielsen13</t>
  </si>
  <si>
    <t>2007Nielsen14</t>
  </si>
  <si>
    <t>2007Nielsen15</t>
  </si>
  <si>
    <t>2007Nielsen16</t>
  </si>
  <si>
    <t>2007Nielsen17</t>
  </si>
  <si>
    <t>2007Nielsen18</t>
  </si>
  <si>
    <t>2007Nielsen19</t>
  </si>
  <si>
    <t>2007Nielsen20</t>
  </si>
  <si>
    <t>2007Nielsen21</t>
  </si>
  <si>
    <t>2007Nielsen22</t>
  </si>
  <si>
    <t>2007Nielsen23</t>
  </si>
  <si>
    <t>2007Nielsen24</t>
  </si>
  <si>
    <t>2007Nielsen25</t>
  </si>
  <si>
    <t>2007Nielsen26</t>
  </si>
  <si>
    <t>2007Nielsen27</t>
  </si>
  <si>
    <t>2007Nielsen28</t>
  </si>
  <si>
    <t>2007Nielsen29</t>
  </si>
  <si>
    <t>2007Nielsen30</t>
  </si>
  <si>
    <t>2007Nielsen31</t>
  </si>
  <si>
    <t>2007Nielsen32</t>
  </si>
  <si>
    <t>2007Nielsen33</t>
  </si>
  <si>
    <t>2007Nielsen34</t>
  </si>
  <si>
    <t>2007Nielsen35</t>
  </si>
  <si>
    <t>2007Nielsen36</t>
  </si>
  <si>
    <t>2007Nielsen37</t>
  </si>
  <si>
    <t>2007Nielsen38</t>
  </si>
  <si>
    <t>2007Nielsen39</t>
  </si>
  <si>
    <t>2007Nielsen40</t>
  </si>
  <si>
    <t>2007Nielsen41</t>
  </si>
  <si>
    <t>2007Nielsen42</t>
  </si>
  <si>
    <t>2007Nielsen43</t>
  </si>
  <si>
    <t>2007Nielsen44</t>
  </si>
  <si>
    <t>2007Nielsen45</t>
  </si>
  <si>
    <t>2007Nielsen46</t>
  </si>
  <si>
    <t>2007Nielsen47</t>
  </si>
  <si>
    <t>2007Nielsen48</t>
  </si>
  <si>
    <t>2007Nielsen49</t>
  </si>
  <si>
    <t>2007Nielsen50</t>
  </si>
  <si>
    <t>2007Nielsen51</t>
  </si>
  <si>
    <t>2007Nielsen52</t>
  </si>
  <si>
    <t>2007Nielsen53</t>
  </si>
  <si>
    <t>2007Nielsen54</t>
  </si>
  <si>
    <t>2007Nielsen55</t>
  </si>
  <si>
    <t>2007Nielsen56</t>
  </si>
  <si>
    <t>2007Nielsen57</t>
  </si>
  <si>
    <t>2007Nielsen58</t>
  </si>
  <si>
    <t>2007Nielsen59</t>
  </si>
  <si>
    <t>2007Nielsen60</t>
  </si>
  <si>
    <t>2007Nielsen61</t>
  </si>
  <si>
    <t>2017Mameng1</t>
  </si>
  <si>
    <t>2017Mameng2</t>
  </si>
  <si>
    <t>2017Mameng3</t>
  </si>
  <si>
    <t>2017Mameng4</t>
  </si>
  <si>
    <t>2017Mameng5</t>
  </si>
  <si>
    <t>2017Mameng6</t>
  </si>
  <si>
    <t>2017Mameng7</t>
  </si>
  <si>
    <t>2017Mameng8</t>
  </si>
  <si>
    <t>2017Mameng9</t>
  </si>
  <si>
    <t>2017Mameng10</t>
  </si>
  <si>
    <t>2017Mameng11</t>
  </si>
  <si>
    <t>2017Mameng12</t>
  </si>
  <si>
    <t>2017Mameng13</t>
  </si>
  <si>
    <t>2017Mameng14</t>
  </si>
  <si>
    <t>2017Mameng15</t>
  </si>
  <si>
    <t>2017Mameng16</t>
  </si>
  <si>
    <t>2017Mameng17</t>
  </si>
  <si>
    <t>2017Mameng18</t>
  </si>
  <si>
    <t>2017Mameng19</t>
  </si>
  <si>
    <t>2017Mameng20</t>
  </si>
  <si>
    <t>2017Mameng21</t>
  </si>
  <si>
    <t>2017Mameng22</t>
  </si>
  <si>
    <t>2017Mameng23</t>
  </si>
  <si>
    <t>2017Mameng24</t>
  </si>
  <si>
    <t>2017Mameng25</t>
  </si>
  <si>
    <t>2017Mameng26</t>
  </si>
  <si>
    <t>2017Mameng27</t>
  </si>
  <si>
    <t>2017Mameng28</t>
  </si>
  <si>
    <t>2017Mameng29</t>
  </si>
  <si>
    <t>2017Mameng30</t>
  </si>
  <si>
    <t>2017Mameng31</t>
  </si>
  <si>
    <t>2017Mameng32</t>
  </si>
  <si>
    <t>2017Mameng33</t>
  </si>
  <si>
    <t>2017Mameng34</t>
  </si>
  <si>
    <t>2017Mameng35</t>
  </si>
  <si>
    <t>2017Mameng36</t>
  </si>
  <si>
    <t>2017Mameng37</t>
  </si>
  <si>
    <t>2017Mameng38</t>
  </si>
  <si>
    <t>2017Mameng39</t>
  </si>
  <si>
    <t>2017Mameng40</t>
  </si>
  <si>
    <t>2017Mameng41</t>
  </si>
  <si>
    <t>2017Mameng42</t>
  </si>
  <si>
    <t>2017Mameng43</t>
  </si>
  <si>
    <t>2017Mameng44</t>
  </si>
  <si>
    <t>2017Mameng45</t>
  </si>
  <si>
    <t>2017Mameng46</t>
  </si>
  <si>
    <t>2017Mameng47</t>
  </si>
  <si>
    <t>2017Mameng48</t>
  </si>
  <si>
    <t>2017Mameng49</t>
  </si>
  <si>
    <t>2017Mameng50</t>
  </si>
  <si>
    <t>2017Mameng51</t>
  </si>
  <si>
    <t>2017Mameng52</t>
  </si>
  <si>
    <t>2017Mameng53</t>
  </si>
  <si>
    <t>2017Mameng54</t>
  </si>
  <si>
    <t>2017Mameng55</t>
  </si>
  <si>
    <t>2017Mameng56</t>
  </si>
  <si>
    <t>2017Mameng57</t>
  </si>
  <si>
    <t>2017Mameng58</t>
  </si>
  <si>
    <t>2017Mameng59</t>
  </si>
  <si>
    <t>2017Mameng60</t>
  </si>
  <si>
    <t>2017Mameng61</t>
  </si>
  <si>
    <t>2017Mameng62</t>
  </si>
  <si>
    <t>2017Mameng63</t>
  </si>
  <si>
    <t>2017Mameng64</t>
  </si>
  <si>
    <t>2014Jimenez-Come10</t>
  </si>
  <si>
    <t>2014Jimenez-Come11</t>
  </si>
  <si>
    <t>2014Jimenez-Come12</t>
  </si>
  <si>
    <t>2014Jimenez-Come13</t>
  </si>
  <si>
    <t>2014Jimenez-Come14</t>
  </si>
  <si>
    <t>2014Jimenez-Come15</t>
  </si>
  <si>
    <t>2014Jimenez-Come16</t>
  </si>
  <si>
    <t>2020Melia1</t>
  </si>
  <si>
    <t>2020Melia2</t>
  </si>
  <si>
    <t>2020Melia3</t>
  </si>
  <si>
    <t>2020Melia4</t>
  </si>
  <si>
    <t>2020Melia5</t>
  </si>
  <si>
    <t>2020Melia6</t>
  </si>
  <si>
    <t>2020Melia7</t>
  </si>
  <si>
    <t>2020Melia8</t>
  </si>
  <si>
    <t>2020Melia9</t>
  </si>
  <si>
    <t>2020Melia10</t>
  </si>
  <si>
    <t>2020Melia11</t>
  </si>
  <si>
    <t>2020Melia12</t>
  </si>
  <si>
    <t>2020Melia13</t>
  </si>
  <si>
    <t>2020Melia14</t>
  </si>
  <si>
    <t>2020Melia15</t>
  </si>
  <si>
    <t>2020Melia16</t>
  </si>
  <si>
    <t>2020Melia17</t>
  </si>
  <si>
    <t>2020Melia18</t>
  </si>
  <si>
    <t>2020Melia19</t>
  </si>
  <si>
    <t>2020Melia20</t>
  </si>
  <si>
    <t>2020Melia21</t>
  </si>
  <si>
    <t>2020Melia22</t>
  </si>
  <si>
    <t>2020Melia23</t>
  </si>
  <si>
    <t>2020Melia24</t>
  </si>
  <si>
    <t>2020Melia25</t>
  </si>
  <si>
    <t>2020Melia26</t>
  </si>
  <si>
    <t>2020Melia27</t>
  </si>
  <si>
    <t>2020Melia28</t>
  </si>
  <si>
    <t>2020Melia29</t>
  </si>
  <si>
    <t>2020Melia30</t>
  </si>
  <si>
    <t>2020Melia31</t>
  </si>
  <si>
    <t>2020Melia32</t>
  </si>
  <si>
    <t>2020Melia33</t>
  </si>
  <si>
    <t>2020Melia34</t>
  </si>
  <si>
    <t>2020Melia35</t>
  </si>
  <si>
    <t>2020Melia36</t>
  </si>
  <si>
    <t>2020Melia37</t>
  </si>
  <si>
    <t>2020Melia38</t>
  </si>
  <si>
    <t>2020Melia39</t>
  </si>
  <si>
    <t>2020Melia40</t>
  </si>
  <si>
    <t>2020Melia41</t>
  </si>
  <si>
    <t>2020Melia42</t>
  </si>
  <si>
    <t>2020Melia43</t>
  </si>
  <si>
    <t>2020Melia44</t>
  </si>
  <si>
    <t>2020Melia45</t>
  </si>
  <si>
    <t>2020Melia46</t>
  </si>
  <si>
    <t>2020Melia47</t>
  </si>
  <si>
    <t>2020Melia48</t>
  </si>
  <si>
    <t>2020Melia49</t>
  </si>
  <si>
    <t>2020Melia50</t>
  </si>
  <si>
    <t>2020Melia51</t>
  </si>
  <si>
    <t>2020Melia52</t>
  </si>
  <si>
    <t>2020Melia53</t>
  </si>
  <si>
    <t>2020Melia54</t>
  </si>
  <si>
    <t>2020Melia55</t>
  </si>
  <si>
    <t>2020Melia56</t>
  </si>
  <si>
    <t>2020Melia57</t>
  </si>
  <si>
    <t>2020Melia58</t>
  </si>
  <si>
    <t>2020Melia59</t>
  </si>
  <si>
    <t>2020Melia60</t>
  </si>
  <si>
    <t>2020Melia61</t>
  </si>
  <si>
    <t>2020Melia62</t>
  </si>
  <si>
    <t>2020Melia63</t>
  </si>
  <si>
    <t>2020Melia64</t>
  </si>
  <si>
    <t>2020Melia65</t>
  </si>
  <si>
    <t>2020Melia66</t>
  </si>
  <si>
    <t>2020Melia67</t>
  </si>
  <si>
    <t>2020Melia68</t>
  </si>
  <si>
    <t>2020Melia69</t>
  </si>
  <si>
    <t>2020Melia70</t>
  </si>
  <si>
    <t>2020Melia71</t>
  </si>
  <si>
    <t>2020Melia72</t>
  </si>
  <si>
    <t>2020Melia73</t>
  </si>
  <si>
    <t>2020Melia74</t>
  </si>
  <si>
    <t>2020Melia75</t>
  </si>
  <si>
    <t>2020Melia76</t>
  </si>
  <si>
    <t>2020Melia77</t>
  </si>
  <si>
    <t>2020Melia78</t>
  </si>
  <si>
    <t>2020Melia79</t>
  </si>
  <si>
    <t>2020Melia80</t>
  </si>
  <si>
    <t>2020Melia81</t>
  </si>
  <si>
    <t>2020Melia82</t>
  </si>
  <si>
    <t>2020Melia83</t>
  </si>
  <si>
    <t>2020Melia84</t>
  </si>
  <si>
    <t>2020Melia85</t>
  </si>
  <si>
    <t>2020Melia86</t>
  </si>
  <si>
    <t>2020Melia87</t>
  </si>
  <si>
    <t>2020Melia88</t>
  </si>
  <si>
    <t>2020Melia89</t>
  </si>
  <si>
    <t>2020Melia90</t>
  </si>
  <si>
    <t>2020Melia91</t>
  </si>
  <si>
    <t>2020Melia92</t>
  </si>
  <si>
    <t>2020Melia93</t>
  </si>
  <si>
    <t>2020Melia94</t>
  </si>
  <si>
    <t>2020Melia95</t>
  </si>
  <si>
    <t>2020Melia96</t>
  </si>
  <si>
    <t>2020Melia97</t>
  </si>
  <si>
    <t>2020Melia98</t>
  </si>
  <si>
    <t>2020Melia99</t>
  </si>
  <si>
    <t>2020Melia100</t>
  </si>
  <si>
    <t>2020Melia101</t>
  </si>
  <si>
    <t>2020Melia102</t>
  </si>
  <si>
    <t>2020Melia103</t>
  </si>
  <si>
    <t>2020Melia104</t>
  </si>
  <si>
    <t>2020Melia105</t>
  </si>
  <si>
    <t>2020Melia106</t>
  </si>
  <si>
    <t>2020Melia107</t>
  </si>
  <si>
    <t>2020Melia108</t>
  </si>
  <si>
    <t>2020Melia109</t>
  </si>
  <si>
    <t>2020Melia110</t>
  </si>
  <si>
    <t>2020Melia111</t>
  </si>
  <si>
    <t>2020Melia112</t>
  </si>
  <si>
    <t>2020Melia113</t>
  </si>
  <si>
    <t>2020Melia114</t>
  </si>
  <si>
    <t>2020Melia115</t>
  </si>
  <si>
    <t>2020Melia116</t>
  </si>
  <si>
    <t>2020Melia117</t>
  </si>
  <si>
    <t>2020Melia118</t>
  </si>
  <si>
    <t>2020Melia119</t>
  </si>
  <si>
    <t>2020Melia120</t>
  </si>
  <si>
    <t>2020Melia121</t>
  </si>
  <si>
    <t>2020Melia122</t>
  </si>
  <si>
    <t>2020Melia123</t>
  </si>
  <si>
    <t>2020Sander1</t>
  </si>
  <si>
    <t>2020Sander2</t>
  </si>
  <si>
    <t>2020Sander3</t>
  </si>
  <si>
    <t>2019Yoon1</t>
  </si>
  <si>
    <t>2019Yoon2</t>
  </si>
  <si>
    <t>2019Yoon3</t>
  </si>
  <si>
    <t>2019Yoon4</t>
  </si>
  <si>
    <t>2019Yoon5</t>
  </si>
  <si>
    <t>2019Yoon6</t>
  </si>
  <si>
    <t>2019Yoon7</t>
  </si>
  <si>
    <t>2019Yoon8</t>
  </si>
  <si>
    <t>2019Yoon9</t>
  </si>
  <si>
    <t>2019Yoon10</t>
  </si>
  <si>
    <t>2019Yoon11</t>
  </si>
  <si>
    <t>2019Yoon12</t>
  </si>
  <si>
    <t>2019Yoon13</t>
  </si>
  <si>
    <t>2019Yoon14</t>
  </si>
  <si>
    <t>2019Yoon15</t>
  </si>
  <si>
    <t>2019Yoon16</t>
  </si>
  <si>
    <t>2019Yoon17</t>
  </si>
  <si>
    <t>2019Yoon18</t>
  </si>
  <si>
    <t>2019Yoon19</t>
  </si>
  <si>
    <t>2019Yoon20</t>
  </si>
  <si>
    <t>2013Loto1</t>
  </si>
  <si>
    <t>2013Loto2</t>
  </si>
  <si>
    <t>2013Loto3</t>
  </si>
  <si>
    <t>2013Loto4</t>
  </si>
  <si>
    <t>2013Loto5</t>
  </si>
  <si>
    <t>2013Loto6</t>
  </si>
  <si>
    <t>2013Loto7</t>
  </si>
  <si>
    <t>2013Loto8</t>
  </si>
  <si>
    <t>2013Loto9</t>
  </si>
  <si>
    <t>2013Loto10</t>
  </si>
  <si>
    <t>reduced -1.5V</t>
  </si>
  <si>
    <t>2018Shakir1</t>
  </si>
  <si>
    <t>2018Shakir2</t>
  </si>
  <si>
    <t>2018Shakir3</t>
  </si>
  <si>
    <t>2018Shakir4</t>
  </si>
  <si>
    <t>2018Shakir5</t>
  </si>
  <si>
    <t>2018Shakir6</t>
  </si>
  <si>
    <t>2018Shakir7</t>
  </si>
  <si>
    <t>2018Shakir8</t>
  </si>
  <si>
    <t>2017Karlsson1</t>
  </si>
  <si>
    <t>2017Karlsson2</t>
  </si>
  <si>
    <t>2017Karlsson3</t>
  </si>
  <si>
    <t>2017Karlsson4</t>
  </si>
  <si>
    <t>2017Karlsson5</t>
  </si>
  <si>
    <t>2017Karlsson6</t>
  </si>
  <si>
    <t>2017Karlsson7</t>
  </si>
  <si>
    <t>2017Karlsson8</t>
  </si>
  <si>
    <t>2017Karlsson9</t>
  </si>
  <si>
    <t>2017Karlsson10</t>
  </si>
  <si>
    <t>2017Karlsson11</t>
  </si>
  <si>
    <t>2017Karlsson12</t>
  </si>
  <si>
    <t>2017Karlsson13</t>
  </si>
  <si>
    <t>2017Karlsson14</t>
  </si>
  <si>
    <t>2017Karlsson15</t>
  </si>
  <si>
    <t>2017Karlsson16</t>
  </si>
  <si>
    <t>2017Karlsson17</t>
  </si>
  <si>
    <t>2017Karlsson18</t>
  </si>
  <si>
    <t>2017Karlsson19</t>
  </si>
  <si>
    <t>2011Elsener1</t>
  </si>
  <si>
    <t>2011Elsener2</t>
  </si>
  <si>
    <t>2011Elsener3</t>
  </si>
  <si>
    <t>2011Elsener4</t>
  </si>
  <si>
    <t>2011Elsener5</t>
  </si>
  <si>
    <t>2011Elsener6</t>
  </si>
  <si>
    <t>2011Elsener7</t>
  </si>
  <si>
    <t>2011Elsener8</t>
  </si>
  <si>
    <t>2011Elsener9</t>
  </si>
  <si>
    <t>2011Elsener10</t>
  </si>
  <si>
    <t>2011Elsener11</t>
  </si>
  <si>
    <t>2011Elsener12</t>
  </si>
  <si>
    <t>2011Elsener13</t>
  </si>
  <si>
    <t>2011Elsener14</t>
  </si>
  <si>
    <t>2011Elsener15</t>
  </si>
  <si>
    <t>2011Elsener16</t>
  </si>
  <si>
    <t>2011Elsener17</t>
  </si>
  <si>
    <t>2011Elsener18</t>
  </si>
  <si>
    <t>2011Elsener19</t>
  </si>
  <si>
    <t>2011Elsener20</t>
  </si>
  <si>
    <t>2011Elsener21</t>
  </si>
  <si>
    <t>2011Elsener22</t>
  </si>
  <si>
    <t>2011Elsener23</t>
  </si>
  <si>
    <t>2011Elsener24</t>
  </si>
  <si>
    <t>2011Elsener25</t>
  </si>
  <si>
    <t>2011Elsener26</t>
  </si>
  <si>
    <t>2011Elsener27</t>
  </si>
  <si>
    <t>2011Elsener28</t>
  </si>
  <si>
    <t>2011Elsener29</t>
  </si>
  <si>
    <t>2011Elsener30</t>
  </si>
  <si>
    <t>2011Elsener31</t>
  </si>
  <si>
    <t>2011Elsener32</t>
  </si>
  <si>
    <t>2011Elsener33</t>
  </si>
  <si>
    <t>2011Elsener34</t>
  </si>
  <si>
    <t>2011Elsener35</t>
  </si>
  <si>
    <t>2011Elsener36</t>
  </si>
  <si>
    <t>2011Elsener37</t>
  </si>
  <si>
    <t>2011Elsener38</t>
  </si>
  <si>
    <t>2011Elsener39</t>
  </si>
  <si>
    <t>2011Elsener40</t>
  </si>
  <si>
    <t>2011Elsener41</t>
  </si>
  <si>
    <t>2011Elsener42</t>
  </si>
  <si>
    <t>2011Elsener43</t>
  </si>
  <si>
    <t>2011Elsener44</t>
  </si>
  <si>
    <t>2011Elsener45</t>
  </si>
  <si>
    <t>2011Elsener46</t>
  </si>
  <si>
    <t>2011Elsener47</t>
  </si>
  <si>
    <t>2011Elsener48</t>
  </si>
  <si>
    <t>2011Elsener49</t>
  </si>
  <si>
    <t>2011Elsener50</t>
  </si>
  <si>
    <t>2011Elsener51</t>
  </si>
  <si>
    <t>2011Elsener_Bertolini1</t>
  </si>
  <si>
    <t>2011Elsener_Bertolini2</t>
  </si>
  <si>
    <t>2011Elsener_Bertolini3</t>
  </si>
  <si>
    <t>2011Elsener_Bertolini4</t>
  </si>
  <si>
    <t>2011Elsener_Bertolini5</t>
  </si>
  <si>
    <t>2011Elsener_Bertolini6</t>
  </si>
  <si>
    <t>2011Elsener52</t>
  </si>
  <si>
    <t>2011Elsener53</t>
  </si>
  <si>
    <t>oxidizing 0.05 Cu2+</t>
  </si>
  <si>
    <t>2013Zhou1</t>
  </si>
  <si>
    <t>2013Zhou2</t>
  </si>
  <si>
    <t>2013Zhou3</t>
  </si>
  <si>
    <t>2013Zhou4</t>
  </si>
  <si>
    <t>oxidizing 0.005 Cu2+</t>
  </si>
  <si>
    <t>oxidizing 0.001 Cu2+</t>
  </si>
  <si>
    <t>oxidizing 0.01 Cu2+</t>
  </si>
  <si>
    <t>oxidizing 0.5 Cu2+</t>
  </si>
  <si>
    <t>oxidizing 0.005 CuCl2</t>
  </si>
  <si>
    <t>2013Zhou5</t>
  </si>
  <si>
    <t>2013Zhou6</t>
  </si>
  <si>
    <t>2013Zhou7</t>
  </si>
  <si>
    <t>2013Zhou8</t>
  </si>
  <si>
    <t>2013Zhou9</t>
  </si>
  <si>
    <t>2013Zhou10</t>
  </si>
  <si>
    <t>2013Zhou11</t>
  </si>
  <si>
    <t>2013Zhou12</t>
  </si>
  <si>
    <t>2013Zhou13</t>
  </si>
  <si>
    <t>2013Zhou14</t>
  </si>
  <si>
    <t>2013Zhou15</t>
  </si>
  <si>
    <t>2013Zhou16</t>
  </si>
  <si>
    <t>2013Zhou17</t>
  </si>
  <si>
    <t>2013Zhou18</t>
  </si>
  <si>
    <t>2013Zhou19</t>
  </si>
  <si>
    <t>2013Zhou20</t>
  </si>
  <si>
    <t>2013Zhou21</t>
  </si>
  <si>
    <t>2013Zhou22</t>
  </si>
  <si>
    <t>2013Zhou23</t>
  </si>
  <si>
    <t>2013Zhou24</t>
  </si>
  <si>
    <t>2013Zhou25</t>
  </si>
  <si>
    <t>2013Zhou26</t>
  </si>
  <si>
    <t>2013Zhou27</t>
  </si>
  <si>
    <t>2013Zhou28</t>
  </si>
  <si>
    <t>2013Zhou29</t>
  </si>
  <si>
    <t>2013Zhou30</t>
  </si>
  <si>
    <t>2013Zhou31</t>
  </si>
  <si>
    <t>2013Zhou32</t>
  </si>
  <si>
    <t>2013Zhou33</t>
  </si>
  <si>
    <t>2013Zhou34</t>
  </si>
  <si>
    <t>2013Zhou35</t>
  </si>
  <si>
    <t>2013Zhou36</t>
  </si>
  <si>
    <t>2013Zhou37</t>
  </si>
  <si>
    <t>2013Zhou38</t>
  </si>
  <si>
    <t>2013Zhou39</t>
  </si>
  <si>
    <t>2013Zhou40</t>
  </si>
  <si>
    <t>2013Zhou41</t>
  </si>
  <si>
    <t>2013Zhou42</t>
  </si>
  <si>
    <t>2013Zhou43</t>
  </si>
  <si>
    <t>2013Zhou44</t>
  </si>
  <si>
    <t>2013Zhou45</t>
  </si>
  <si>
    <t>2013Zhou46</t>
  </si>
  <si>
    <t>2013Zhou47</t>
  </si>
  <si>
    <t>2013Zhou48</t>
  </si>
  <si>
    <t>2013Zhou49</t>
  </si>
  <si>
    <t>2013Zhou50</t>
  </si>
  <si>
    <t>2013Zhou51</t>
  </si>
  <si>
    <t>2013Zhou52</t>
  </si>
  <si>
    <t>2013Zhou53</t>
  </si>
  <si>
    <t>2013Zhou54</t>
  </si>
  <si>
    <t>2013Zhou55</t>
  </si>
  <si>
    <t>2013Zhou56</t>
  </si>
  <si>
    <t>2013Zhou57</t>
  </si>
  <si>
    <t>2013Zhou58</t>
  </si>
  <si>
    <t>2013Zhou59</t>
  </si>
  <si>
    <t>2013Zhou60</t>
  </si>
  <si>
    <t>2013Zhou61</t>
  </si>
  <si>
    <t>2013Zhou62</t>
  </si>
  <si>
    <t>2013Zhou63</t>
  </si>
  <si>
    <t>2013Zhou64</t>
  </si>
  <si>
    <t>2013Zhou65</t>
  </si>
  <si>
    <t>2013Zhou66</t>
  </si>
  <si>
    <t>2013Zhou67</t>
  </si>
  <si>
    <t>2013Zhou68</t>
  </si>
  <si>
    <t>2013Zhou69</t>
  </si>
  <si>
    <t>2013Zhou70</t>
  </si>
  <si>
    <t>2013Zhou71</t>
  </si>
  <si>
    <t>2013Zhou72</t>
  </si>
  <si>
    <t>2013Zhou73</t>
  </si>
  <si>
    <t>2013Zhou74</t>
  </si>
  <si>
    <t>2013Zhou75</t>
  </si>
  <si>
    <t>2013Zhou76</t>
  </si>
  <si>
    <t>2013Zhou77</t>
  </si>
  <si>
    <t>2013Zhou78</t>
  </si>
  <si>
    <t>2013Zhou79</t>
  </si>
  <si>
    <t>2013Zhou80</t>
  </si>
  <si>
    <t>2013Zhou81</t>
  </si>
  <si>
    <t>2013Zhou82</t>
  </si>
  <si>
    <t>2013Zhou83</t>
  </si>
  <si>
    <t>2013Zhou84</t>
  </si>
  <si>
    <t>2013Zhou85</t>
  </si>
  <si>
    <t>2013Zhou86</t>
  </si>
  <si>
    <t>2013Zhou87</t>
  </si>
  <si>
    <t>2019Calderon-Hernandez1</t>
  </si>
  <si>
    <t>2M SO4</t>
  </si>
  <si>
    <t>5M SO4</t>
  </si>
  <si>
    <t>0.1M OH</t>
  </si>
  <si>
    <t>0.015M CO3</t>
  </si>
  <si>
    <t>1M OH</t>
  </si>
  <si>
    <t>0.05M OH</t>
  </si>
  <si>
    <t>0.6M SO4</t>
  </si>
  <si>
    <t>0.06M SO4</t>
  </si>
  <si>
    <t>0.15M SO4</t>
  </si>
  <si>
    <t>17Cr6Mn5Ni</t>
  </si>
  <si>
    <t>2019Calderon-Hernandez2</t>
  </si>
  <si>
    <t>2019Calderon-Hernandez3</t>
  </si>
  <si>
    <t>2019Calderon-Hernandez4</t>
  </si>
  <si>
    <t>2019Calderon-Hernandez5</t>
  </si>
  <si>
    <t>2019Calderon-Hernandez6</t>
  </si>
  <si>
    <t>2019Calderon-Hernandez7</t>
  </si>
  <si>
    <t>2019Calderon-Hernandez8</t>
  </si>
  <si>
    <t>2019Calderon-Hernandez9</t>
  </si>
  <si>
    <t>2019Calderon-Hernandez10</t>
  </si>
  <si>
    <t>2019Calderon-Hernandez11</t>
  </si>
  <si>
    <t>2019Calderon-Hernandez12</t>
  </si>
  <si>
    <t>2019Calderon-Hernandez13</t>
  </si>
  <si>
    <t>2019Calderon-Hernandez14</t>
  </si>
  <si>
    <t>2019Calderon-Hernandez15</t>
  </si>
  <si>
    <t>2019Calderon-Hernandez16</t>
  </si>
  <si>
    <t>2019Calderon-Hernandez17</t>
  </si>
  <si>
    <t>2019Calderon-Hernandez18</t>
  </si>
  <si>
    <t>2019Calderon-Hernandez19</t>
  </si>
  <si>
    <t>2019Calderon-Hernandez20</t>
  </si>
  <si>
    <t>2019Calderon-Hernandez21</t>
  </si>
  <si>
    <t>2019Calderon-Hernandez22</t>
  </si>
  <si>
    <t>2019Calderon-Hernandez23</t>
  </si>
  <si>
    <t>2019Calderon-Hernandez24</t>
  </si>
  <si>
    <t>2019Calderon-Hernandez25</t>
  </si>
  <si>
    <t>2019Calderon-Hernandez26</t>
  </si>
  <si>
    <t>2019Calderon-Hernandez27</t>
  </si>
  <si>
    <t>2019Calderon-Hernandez28</t>
  </si>
  <si>
    <t>2019Calderon-Hernandez29</t>
  </si>
  <si>
    <t>2019Calderon-Hernandez30</t>
  </si>
  <si>
    <t>2019Calderon-Hernandez31</t>
  </si>
  <si>
    <t>2019Calderon-Hernandez32</t>
  </si>
  <si>
    <t>2019Calderon-Hernandez33</t>
  </si>
  <si>
    <t>2019Calderon-Hernandez34</t>
  </si>
  <si>
    <t>2019Calderon-Hernandez35</t>
  </si>
  <si>
    <t>2019Calderon-Hernandez36</t>
  </si>
  <si>
    <t>2019Calderon-Hernandez37</t>
  </si>
  <si>
    <t>2019Calderon-Hernandez38</t>
  </si>
  <si>
    <t>2019Calderon-Hernandez39</t>
  </si>
  <si>
    <t>2019Calderon-Hernandez40</t>
  </si>
  <si>
    <t>2019Calderon-Hernandez41</t>
  </si>
  <si>
    <t>2019Calderon-Hernandez42</t>
  </si>
  <si>
    <t>2019Calderon-Hernandez43</t>
  </si>
  <si>
    <t>2019Calderon-Hernandez44</t>
  </si>
  <si>
    <t>2019Calderon-Hernandez45</t>
  </si>
  <si>
    <t>2019Calderon-Hernandez46</t>
  </si>
  <si>
    <t>2019Calderon-Hernandez47</t>
  </si>
  <si>
    <t>2019Calderon-Hernandez48</t>
  </si>
  <si>
    <t>2019Calderon-Hernandez49</t>
  </si>
  <si>
    <t>2019Calderon-Hernandez50</t>
  </si>
  <si>
    <t>2019Calderon-Hernandez51</t>
  </si>
  <si>
    <t>2019Calderon-Hernandez52</t>
  </si>
  <si>
    <t>2019Calderon-Hernandez53</t>
  </si>
  <si>
    <t>2019Calderon-Hernandez54</t>
  </si>
  <si>
    <t>2019Calderon-Hernandez55</t>
  </si>
  <si>
    <t>2019Calderon-Hernandez56</t>
  </si>
  <si>
    <t>2019Calderon-Hernandez57</t>
  </si>
  <si>
    <t>2019Calderon-Hernandez58</t>
  </si>
  <si>
    <t>2019Calderon-Hernandez59</t>
  </si>
  <si>
    <t>2019Calderon-Hernandez60</t>
  </si>
  <si>
    <t>2019Calderon-Hernandez61</t>
  </si>
  <si>
    <t>2019Calderon-Hernandez62</t>
  </si>
  <si>
    <t>2019Calderon-Hernandez63</t>
  </si>
  <si>
    <t>2019Calderon-Hernandez64</t>
  </si>
  <si>
    <t>2019Calderon-Hernandez65</t>
  </si>
  <si>
    <t>2019Calderon-Hernandez66</t>
  </si>
  <si>
    <t>2019Calderon-Hernandez67</t>
  </si>
  <si>
    <t>2019Calderon-Hernandez68</t>
  </si>
  <si>
    <t>2019Calderon-Hernandez69</t>
  </si>
  <si>
    <t>2019Calderon-Hernandez70</t>
  </si>
  <si>
    <t>2019Calderon-Hernandez71</t>
  </si>
  <si>
    <t>2019Calderon-Hernandez72</t>
  </si>
  <si>
    <t>2019Calderon-Hernandez73</t>
  </si>
  <si>
    <t>2019Calderon-Hernandez74</t>
  </si>
  <si>
    <t>2019Calderon-Hernandez75</t>
  </si>
  <si>
    <t>2019Calderon-Hernandez76</t>
  </si>
  <si>
    <t>2019Calderon-Hernandez77</t>
  </si>
  <si>
    <t>2019Calderon-Hernandez78</t>
  </si>
  <si>
    <t>2019Calderon-Hernandez79</t>
  </si>
  <si>
    <t>2019Calderon-Hernandez80</t>
  </si>
  <si>
    <t>2019Calderon-Hernandez81</t>
  </si>
  <si>
    <t>2019Calderon-Hernandez82</t>
  </si>
  <si>
    <t>2019Calderon-Hernandez83</t>
  </si>
  <si>
    <t>2019Calderon-Hernandez84</t>
  </si>
  <si>
    <t>2019Calderon-Hernandez85</t>
  </si>
  <si>
    <t>2019Calderon-Hernandez86</t>
  </si>
  <si>
    <t>2019Calderon-Hernandez87</t>
  </si>
  <si>
    <t>2019Calderon-Hernandez88</t>
  </si>
  <si>
    <t>2019Calderon-Hernandez89</t>
  </si>
  <si>
    <t>2019Calderon-Hernandez90</t>
  </si>
  <si>
    <t>2019Calderon-Hernandez91</t>
  </si>
  <si>
    <t>2019Calderon-Hernandez92</t>
  </si>
  <si>
    <t>2019Calderon-Hernandez93</t>
  </si>
  <si>
    <t>2019Calderon-Hernandez94</t>
  </si>
  <si>
    <t>2019Calderon-Hernandez95</t>
  </si>
  <si>
    <t>2019Calderon-Hernandez96</t>
  </si>
  <si>
    <t>2019Calderon-Hernandez97</t>
  </si>
  <si>
    <t>2019Calderon-Hernandez98</t>
  </si>
  <si>
    <t>2019Calderon-Hernandez99</t>
  </si>
  <si>
    <t>2019Calderon-Hernandez100</t>
  </si>
  <si>
    <t>2019Calderon-Hernandez101</t>
  </si>
  <si>
    <t>2019Calderon-Hernandez102</t>
  </si>
  <si>
    <t>2019Calderon-Hernandez103</t>
  </si>
  <si>
    <t>2019Calderon-Hernandez104</t>
  </si>
  <si>
    <t>2019Calderon-Hernandez105</t>
  </si>
  <si>
    <t>2019Calderon-Hernandez106</t>
  </si>
  <si>
    <t>2019Calderon-Hernandez107</t>
  </si>
  <si>
    <t>2019Calderon-Hernandez108</t>
  </si>
  <si>
    <t>2019Calderon-Hernandez109</t>
  </si>
  <si>
    <t>2019Calderon-Hernandez110</t>
  </si>
  <si>
    <t>2019Calderon-Hernandez111</t>
  </si>
  <si>
    <t>2019Calderon-Hernandez112</t>
  </si>
  <si>
    <t>2019Calderon-Hernandez113</t>
  </si>
  <si>
    <t>2019Calderon-Hernandez114</t>
  </si>
  <si>
    <t>2019Calderon-Hernandez115</t>
  </si>
  <si>
    <t>2019Calderon-Hernandez116</t>
  </si>
  <si>
    <t>2019Calderon-Hernandez117</t>
  </si>
  <si>
    <t>2019Calderon-Hernandez118</t>
  </si>
  <si>
    <t>2019Calderon-Hernandez119</t>
  </si>
  <si>
    <t>2019Calderon-Hernandez120</t>
  </si>
  <si>
    <t>2007Yang1</t>
  </si>
  <si>
    <t>0.2M borate</t>
  </si>
  <si>
    <t>reduced -1.0V</t>
  </si>
  <si>
    <t>0.01M borate</t>
  </si>
  <si>
    <t>1M borate</t>
  </si>
  <si>
    <t>0.05M  borate</t>
  </si>
  <si>
    <t>2007Yang2</t>
  </si>
  <si>
    <t>2007Yang3</t>
  </si>
  <si>
    <t>2007Yang4</t>
  </si>
  <si>
    <t>2007Yang5</t>
  </si>
  <si>
    <t>2007Yang6</t>
  </si>
  <si>
    <t>2007Yang7</t>
  </si>
  <si>
    <t>2007Yang8</t>
  </si>
  <si>
    <t>2007Yang9</t>
  </si>
  <si>
    <t>2007Yang10</t>
  </si>
  <si>
    <t>2007Yang11</t>
  </si>
  <si>
    <t>2007Yang12</t>
  </si>
  <si>
    <t>2007Yang13</t>
  </si>
  <si>
    <t>2007Yang14</t>
  </si>
  <si>
    <t>2007Yang15</t>
  </si>
  <si>
    <t>2007Yang16</t>
  </si>
  <si>
    <t>2007Yang17</t>
  </si>
  <si>
    <t>2007Yang18</t>
  </si>
  <si>
    <t>2007Yang19</t>
  </si>
  <si>
    <t>2007Yang20</t>
  </si>
  <si>
    <t>2007Yang21</t>
  </si>
  <si>
    <t>2007Yang22</t>
  </si>
  <si>
    <t>2007Yang23</t>
  </si>
  <si>
    <t>2007Yang24</t>
  </si>
  <si>
    <t>2007Yang25</t>
  </si>
  <si>
    <t>2007Yang26</t>
  </si>
  <si>
    <t>2007Yang27</t>
  </si>
  <si>
    <t>2007Yang28</t>
  </si>
  <si>
    <t>2007Yang29</t>
  </si>
  <si>
    <t>2007Yang30</t>
  </si>
  <si>
    <t>2007Yang31</t>
  </si>
  <si>
    <t>2007Yang32</t>
  </si>
  <si>
    <t>2007Yang33</t>
  </si>
  <si>
    <t>2007Yang34</t>
  </si>
  <si>
    <t>2007Yang35</t>
  </si>
  <si>
    <t>2007Yang36</t>
  </si>
  <si>
    <t>2007Yang37</t>
  </si>
  <si>
    <t>2007Yang38</t>
  </si>
  <si>
    <t>2007Yang39</t>
  </si>
  <si>
    <t>2007Yang40</t>
  </si>
  <si>
    <t>2mM nitrate</t>
  </si>
  <si>
    <t>5mM nitrate</t>
  </si>
  <si>
    <t>0.01M nitrate</t>
  </si>
  <si>
    <t>0.025M nitrate</t>
  </si>
  <si>
    <t>2007Yang41</t>
  </si>
  <si>
    <t>2007Yang42</t>
  </si>
  <si>
    <t>2007Yang43</t>
  </si>
  <si>
    <t>2007Yang44</t>
  </si>
  <si>
    <t>2007Yang45</t>
  </si>
  <si>
    <t>2007Yang46</t>
  </si>
  <si>
    <t>2007Yang47</t>
  </si>
  <si>
    <t>2007Yang48</t>
  </si>
  <si>
    <t>2007Yang49</t>
  </si>
  <si>
    <t>2007Yang50</t>
  </si>
  <si>
    <t>2007Yang51</t>
  </si>
  <si>
    <t>2007Yang52</t>
  </si>
  <si>
    <t>2007Yang53</t>
  </si>
  <si>
    <t>2007Yang54</t>
  </si>
  <si>
    <t>2007Yang55</t>
  </si>
  <si>
    <t>2007Yang56</t>
  </si>
  <si>
    <t>2007Yang57</t>
  </si>
  <si>
    <t>2007Yang58</t>
  </si>
  <si>
    <t>2007Yang59</t>
  </si>
  <si>
    <t>2007Yang60</t>
  </si>
  <si>
    <t>2007Yang61</t>
  </si>
  <si>
    <t>2007Yang62</t>
  </si>
  <si>
    <t>2007Yang63</t>
  </si>
  <si>
    <t>2007Yang64</t>
  </si>
  <si>
    <t>2007Yang65</t>
  </si>
  <si>
    <t>2007Yang66</t>
  </si>
  <si>
    <t>2007Yang67</t>
  </si>
  <si>
    <t>2007Yang68</t>
  </si>
  <si>
    <t>2007Yang69</t>
  </si>
  <si>
    <t>2007Yang70</t>
  </si>
  <si>
    <t>2007Yang71</t>
  </si>
  <si>
    <t>2007Yang72</t>
  </si>
  <si>
    <t>2007Yang73</t>
  </si>
  <si>
    <t>0.6N others</t>
  </si>
  <si>
    <t>duplex</t>
  </si>
  <si>
    <t>history_redox</t>
  </si>
  <si>
    <t>history_pH</t>
  </si>
  <si>
    <t/>
  </si>
  <si>
    <t>Orlikowski01</t>
  </si>
  <si>
    <t>Orlikowski02</t>
  </si>
  <si>
    <t>Orlikowski03</t>
  </si>
  <si>
    <t>Orlikowski04</t>
  </si>
  <si>
    <t>Orlikowski05</t>
  </si>
  <si>
    <t>Orlikowski06</t>
  </si>
  <si>
    <t>Orlikowski07</t>
  </si>
  <si>
    <t>Orlikowski08</t>
  </si>
  <si>
    <t>Orlikowski09</t>
  </si>
  <si>
    <t>Orlikowski10</t>
  </si>
  <si>
    <t>Orlikowski11</t>
  </si>
  <si>
    <t>Orlikowski12</t>
  </si>
  <si>
    <t>0.6mM SO4</t>
  </si>
  <si>
    <t>0.8mM SO4</t>
  </si>
  <si>
    <t>2020Heyn01</t>
  </si>
  <si>
    <t>2020Heyn02</t>
  </si>
  <si>
    <t>2020Heyn03</t>
  </si>
  <si>
    <t>2020Heyn04</t>
  </si>
  <si>
    <t>2020Heyn05</t>
  </si>
  <si>
    <t>2020Heyn06</t>
  </si>
  <si>
    <t>2020Heyn07</t>
  </si>
  <si>
    <t>2020Heyn08</t>
  </si>
  <si>
    <t>2020Heyn09</t>
  </si>
  <si>
    <t>2020Heyn10</t>
  </si>
  <si>
    <t>2020Heyn11</t>
  </si>
  <si>
    <t>2013Mesquita01</t>
  </si>
  <si>
    <t>2x25mM HCO3+CO3</t>
  </si>
  <si>
    <t>2013Mesquita02</t>
  </si>
  <si>
    <t>2013Mesquita03</t>
  </si>
  <si>
    <t>2013Mesquita04</t>
  </si>
  <si>
    <t>2013Mesquita05</t>
  </si>
  <si>
    <t>2013Mesquita06</t>
  </si>
  <si>
    <t>2013Mesquita07</t>
  </si>
  <si>
    <t>2013Mesquita08</t>
  </si>
  <si>
    <t>2013Mesquita09</t>
  </si>
  <si>
    <t>2013Mesquita10</t>
  </si>
  <si>
    <t>2013Mesquita11</t>
  </si>
  <si>
    <t>2013Mesquita12</t>
  </si>
  <si>
    <t>2013Mesquita13</t>
  </si>
  <si>
    <t>2013Mesquita14</t>
  </si>
  <si>
    <t>2013Mesquita15</t>
  </si>
  <si>
    <t>2013Mesquita16</t>
  </si>
  <si>
    <t>2013Mesquita17</t>
  </si>
  <si>
    <t>2013Mesquita18</t>
  </si>
  <si>
    <t>2013Mesquita19</t>
  </si>
  <si>
    <t>2013Mesquita20</t>
  </si>
  <si>
    <t>2013Mesquita21</t>
  </si>
  <si>
    <t>2013Mesquita22</t>
  </si>
  <si>
    <t>2013Mesquita23</t>
  </si>
  <si>
    <t>2013Mesquita24</t>
  </si>
  <si>
    <t>2013Mesquita25</t>
  </si>
  <si>
    <t>2013Mesquita26</t>
  </si>
  <si>
    <t>2013Mesquita27</t>
  </si>
  <si>
    <t>2013Mesquita28</t>
  </si>
  <si>
    <t>2013Mesquita29</t>
  </si>
  <si>
    <t>2013Mesquita30</t>
  </si>
  <si>
    <t>2005Faller01</t>
  </si>
  <si>
    <t>2005Faller02</t>
  </si>
  <si>
    <t>2005Faller03</t>
  </si>
  <si>
    <t>2005Faller04</t>
  </si>
  <si>
    <t>2005Faller05</t>
  </si>
  <si>
    <t>2005Faller06</t>
  </si>
  <si>
    <t>2005Faller07</t>
  </si>
  <si>
    <t>2008Pohjanne01</t>
  </si>
  <si>
    <t>2008Pohjanne02</t>
  </si>
  <si>
    <t>2008Pohjanne03</t>
  </si>
  <si>
    <t>2008Pohjanne04</t>
  </si>
  <si>
    <t>2008Pohjanne05</t>
  </si>
  <si>
    <t>2008Pohjanne06</t>
  </si>
  <si>
    <t>2008Pohjanne07</t>
  </si>
  <si>
    <t>2008Pohjanne08</t>
  </si>
  <si>
    <t>2008Pohjanne09</t>
  </si>
  <si>
    <t>2008Pohjanne10</t>
  </si>
  <si>
    <t>2008Pohjanne11</t>
  </si>
  <si>
    <t>2008Pohjanne12</t>
  </si>
  <si>
    <t>2008Pohjanne13</t>
  </si>
  <si>
    <t>2008Pohjanne14</t>
  </si>
  <si>
    <t>2008Pohjanne15</t>
  </si>
  <si>
    <t>2008Pohjanne16</t>
  </si>
  <si>
    <t>2008Pohjanne17</t>
  </si>
  <si>
    <t>2008Pohjanne18</t>
  </si>
  <si>
    <t>2008Pohjanne19</t>
  </si>
  <si>
    <t>2008Pohjanne20</t>
  </si>
  <si>
    <t>2008Pohjanne21</t>
  </si>
  <si>
    <t>2008Pohjanne22</t>
  </si>
  <si>
    <t>2008Pohjanne23</t>
  </si>
  <si>
    <t>2008Pohjanne24</t>
  </si>
  <si>
    <t>2008Pohjanne25</t>
  </si>
  <si>
    <t>2008Pohjanne26</t>
  </si>
  <si>
    <t>2008Pohjanne27</t>
  </si>
  <si>
    <t>2008Pohjanne28</t>
  </si>
  <si>
    <t>2008Pohjanne29</t>
  </si>
  <si>
    <t>2008Pohjanne30</t>
  </si>
  <si>
    <t>2008Pohjanne31</t>
  </si>
  <si>
    <t>2008Pohjanne32</t>
  </si>
  <si>
    <t>0.5M SO4</t>
  </si>
  <si>
    <t>0.01M SO4</t>
  </si>
  <si>
    <t>0.1M SO4</t>
  </si>
  <si>
    <t>1M SO4</t>
  </si>
  <si>
    <t>2008Pohjanne33</t>
  </si>
  <si>
    <t>2008Pohjanne34</t>
  </si>
  <si>
    <t>2008Pohjanne35</t>
  </si>
  <si>
    <t>2008Pohjanne36</t>
  </si>
  <si>
    <t>2008Pohjanne37</t>
  </si>
  <si>
    <t>2008Pohjanne38</t>
  </si>
  <si>
    <t>2008Pohjanne39</t>
  </si>
  <si>
    <t>2008Pohjanne40</t>
  </si>
  <si>
    <t>2008Pohjanne41</t>
  </si>
  <si>
    <t>2008Pohjanne42</t>
  </si>
  <si>
    <t>2008Pohjanne43</t>
  </si>
  <si>
    <t>2008Pohjanne44</t>
  </si>
  <si>
    <t>2008Pohjanne45</t>
  </si>
  <si>
    <t>2008Pohjanne46</t>
  </si>
  <si>
    <t>2008Pohjanne47</t>
  </si>
  <si>
    <t>2008Pohjanne48</t>
  </si>
  <si>
    <t>2008Pohjanne49</t>
  </si>
  <si>
    <t>2008Pohjanne50</t>
  </si>
  <si>
    <t>2008Pohjanne51</t>
  </si>
  <si>
    <t>2008Pohjanne52</t>
  </si>
  <si>
    <t>2008Pohjanne53</t>
  </si>
  <si>
    <t>2008Pohjanne54</t>
  </si>
  <si>
    <t>2008Pohjanne55</t>
  </si>
  <si>
    <t>2008Pohjanne56</t>
  </si>
  <si>
    <t>2008Pohjanne57</t>
  </si>
  <si>
    <t>2008Pohjanne58</t>
  </si>
  <si>
    <t>2008Pohjanne59</t>
  </si>
  <si>
    <t>2008Pohjanne60</t>
  </si>
  <si>
    <t>2008Pohjanne61</t>
  </si>
  <si>
    <t>2008Pohjanne62</t>
  </si>
  <si>
    <t>2008Pohjanne63</t>
  </si>
  <si>
    <t>2008Pohjanne64</t>
  </si>
  <si>
    <t>2008Pohjanne65</t>
  </si>
  <si>
    <t>2008Pohjanne66</t>
  </si>
  <si>
    <t>2008Pohjanne67</t>
  </si>
  <si>
    <t>2000Matsch01</t>
  </si>
  <si>
    <t>2000Matsch02</t>
  </si>
  <si>
    <t>2000Matsch03</t>
  </si>
  <si>
    <t>2000Matsch04</t>
  </si>
  <si>
    <t>2000Matsch05</t>
  </si>
  <si>
    <t>2000Matsch06</t>
  </si>
  <si>
    <t>2000Matsch07</t>
  </si>
  <si>
    <t>2000Matsch08</t>
  </si>
  <si>
    <t>2000Matsch09</t>
  </si>
  <si>
    <t>2000Matsch10</t>
  </si>
  <si>
    <t>2000Matsch11</t>
  </si>
  <si>
    <t>2000Matsch12</t>
  </si>
  <si>
    <t>2000Matsch13</t>
  </si>
  <si>
    <t>2000Matsch14</t>
  </si>
  <si>
    <t>2000Matsch15</t>
  </si>
  <si>
    <t>2000Matsch16</t>
  </si>
  <si>
    <t>2000Matsch17</t>
  </si>
  <si>
    <t>2000Matsch18</t>
  </si>
  <si>
    <t>2000Matsch19</t>
  </si>
  <si>
    <t>2000Matsch20</t>
  </si>
  <si>
    <t>2000Matsch21</t>
  </si>
  <si>
    <t>2000Matsch22</t>
  </si>
  <si>
    <t>2000Matsch23</t>
  </si>
  <si>
    <t>2000Matsch24</t>
  </si>
  <si>
    <t>C</t>
  </si>
  <si>
    <t>Mn</t>
  </si>
  <si>
    <t>Si</t>
  </si>
  <si>
    <t>P</t>
  </si>
  <si>
    <t>S</t>
  </si>
  <si>
    <t>Cr</t>
  </si>
  <si>
    <t>Ni</t>
  </si>
  <si>
    <t>Mo</t>
  </si>
  <si>
    <t>N</t>
  </si>
  <si>
    <t>1.4301+S</t>
  </si>
  <si>
    <t>CP_anions_info</t>
  </si>
  <si>
    <t>2012Hara01</t>
  </si>
  <si>
    <t>2012Hara02</t>
  </si>
  <si>
    <t>2012Hara03</t>
  </si>
  <si>
    <t>2012Hara04</t>
  </si>
  <si>
    <t>2012Hara05</t>
  </si>
  <si>
    <t>2012Hara06</t>
  </si>
  <si>
    <t>2012Hara07</t>
  </si>
  <si>
    <t>2012Hara08</t>
  </si>
  <si>
    <t>2012Hara09</t>
  </si>
  <si>
    <t>2012Hara10</t>
  </si>
  <si>
    <t>2012Hara11</t>
  </si>
  <si>
    <t>2012Hara12</t>
  </si>
  <si>
    <t>2012Hara13</t>
  </si>
  <si>
    <t>2012Hara14</t>
  </si>
  <si>
    <t>2012Hara15</t>
  </si>
  <si>
    <t>2012Hara16</t>
  </si>
  <si>
    <t>2012Hara17</t>
  </si>
  <si>
    <t>2012Hara18</t>
  </si>
  <si>
    <t>2012Hara19</t>
  </si>
  <si>
    <t>2012Hara20</t>
  </si>
  <si>
    <t>2012Hara21</t>
  </si>
  <si>
    <t>2012Hara22</t>
  </si>
  <si>
    <t>2012Hara23</t>
  </si>
  <si>
    <t>2012Hara24</t>
  </si>
  <si>
    <t>2012Hara25</t>
  </si>
  <si>
    <t>2012Hara26</t>
  </si>
  <si>
    <t>2012Hara27</t>
  </si>
  <si>
    <t>2012Hara28</t>
  </si>
  <si>
    <t>2012Hara29</t>
  </si>
  <si>
    <t>2012Hara30</t>
  </si>
  <si>
    <t>2012Hara31</t>
  </si>
  <si>
    <t>2012Hara32</t>
  </si>
  <si>
    <t>2012Hara33</t>
  </si>
  <si>
    <t>2012Hara34</t>
  </si>
  <si>
    <t>2012Hara35</t>
  </si>
  <si>
    <t>2012Hara36</t>
  </si>
  <si>
    <t>2012Hara37</t>
  </si>
  <si>
    <t>2012Hara38</t>
  </si>
  <si>
    <t>2012Hara39</t>
  </si>
  <si>
    <t>2012Hara40</t>
  </si>
  <si>
    <t>2012Hara41</t>
  </si>
  <si>
    <t>2012Hara42</t>
  </si>
  <si>
    <t>2012Hara43</t>
  </si>
  <si>
    <t>2012Hara44</t>
  </si>
  <si>
    <t>2012Hara45</t>
  </si>
  <si>
    <t>2012Hara46</t>
  </si>
  <si>
    <t>2012Hara47</t>
  </si>
  <si>
    <t>2012Hara48</t>
  </si>
  <si>
    <t>2012Hara49</t>
  </si>
  <si>
    <t>2012Hara50</t>
  </si>
  <si>
    <t>2012Hara51</t>
  </si>
  <si>
    <t>2012Hara52</t>
  </si>
  <si>
    <t>2012Hara53</t>
  </si>
  <si>
    <t>2012Hara54</t>
  </si>
  <si>
    <t>2012Hara55</t>
  </si>
  <si>
    <t>2012Hara56</t>
  </si>
  <si>
    <t>2012Hara57</t>
  </si>
  <si>
    <t>2012Hara58</t>
  </si>
  <si>
    <t>2012Hara59</t>
  </si>
  <si>
    <t>2012Hara60</t>
  </si>
  <si>
    <t>2012Hara61</t>
  </si>
  <si>
    <t>2012Hara62</t>
  </si>
  <si>
    <t>2012Hara63</t>
  </si>
  <si>
    <t>2012Hara64</t>
  </si>
  <si>
    <t>2012Hara65</t>
  </si>
  <si>
    <t>2012Hara66</t>
  </si>
  <si>
    <t>2012Hara67</t>
  </si>
  <si>
    <t>1991Cortest01</t>
  </si>
  <si>
    <t>0.5% MgSO4 + 0.1M H2SO4</t>
  </si>
  <si>
    <t>1991Cortest02</t>
  </si>
  <si>
    <t>1991Cortest03</t>
  </si>
  <si>
    <t>1991Cortest04</t>
  </si>
  <si>
    <t>1991Cortest05</t>
  </si>
  <si>
    <t>1991Cortest06</t>
  </si>
  <si>
    <t>0.5% MgSO4</t>
  </si>
  <si>
    <t>1991Cortest07</t>
  </si>
  <si>
    <t>1991Cortest08</t>
  </si>
  <si>
    <t>1991Cortest09</t>
  </si>
  <si>
    <t>1991Cortest10</t>
  </si>
  <si>
    <t>1% Al2SO43 + 0.1M H2SO4</t>
  </si>
  <si>
    <t>1991Cortest11</t>
  </si>
  <si>
    <t>1991Cortest12</t>
  </si>
  <si>
    <t>1991Cortest13</t>
  </si>
  <si>
    <t>1991Cortest14</t>
  </si>
  <si>
    <t>1991Cortest15</t>
  </si>
  <si>
    <t>1980Manning01</t>
  </si>
  <si>
    <t>1980Manning02</t>
  </si>
  <si>
    <t>1980Manning03</t>
  </si>
  <si>
    <t>1980Manning04</t>
  </si>
  <si>
    <t>1980Manning05</t>
  </si>
  <si>
    <t>1980Manning06</t>
  </si>
  <si>
    <t>1980Manning07</t>
  </si>
  <si>
    <t>1980Manning08</t>
  </si>
  <si>
    <t>1980Manning09</t>
  </si>
  <si>
    <t>1980Manning10</t>
  </si>
  <si>
    <t>1980Manning11</t>
  </si>
  <si>
    <t>1980Manning12</t>
  </si>
  <si>
    <t>1980Manning13</t>
  </si>
  <si>
    <t>1980Manning14</t>
  </si>
  <si>
    <t>1980Manning15</t>
  </si>
  <si>
    <t>1980Manning16</t>
  </si>
  <si>
    <t>1980Manning17</t>
  </si>
  <si>
    <t>1980Manning18</t>
  </si>
  <si>
    <t>1980Manning19</t>
  </si>
  <si>
    <t>1980Manning20</t>
  </si>
  <si>
    <t>1980Manning21</t>
  </si>
  <si>
    <t>1980Manning22</t>
  </si>
  <si>
    <t>1980Manning23</t>
  </si>
  <si>
    <t>1980Manning24</t>
  </si>
  <si>
    <t>1980Manning25</t>
  </si>
  <si>
    <t>1980Manning26</t>
  </si>
  <si>
    <t>1980Manning27</t>
  </si>
  <si>
    <t>1982Roy01</t>
  </si>
  <si>
    <t>1982Roy02</t>
  </si>
  <si>
    <t>1982Roy03</t>
  </si>
  <si>
    <t>1982Roy04</t>
  </si>
  <si>
    <t>1982Roy05</t>
  </si>
  <si>
    <t>1982Roy06</t>
  </si>
  <si>
    <t>1982Roy07</t>
  </si>
  <si>
    <t>1982Roy08</t>
  </si>
  <si>
    <t>1982Roy09</t>
  </si>
  <si>
    <t>1982Roy10</t>
  </si>
  <si>
    <t>1982Roy11</t>
  </si>
  <si>
    <t>1982Roy12</t>
  </si>
  <si>
    <t>1982Roy13</t>
  </si>
  <si>
    <t>1982Roy14</t>
  </si>
  <si>
    <t>1982Roy15</t>
  </si>
  <si>
    <t>1982Roy16</t>
  </si>
  <si>
    <t>2014Mendez01</t>
  </si>
  <si>
    <t>2014Mendez02</t>
  </si>
  <si>
    <t>2014Mendez03</t>
  </si>
  <si>
    <t>2014Mendez04</t>
  </si>
  <si>
    <t>2014Mendez05</t>
  </si>
  <si>
    <t>2014Mendez06</t>
  </si>
  <si>
    <t>2014Mendez07</t>
  </si>
  <si>
    <t>2014Mendez08</t>
  </si>
  <si>
    <t>2014Mendez09</t>
  </si>
  <si>
    <t>2014Mendez10</t>
  </si>
  <si>
    <t>2014Mendez11</t>
  </si>
  <si>
    <t>2014Mendez12</t>
  </si>
  <si>
    <t>2014Mendez13</t>
  </si>
  <si>
    <t>2014Mendez14</t>
  </si>
  <si>
    <t>2014Mendez15</t>
  </si>
  <si>
    <t>2014Mendez16</t>
  </si>
  <si>
    <t>2014Mendez17</t>
  </si>
  <si>
    <t>2014Mendez18</t>
  </si>
  <si>
    <t>2014Mendez19</t>
  </si>
  <si>
    <t>2014Mendez20</t>
  </si>
  <si>
    <t>2014Mendez21</t>
  </si>
  <si>
    <t>2014Mendez22</t>
  </si>
  <si>
    <t>2014Mendez23</t>
  </si>
  <si>
    <t>2014Mendez24</t>
  </si>
  <si>
    <t>2014Mendez25</t>
  </si>
  <si>
    <t>2014Mendez26</t>
  </si>
  <si>
    <t>2014Mendez27</t>
  </si>
  <si>
    <t>2014Mendez28</t>
  </si>
  <si>
    <t>2014Mendez29</t>
  </si>
  <si>
    <t>2014Mendez30</t>
  </si>
  <si>
    <t>2014Mendez31</t>
  </si>
  <si>
    <t>2014Mendez32</t>
  </si>
  <si>
    <t>2014Mendez33</t>
  </si>
  <si>
    <t>2014Mendez34</t>
  </si>
  <si>
    <t>2014Mendez35</t>
  </si>
  <si>
    <t>2014Mendez36</t>
  </si>
  <si>
    <t>2014Mameng01</t>
  </si>
  <si>
    <t>2014Mameng02</t>
  </si>
  <si>
    <t>2014Mameng03</t>
  </si>
  <si>
    <t>2014Mameng04</t>
  </si>
  <si>
    <t>2014Mameng05</t>
  </si>
  <si>
    <t>2014Mameng06</t>
  </si>
  <si>
    <t>2014Mameng07</t>
  </si>
  <si>
    <t>2014Mameng08</t>
  </si>
  <si>
    <t>2014Mameng09</t>
  </si>
  <si>
    <t>2014Mameng10</t>
  </si>
  <si>
    <t>2014Mameng11</t>
  </si>
  <si>
    <t>2014Mameng12</t>
  </si>
  <si>
    <t>2014Mameng13</t>
  </si>
  <si>
    <t>2014Mameng14</t>
  </si>
  <si>
    <t>2014Mameng15</t>
  </si>
  <si>
    <t>2014Mameng16</t>
  </si>
  <si>
    <t>2014Mameng17</t>
  </si>
  <si>
    <t>2014Mameng18</t>
  </si>
  <si>
    <t>1.4410</t>
  </si>
  <si>
    <t>2014Mameng19</t>
  </si>
  <si>
    <t>2014Mameng20</t>
  </si>
  <si>
    <t>2014Mameng21</t>
  </si>
  <si>
    <t>2014Mameng22</t>
  </si>
  <si>
    <t>2014Mameng23</t>
  </si>
  <si>
    <t>2014Mameng24</t>
  </si>
  <si>
    <t>1.4527</t>
  </si>
  <si>
    <t>2014Mameng25</t>
  </si>
  <si>
    <t>2014Mameng26</t>
  </si>
  <si>
    <t>2014Mameng27</t>
  </si>
  <si>
    <t>2014Mameng28</t>
  </si>
  <si>
    <t>2014Mameng29</t>
  </si>
  <si>
    <t>2014Mameng30</t>
  </si>
  <si>
    <t>1.4565</t>
  </si>
  <si>
    <t>2014Mameng31</t>
  </si>
  <si>
    <t>2014Mameng32</t>
  </si>
  <si>
    <t>2014Mameng33</t>
  </si>
  <si>
    <t>2014Mameng34</t>
  </si>
  <si>
    <t>2014Mameng35</t>
  </si>
  <si>
    <t>2014Mameng36</t>
  </si>
  <si>
    <t>1.4652</t>
  </si>
  <si>
    <t>2014Mameng37</t>
  </si>
  <si>
    <t>2014Mameng38</t>
  </si>
  <si>
    <t>2014Mameng39</t>
  </si>
  <si>
    <t>2014Mameng40</t>
  </si>
  <si>
    <t>2014Mameng41</t>
  </si>
  <si>
    <t>2002Alonso01</t>
  </si>
  <si>
    <t>2002Alonso02</t>
  </si>
  <si>
    <t>2002Alonso03</t>
  </si>
  <si>
    <t>2002Alonso04</t>
  </si>
  <si>
    <t>2002Alonso05</t>
  </si>
  <si>
    <t>2002Alonso06</t>
  </si>
  <si>
    <t>2002Alonso07</t>
  </si>
  <si>
    <t>2002Alonso08</t>
  </si>
  <si>
    <t>2002Alonso09</t>
  </si>
  <si>
    <t>pure chloride</t>
  </si>
  <si>
    <t>2002Alonso11</t>
  </si>
  <si>
    <t>2002Alonso12</t>
  </si>
  <si>
    <t>2002Alonso13</t>
  </si>
  <si>
    <t>2002Alonso14</t>
  </si>
  <si>
    <t>2002Alonso15</t>
  </si>
  <si>
    <t>2002Alonso16</t>
  </si>
  <si>
    <t>2002Alonso17</t>
  </si>
  <si>
    <t>2002Alonso18</t>
  </si>
  <si>
    <t>2002Alonso19</t>
  </si>
  <si>
    <t>2002Alonso20</t>
  </si>
  <si>
    <t>2002Alonso21</t>
  </si>
  <si>
    <t>2002Alonso22</t>
  </si>
  <si>
    <t>2002Alonso23</t>
  </si>
  <si>
    <t>2002Alonso24</t>
  </si>
  <si>
    <t>2002Alonso25</t>
  </si>
  <si>
    <t>2002Alonso26</t>
  </si>
  <si>
    <t>2002Alonso27</t>
  </si>
  <si>
    <t>2002Alonso28</t>
  </si>
  <si>
    <t>2002Alonso29</t>
  </si>
  <si>
    <t>2002Alonso30</t>
  </si>
  <si>
    <t>2008Lu01</t>
  </si>
  <si>
    <t>2008Lu02</t>
  </si>
  <si>
    <t>2008Lu03</t>
  </si>
  <si>
    <t>2008Lu04</t>
  </si>
  <si>
    <t>2008Lu05</t>
  </si>
  <si>
    <t>2008Lu06</t>
  </si>
  <si>
    <t>2008Lu07</t>
  </si>
  <si>
    <t>2008Lu08</t>
  </si>
  <si>
    <t>2008Lu09</t>
  </si>
  <si>
    <t>2010Arcelor01</t>
  </si>
  <si>
    <t>2010Arcelor02</t>
  </si>
  <si>
    <t>2010Arcelor03</t>
  </si>
  <si>
    <t>2010Arcelor04</t>
  </si>
  <si>
    <t>2010Arcelor05</t>
  </si>
  <si>
    <t>2010Arcelor06</t>
  </si>
  <si>
    <t>2010Arcelor07</t>
  </si>
  <si>
    <t>2010Arcelor08</t>
  </si>
  <si>
    <t>2010Arcelor09</t>
  </si>
  <si>
    <t>2010Arcelor10</t>
  </si>
  <si>
    <t>2010Arcelor11</t>
  </si>
  <si>
    <t>2010Arcelor12</t>
  </si>
  <si>
    <t>2010Arcelor13</t>
  </si>
  <si>
    <t>2010Arcelor14</t>
  </si>
  <si>
    <t>2010Arcelor15</t>
  </si>
  <si>
    <t>2010Arcelor16</t>
  </si>
  <si>
    <t>2010Arcelor17</t>
  </si>
  <si>
    <t>2010Arcelor18</t>
  </si>
  <si>
    <t>2010Arcelor19</t>
  </si>
  <si>
    <t>2010Arcelor20</t>
  </si>
  <si>
    <t>2010Arcelor21</t>
  </si>
  <si>
    <t>2010Arcelor22</t>
  </si>
  <si>
    <t>2010Arcelor23</t>
  </si>
  <si>
    <t>2010Arcelor24</t>
  </si>
  <si>
    <t>2010Arcelor25</t>
  </si>
  <si>
    <t>2010Arcelor26</t>
  </si>
  <si>
    <t>2010Arcelor27</t>
  </si>
  <si>
    <t>2010Arcelor28</t>
  </si>
  <si>
    <t>2010Arcelor29</t>
  </si>
  <si>
    <t>2010Arcelor30</t>
  </si>
  <si>
    <t>2010Arcelor31</t>
  </si>
  <si>
    <t>2010Arcelor32</t>
  </si>
  <si>
    <t>2010Arcelor33</t>
  </si>
  <si>
    <t>2010Arcelor34</t>
  </si>
  <si>
    <t>2010Arcelor35</t>
  </si>
  <si>
    <t>2010Arcelor36</t>
  </si>
  <si>
    <t>2010Arcelor37</t>
  </si>
  <si>
    <t>2010Arcelor38</t>
  </si>
  <si>
    <t>2010Arcelor39</t>
  </si>
  <si>
    <t>2010Arcelor40</t>
  </si>
  <si>
    <t>2010Arcelor41</t>
  </si>
  <si>
    <t>2010Arcelor42</t>
  </si>
  <si>
    <t>2010Arcelor43</t>
  </si>
  <si>
    <t>2010Arcelor44</t>
  </si>
  <si>
    <t>2010Arcelor45</t>
  </si>
  <si>
    <t>2010Arcelor46</t>
  </si>
  <si>
    <t>2010Arcelor47</t>
  </si>
  <si>
    <t>2010Arcelor48</t>
  </si>
  <si>
    <t>2010Arcelor49</t>
  </si>
  <si>
    <t>2010Arcelor50</t>
  </si>
  <si>
    <t>2010Arcelor51</t>
  </si>
  <si>
    <t>2010Arcelor52</t>
  </si>
  <si>
    <t>2010Arcelor53</t>
  </si>
  <si>
    <t>2014Bikic01</t>
  </si>
  <si>
    <t>2014Bikic02</t>
  </si>
  <si>
    <t>2014Bikic03</t>
  </si>
  <si>
    <t>2014Bikic04</t>
  </si>
  <si>
    <t>2014Bikic05</t>
  </si>
  <si>
    <t>2014Bikic06</t>
  </si>
  <si>
    <t>2014Bikic07</t>
  </si>
  <si>
    <t>2014Bikic08</t>
  </si>
  <si>
    <t>2013DeAngelis01</t>
  </si>
  <si>
    <t>2013DeAngelis02</t>
  </si>
  <si>
    <t>2013DeAngelis03</t>
  </si>
  <si>
    <t>2013DeAngelis04</t>
  </si>
  <si>
    <t>2013DeAngelis05</t>
  </si>
  <si>
    <t>2013DeAngelis06</t>
  </si>
  <si>
    <t>2013DeAngelis07</t>
  </si>
  <si>
    <t>2013DeAngelis08</t>
  </si>
  <si>
    <t>2013DeAngelis09</t>
  </si>
  <si>
    <t>2013DeAngelis10</t>
  </si>
  <si>
    <t>2013DeAngelis11</t>
  </si>
  <si>
    <t>2013DeAngelis12</t>
  </si>
  <si>
    <t>2013DeAngelis13</t>
  </si>
  <si>
    <t>470LI</t>
  </si>
  <si>
    <t>2013DeAngelis14</t>
  </si>
  <si>
    <t>2013DeAngelis15</t>
  </si>
  <si>
    <t>2013DeAngelis16</t>
  </si>
  <si>
    <t>2013DeAngelis17</t>
  </si>
  <si>
    <t>2015Wu01</t>
  </si>
  <si>
    <t>2015Wu02</t>
  </si>
  <si>
    <t>2015Wu03</t>
  </si>
  <si>
    <t>2015Wu04</t>
  </si>
  <si>
    <t>2015Wu05</t>
  </si>
  <si>
    <t>2016Alar01</t>
  </si>
  <si>
    <t>2016Alar02</t>
  </si>
  <si>
    <t>2016Alar03</t>
  </si>
  <si>
    <t>2016Alar04</t>
  </si>
  <si>
    <t>2016Alar05</t>
  </si>
  <si>
    <t>2016Alar06</t>
  </si>
  <si>
    <t>2016Alar07</t>
  </si>
  <si>
    <t>2016Alar08</t>
  </si>
  <si>
    <t>2016Alar09</t>
  </si>
  <si>
    <t>2016Alar10</t>
  </si>
  <si>
    <t>2016Alar11</t>
  </si>
  <si>
    <t>2016Alar12</t>
  </si>
  <si>
    <t>2016Alar13</t>
  </si>
  <si>
    <t>2016Alar14</t>
  </si>
  <si>
    <t>2016Alar15</t>
  </si>
  <si>
    <t>2016Alar16</t>
  </si>
  <si>
    <t>2016Alar17</t>
  </si>
  <si>
    <t>2016Alar18</t>
  </si>
  <si>
    <t>2016Alar19</t>
  </si>
  <si>
    <t>2016Alar20</t>
  </si>
  <si>
    <t>2016Alar21</t>
  </si>
  <si>
    <t>2016Alar22</t>
  </si>
  <si>
    <t>2016Alar23</t>
  </si>
  <si>
    <t>2016Alar24</t>
  </si>
  <si>
    <t>2016Alar25</t>
  </si>
  <si>
    <t>2016Alar26</t>
  </si>
  <si>
    <t>2016Alar27</t>
  </si>
  <si>
    <t>2016Alar28</t>
  </si>
  <si>
    <t>2016Alar29</t>
  </si>
  <si>
    <t>2016Alar30</t>
  </si>
  <si>
    <t>2016Alar31</t>
  </si>
  <si>
    <t>2016Alar32</t>
  </si>
  <si>
    <t>2016Alar33</t>
  </si>
  <si>
    <t>2016Alar34</t>
  </si>
  <si>
    <t>2016Alar35</t>
  </si>
  <si>
    <t>2016Alar36</t>
  </si>
  <si>
    <t>2016Alar37</t>
  </si>
  <si>
    <t>2016Alar38</t>
  </si>
  <si>
    <t>2016Alar39</t>
  </si>
  <si>
    <t>2016Alar40</t>
  </si>
  <si>
    <t>2016Alar41</t>
  </si>
  <si>
    <t>2016Alar42</t>
  </si>
  <si>
    <t>2016Alar43</t>
  </si>
  <si>
    <t>2016Alar44</t>
  </si>
  <si>
    <t>2016Alar45</t>
  </si>
  <si>
    <t>2016Alar46</t>
  </si>
  <si>
    <t>2016Alar47</t>
  </si>
  <si>
    <t>2016Alar48</t>
  </si>
  <si>
    <t>2016Alar49</t>
  </si>
  <si>
    <t>2016Alar50</t>
  </si>
  <si>
    <t>2016Alar51</t>
  </si>
  <si>
    <t>2016Alar52</t>
  </si>
  <si>
    <t>2016Alar53</t>
  </si>
  <si>
    <t>2016Alar54</t>
  </si>
  <si>
    <t>2016Alar55</t>
  </si>
  <si>
    <t>2016Alar56</t>
  </si>
  <si>
    <t>2016Alar57</t>
  </si>
  <si>
    <t>2016Alar58</t>
  </si>
  <si>
    <t>2016Alar59</t>
  </si>
  <si>
    <t>2016Alar60</t>
  </si>
  <si>
    <t>2016Alar61</t>
  </si>
  <si>
    <t>2016Alar62</t>
  </si>
  <si>
    <t>2016Alar63</t>
  </si>
  <si>
    <t>2016Alar64</t>
  </si>
  <si>
    <t>2016Alar65</t>
  </si>
  <si>
    <t>2016Alar66</t>
  </si>
  <si>
    <t>2016Alar67</t>
  </si>
  <si>
    <t>2016Alar68</t>
  </si>
  <si>
    <t>2016Alar69</t>
  </si>
  <si>
    <t>2016Alar70</t>
  </si>
  <si>
    <t>2016Alar71</t>
  </si>
  <si>
    <t>2016Alar72</t>
  </si>
  <si>
    <t>2014Jimenez-Come01</t>
  </si>
  <si>
    <t>2014Jimenez-Come02</t>
  </si>
  <si>
    <t>2014Jimenez-Come03</t>
  </si>
  <si>
    <t>2014Jimenez-Come04</t>
  </si>
  <si>
    <t>2014Jimenez-Come05</t>
  </si>
  <si>
    <t>2014Jimenez-Come06</t>
  </si>
  <si>
    <t>2014Jimenez-Come07</t>
  </si>
  <si>
    <t>2014Jimenez-Come08</t>
  </si>
  <si>
    <t>2014Jimenez-Come09</t>
  </si>
  <si>
    <t>201Cu</t>
  </si>
  <si>
    <t>201KRS</t>
  </si>
  <si>
    <t>CP_total</t>
  </si>
  <si>
    <t>CP_OH</t>
  </si>
  <si>
    <t>CP_SO4</t>
  </si>
  <si>
    <t>CP_CO3</t>
  </si>
  <si>
    <t>CP_NO3</t>
  </si>
  <si>
    <t>CP_ion_other</t>
  </si>
  <si>
    <t>ID</t>
  </si>
  <si>
    <t>source</t>
  </si>
  <si>
    <t>CP_304</t>
  </si>
  <si>
    <t>CP_316</t>
  </si>
  <si>
    <t>Cyclopol_316</t>
  </si>
  <si>
    <t>2012Hara</t>
  </si>
  <si>
    <t>2014Mameng</t>
  </si>
  <si>
    <t>2014Mendez</t>
  </si>
  <si>
    <t>1991Cortes</t>
  </si>
  <si>
    <t>1980Manning</t>
  </si>
  <si>
    <t>1982Roy</t>
  </si>
  <si>
    <t>1994Elsawesh</t>
  </si>
  <si>
    <t>2002Alonso</t>
  </si>
  <si>
    <t>2008Lu</t>
  </si>
  <si>
    <t>2010Arcelor</t>
  </si>
  <si>
    <t>2013DeAngelis</t>
  </si>
  <si>
    <t>2014Bikic</t>
  </si>
  <si>
    <t>2015Wu</t>
  </si>
  <si>
    <t>2016Alar</t>
  </si>
  <si>
    <t>2014Jimenez-Come</t>
  </si>
  <si>
    <t>2017Mameng</t>
  </si>
  <si>
    <t>2007Nielsen</t>
  </si>
  <si>
    <t>2021Vignal</t>
  </si>
  <si>
    <t>2006Nielsen102</t>
  </si>
  <si>
    <t>2006Nielsen103</t>
  </si>
  <si>
    <t>2006Nielsen104</t>
  </si>
  <si>
    <t>2006Nielsen105</t>
  </si>
  <si>
    <t>2006Nielsen106</t>
  </si>
  <si>
    <t>2006Nielsen107</t>
  </si>
  <si>
    <t>2020Melia</t>
  </si>
  <si>
    <t>2020Sander</t>
  </si>
  <si>
    <t>2019Yoon</t>
  </si>
  <si>
    <t>2013Loto</t>
  </si>
  <si>
    <t>2018Shakir</t>
  </si>
  <si>
    <t>2017Karlsson</t>
  </si>
  <si>
    <t>2011Elsener</t>
  </si>
  <si>
    <t>2011Elsenser_Bertolini</t>
  </si>
  <si>
    <t>2013Zhou</t>
  </si>
  <si>
    <t>2019Calderon-Hernandez</t>
  </si>
  <si>
    <t>2007Yang</t>
  </si>
  <si>
    <t>2020Heyn</t>
  </si>
  <si>
    <t>2013Mesquita</t>
  </si>
  <si>
    <t>2005Faller</t>
  </si>
  <si>
    <t>2008Pohjanne</t>
  </si>
  <si>
    <t>2000Matsch</t>
  </si>
  <si>
    <t>1,4404-varF</t>
  </si>
  <si>
    <t>1,4404-varB</t>
  </si>
  <si>
    <t>1,4404-varE</t>
  </si>
  <si>
    <t>1,4404-varC</t>
  </si>
  <si>
    <t>1,4404-varD</t>
  </si>
  <si>
    <t>1,4404-varA</t>
  </si>
  <si>
    <t>1,4404L</t>
  </si>
  <si>
    <t>1,4404F</t>
  </si>
  <si>
    <t>1,4301L</t>
  </si>
  <si>
    <t>1,4301H</t>
  </si>
  <si>
    <t>1,4301N1</t>
  </si>
  <si>
    <t>1,4000</t>
  </si>
  <si>
    <t>1,4510</t>
  </si>
  <si>
    <t>1,4310</t>
  </si>
  <si>
    <t>CP_Cl</t>
  </si>
  <si>
    <t>CP_Br</t>
  </si>
  <si>
    <t>1995Malik</t>
  </si>
  <si>
    <t>S30403 (304L)</t>
  </si>
  <si>
    <t>S31603 (316L)</t>
  </si>
  <si>
    <t>S31703 (317L)</t>
  </si>
  <si>
    <t>N08904 (904L)</t>
  </si>
  <si>
    <t>S41000 (410)</t>
  </si>
  <si>
    <t>S17400 (17-4PH)</t>
  </si>
  <si>
    <t>S31254 (SMO 254)</t>
  </si>
  <si>
    <t>S32654 (SMO 654)</t>
  </si>
  <si>
    <t>N08925 (hMo 1925)</t>
  </si>
  <si>
    <t>N0828 (hMo 3127)</t>
  </si>
  <si>
    <t>N08020 (20 Cb3), Nb + Ta = 5%</t>
  </si>
  <si>
    <t>S44635 (Monit 44635)</t>
  </si>
  <si>
    <t>S31803 (Duplex 2205), Nb + Ta = 0.6%</t>
  </si>
  <si>
    <t>1997Truman</t>
  </si>
  <si>
    <t>1986Wilde</t>
  </si>
  <si>
    <t>1983Bui</t>
  </si>
  <si>
    <t>1988Roberge</t>
  </si>
  <si>
    <t>1999Jargelius</t>
  </si>
  <si>
    <t>1988Tsuge</t>
  </si>
  <si>
    <t>1996Garfias</t>
  </si>
  <si>
    <t>25 Cr duplex SS UNS S32550</t>
  </si>
  <si>
    <t>1989Pawel</t>
  </si>
  <si>
    <t>AISI 304SS</t>
  </si>
  <si>
    <t>1993Palit</t>
  </si>
  <si>
    <t>316LN (UNS S31653)</t>
  </si>
  <si>
    <t>1996Halada</t>
  </si>
  <si>
    <t>1970Wilde</t>
  </si>
  <si>
    <t>AISI 430SS</t>
  </si>
  <si>
    <t>1974Hartline</t>
  </si>
  <si>
    <t>1986Jargelius</t>
  </si>
  <si>
    <t>1977Sugimoto</t>
  </si>
  <si>
    <t>1991Mischler</t>
  </si>
  <si>
    <t>1990Landolt</t>
  </si>
  <si>
    <t>1999Wegrelius</t>
  </si>
  <si>
    <t>1989Lu</t>
  </si>
  <si>
    <t>1969Boehni</t>
  </si>
  <si>
    <t>1983Bandy</t>
  </si>
  <si>
    <t>1977Truman</t>
  </si>
  <si>
    <t>1975Janik</t>
  </si>
  <si>
    <t>18Cr-5Ni-0.03Mn</t>
  </si>
  <si>
    <t>1975Lunarska</t>
  </si>
  <si>
    <t>1994Sadough</t>
  </si>
  <si>
    <t>2001Lim</t>
  </si>
  <si>
    <t>1996Olefjord</t>
  </si>
  <si>
    <t>no major difference between two samples</t>
  </si>
  <si>
    <t>1979Richardson</t>
  </si>
  <si>
    <t>cast alloy,  76 mm thick section, Ferritic-Austenitic Stainless Steel</t>
  </si>
  <si>
    <t>1974Machin</t>
  </si>
  <si>
    <t>18Cr-10Ni Stainless Steel (likely Type-304 S)</t>
  </si>
  <si>
    <t>17Cr-0Ni Stainless Steel (likely Type 430-SK)</t>
  </si>
  <si>
    <t xml:space="preserve">18Cr-10Ni-3Mo Stainless Steel </t>
  </si>
  <si>
    <t>29Ni-20Cr-3Mo-3.5Cu-1Nb High Alloy Stainless Steel</t>
  </si>
  <si>
    <t>18Cr-10Ni-3Mo-1Nb Stainless Steel</t>
  </si>
  <si>
    <t>Ferralium alloy</t>
  </si>
  <si>
    <t>1983Clark</t>
  </si>
  <si>
    <t>Ferralium alloy 255</t>
  </si>
  <si>
    <t>Ferralium alloy 288</t>
  </si>
  <si>
    <t>Cast 20-type</t>
  </si>
  <si>
    <t>1968Horvath</t>
  </si>
  <si>
    <t>1969Lizlovs</t>
  </si>
  <si>
    <t>18%Cr-2%Mo-0.11%Ni</t>
  </si>
  <si>
    <t>18%Cr-2%Mo-0.62%Ni</t>
  </si>
  <si>
    <t>18%Cr-2%Mo-1.08%Ni</t>
  </si>
  <si>
    <t>18%Cr-2%Mo-0.47%Ti</t>
  </si>
  <si>
    <t>18%Cr-2%Mo-1.86%Ti</t>
  </si>
  <si>
    <t>18%Cr-2%Mo-0.91%Ti-0.57%Ni</t>
  </si>
  <si>
    <t>18%Cr-2%Mo-1.75%Ti-2.08%Ni</t>
  </si>
  <si>
    <t>1964Tomashov</t>
  </si>
  <si>
    <t>1968Bond</t>
  </si>
  <si>
    <t>1974Pessall</t>
  </si>
  <si>
    <t>1973Bond</t>
  </si>
  <si>
    <t>1990Guo</t>
  </si>
  <si>
    <t>UNS S30100</t>
  </si>
  <si>
    <t>UNS S31254</t>
  </si>
  <si>
    <t>UNS S31600</t>
  </si>
  <si>
    <t>UNS N08904</t>
  </si>
  <si>
    <t xml:space="preserve">UNS S31254 </t>
  </si>
  <si>
    <t>1991Azuma</t>
  </si>
  <si>
    <t xml:space="preserve">28% Cr Duplex </t>
  </si>
  <si>
    <t>Super-ferritic stainless steel</t>
  </si>
  <si>
    <t>Super-austenitic stainless steel</t>
  </si>
  <si>
    <t>25% Cr Duplex stainless steel,</t>
  </si>
  <si>
    <t>1994Carroll</t>
  </si>
  <si>
    <t>1975Lizlovs</t>
  </si>
  <si>
    <t>1985Newman</t>
  </si>
  <si>
    <t>1998Ahn</t>
  </si>
  <si>
    <t>1990Ives</t>
  </si>
  <si>
    <t>1985Goetz</t>
  </si>
  <si>
    <t>1999Kim</t>
  </si>
  <si>
    <t>2009Wong</t>
  </si>
  <si>
    <t>NiCrMo Alloy</t>
  </si>
  <si>
    <t>1993Frankel</t>
  </si>
  <si>
    <t>Al Alloy</t>
  </si>
  <si>
    <t>1,4438</t>
  </si>
  <si>
    <t>2006Mathiesen</t>
  </si>
  <si>
    <t>RFCS1</t>
  </si>
  <si>
    <t>RFCS</t>
  </si>
  <si>
    <t>RFCS2</t>
  </si>
  <si>
    <t>RFCS3</t>
  </si>
  <si>
    <t>RFCS4</t>
  </si>
  <si>
    <t>RFCS5</t>
  </si>
  <si>
    <t>RFCS6</t>
  </si>
  <si>
    <t>RFCS7</t>
  </si>
  <si>
    <t>RFCS8</t>
  </si>
  <si>
    <t>RFCS9</t>
  </si>
  <si>
    <t>RFCS10</t>
  </si>
  <si>
    <t>RFCS11</t>
  </si>
  <si>
    <t>RFCS12</t>
  </si>
  <si>
    <t>RFCS13</t>
  </si>
  <si>
    <t>RFCS14</t>
  </si>
  <si>
    <t>RFCS15</t>
  </si>
  <si>
    <t>RFCS16</t>
  </si>
  <si>
    <t>RFCS17</t>
  </si>
  <si>
    <t>RFCS18</t>
  </si>
  <si>
    <t>RFCS19</t>
  </si>
  <si>
    <t>RFCS20</t>
  </si>
  <si>
    <t>RFCS21</t>
  </si>
  <si>
    <t>RFCS22</t>
  </si>
  <si>
    <t>RFCS23</t>
  </si>
  <si>
    <t>RFCS24</t>
  </si>
  <si>
    <t>RFCS25</t>
  </si>
  <si>
    <t>RFCS26</t>
  </si>
  <si>
    <t>RFCS27</t>
  </si>
  <si>
    <t>RFCS28</t>
  </si>
  <si>
    <t>RFCS29</t>
  </si>
  <si>
    <t>RFCS30</t>
  </si>
  <si>
    <t>RFCS31</t>
  </si>
  <si>
    <t>RFCS32</t>
  </si>
  <si>
    <t>RFCS33</t>
  </si>
  <si>
    <t>RFCS34</t>
  </si>
  <si>
    <t>RFCS35</t>
  </si>
  <si>
    <t>RFCS36</t>
  </si>
  <si>
    <t>RFCS37</t>
  </si>
  <si>
    <t>RFCS38</t>
  </si>
  <si>
    <t>RFCS39</t>
  </si>
  <si>
    <t>RFCS40</t>
  </si>
  <si>
    <t>RFCS41</t>
  </si>
  <si>
    <t>RFCS42</t>
  </si>
  <si>
    <t>RFCS43</t>
  </si>
  <si>
    <t>RFCS44</t>
  </si>
  <si>
    <t>RFCS45</t>
  </si>
  <si>
    <t>RFCS46</t>
  </si>
  <si>
    <t>RFCS47</t>
  </si>
  <si>
    <t>RFCS48</t>
  </si>
  <si>
    <t>RFCS49</t>
  </si>
  <si>
    <t>RFCS50</t>
  </si>
  <si>
    <t>RFCS51</t>
  </si>
  <si>
    <t>RFCS52</t>
  </si>
  <si>
    <t>RFCS53</t>
  </si>
  <si>
    <t>RFCS54</t>
  </si>
  <si>
    <t>RFCS55</t>
  </si>
  <si>
    <t>RFCS56</t>
  </si>
  <si>
    <t>RFCS57</t>
  </si>
  <si>
    <t>RFCS58</t>
  </si>
  <si>
    <t>RFCS59</t>
  </si>
  <si>
    <t>RFCS60</t>
  </si>
  <si>
    <t>RFCS61</t>
  </si>
  <si>
    <t>RFCS62</t>
  </si>
  <si>
    <t>RFCS63</t>
  </si>
  <si>
    <t>RFCS64</t>
  </si>
  <si>
    <t>RFCS65</t>
  </si>
  <si>
    <t>RFCS66</t>
  </si>
  <si>
    <t>RFCS67</t>
  </si>
  <si>
    <t>RFCS68</t>
  </si>
  <si>
    <t>RFCS69</t>
  </si>
  <si>
    <t>RFCS70</t>
  </si>
  <si>
    <t>RFCS71</t>
  </si>
  <si>
    <t>RFCS72</t>
  </si>
  <si>
    <t>RFCS73</t>
  </si>
  <si>
    <t>RFCS74</t>
  </si>
  <si>
    <t>RFCS75</t>
  </si>
  <si>
    <t>RFCS76</t>
  </si>
  <si>
    <t>RFCS77</t>
  </si>
  <si>
    <t>RFCS78</t>
  </si>
  <si>
    <t>RFCS79</t>
  </si>
  <si>
    <t>RFCS80</t>
  </si>
  <si>
    <t>RFCS81</t>
  </si>
  <si>
    <t>RFCS82</t>
  </si>
  <si>
    <t>RFCS83</t>
  </si>
  <si>
    <t>RFCS84</t>
  </si>
  <si>
    <t>RFCS85</t>
  </si>
  <si>
    <t>RFCS86</t>
  </si>
  <si>
    <t>RFCS87</t>
  </si>
  <si>
    <t>RFCS88</t>
  </si>
  <si>
    <t>RFCS89</t>
  </si>
  <si>
    <t>RFCS90</t>
  </si>
  <si>
    <t>RFCS91</t>
  </si>
  <si>
    <t>RFCS92</t>
  </si>
  <si>
    <t>RFCS93</t>
  </si>
  <si>
    <t>RFCS94</t>
  </si>
  <si>
    <t>RFCS95</t>
  </si>
  <si>
    <t>RFCS96</t>
  </si>
  <si>
    <t>RFCS97</t>
  </si>
  <si>
    <t>RFCS98</t>
  </si>
  <si>
    <t>RFCS99</t>
  </si>
  <si>
    <t>RFCS100</t>
  </si>
  <si>
    <t>RFCS101</t>
  </si>
  <si>
    <t>RFCS102</t>
  </si>
  <si>
    <t>RFCS103</t>
  </si>
  <si>
    <t>RFCS104</t>
  </si>
  <si>
    <t>RFCS105</t>
  </si>
  <si>
    <t>RFCS106</t>
  </si>
  <si>
    <t>RFCS107</t>
  </si>
  <si>
    <t>RFCS108</t>
  </si>
  <si>
    <t>RFCS109</t>
  </si>
  <si>
    <t>RFCS110</t>
  </si>
  <si>
    <t>RFCS111</t>
  </si>
  <si>
    <t>RFCS112</t>
  </si>
  <si>
    <t>RFCS113</t>
  </si>
  <si>
    <t>RFCS114</t>
  </si>
  <si>
    <t>RFCS115</t>
  </si>
  <si>
    <t>RFCS116</t>
  </si>
  <si>
    <t>RFCS117</t>
  </si>
  <si>
    <t>RFCS118</t>
  </si>
  <si>
    <t>RFCS119</t>
  </si>
  <si>
    <t>RFCS120</t>
  </si>
  <si>
    <t>RFCS121</t>
  </si>
  <si>
    <t>RFCS122</t>
  </si>
  <si>
    <t>RFCS123</t>
  </si>
  <si>
    <t>RFCS124</t>
  </si>
  <si>
    <t>RFCS125</t>
  </si>
  <si>
    <t>RFCS126</t>
  </si>
  <si>
    <t>RFCS127</t>
  </si>
  <si>
    <t>RFCS128</t>
  </si>
  <si>
    <t>RFCS129</t>
  </si>
  <si>
    <t>RFCS130</t>
  </si>
  <si>
    <t>RFCS131</t>
  </si>
  <si>
    <t>RFCS132</t>
  </si>
  <si>
    <t>RFCS133</t>
  </si>
  <si>
    <t>RFCS134</t>
  </si>
  <si>
    <t>RFCS135</t>
  </si>
  <si>
    <t>RFCS136</t>
  </si>
  <si>
    <t>RFCS137</t>
  </si>
  <si>
    <t>RFCS138</t>
  </si>
  <si>
    <t>RFCS139</t>
  </si>
  <si>
    <t>RFCS140</t>
  </si>
  <si>
    <t>RFCS141</t>
  </si>
  <si>
    <t>RFCS142</t>
  </si>
  <si>
    <t>RFCS143</t>
  </si>
  <si>
    <t>RFCS144</t>
  </si>
  <si>
    <t>RFCS145</t>
  </si>
  <si>
    <t>RFCS146</t>
  </si>
  <si>
    <t>RFCS147</t>
  </si>
  <si>
    <t>RFCS148</t>
  </si>
  <si>
    <t>RFCS149</t>
  </si>
  <si>
    <t>RFCS150</t>
  </si>
  <si>
    <t>RFCS151</t>
  </si>
  <si>
    <t>RFCS152</t>
  </si>
  <si>
    <t>RFCS153</t>
  </si>
  <si>
    <t>RFCS154</t>
  </si>
  <si>
    <t>RFCS155</t>
  </si>
  <si>
    <t>RFCS156</t>
  </si>
  <si>
    <t>RFCS157</t>
  </si>
  <si>
    <t>METALogic01</t>
  </si>
  <si>
    <t>METALogic</t>
  </si>
  <si>
    <t>METALogic02</t>
  </si>
  <si>
    <t>METALogic03</t>
  </si>
  <si>
    <t>METALogic04</t>
  </si>
  <si>
    <t>METALogic05</t>
  </si>
  <si>
    <t>METALogic06</t>
  </si>
  <si>
    <t>METALogic07</t>
  </si>
  <si>
    <t>METALogic08</t>
  </si>
  <si>
    <t>METALogic09</t>
  </si>
  <si>
    <t>METALogic10</t>
  </si>
  <si>
    <t>METALogic11</t>
  </si>
  <si>
    <t>METALogic12</t>
  </si>
  <si>
    <t>METALogic13</t>
  </si>
  <si>
    <t>METALogic14</t>
  </si>
  <si>
    <t>METALogic15</t>
  </si>
  <si>
    <t>METALogic16</t>
  </si>
  <si>
    <t>METALogic17</t>
  </si>
  <si>
    <t>METALogic18</t>
  </si>
  <si>
    <t>METALogic19</t>
  </si>
  <si>
    <t>METALogic20</t>
  </si>
  <si>
    <t>METALogic21</t>
  </si>
  <si>
    <t>METALogic22</t>
  </si>
  <si>
    <t>METALogic23</t>
  </si>
  <si>
    <t>METALogic24</t>
  </si>
  <si>
    <t>METALogic25</t>
  </si>
  <si>
    <t>METALogic26</t>
  </si>
  <si>
    <t>METALogic27</t>
  </si>
  <si>
    <t>METALogic28</t>
  </si>
  <si>
    <t>METALogic29</t>
  </si>
  <si>
    <t>METALogic30</t>
  </si>
  <si>
    <t>METALogic31</t>
  </si>
  <si>
    <t>METALogic32</t>
  </si>
  <si>
    <t>METALogic33</t>
  </si>
  <si>
    <t>METALogic34</t>
  </si>
  <si>
    <t>METALogic35</t>
  </si>
  <si>
    <t>METALogic36</t>
  </si>
  <si>
    <t>METALogic37</t>
  </si>
  <si>
    <t>METALogic38</t>
  </si>
  <si>
    <t>METALogic39</t>
  </si>
  <si>
    <t>METALogic40</t>
  </si>
  <si>
    <t>METALogic41</t>
  </si>
  <si>
    <t>METALogic42</t>
  </si>
  <si>
    <t>METALogic43</t>
  </si>
  <si>
    <t>METALogic44</t>
  </si>
  <si>
    <t>METALogic45</t>
  </si>
  <si>
    <t>METALogic46</t>
  </si>
  <si>
    <t>METALogic47</t>
  </si>
  <si>
    <t>METALogic48</t>
  </si>
  <si>
    <t>METALogic49</t>
  </si>
  <si>
    <t>METALogic50</t>
  </si>
  <si>
    <t>METALogic51</t>
  </si>
  <si>
    <t>METALogic52</t>
  </si>
  <si>
    <t>METALogic53</t>
  </si>
  <si>
    <t>METALogic54</t>
  </si>
  <si>
    <t>METALogic55</t>
  </si>
  <si>
    <t>METALogic56</t>
  </si>
  <si>
    <t>METALogic57</t>
  </si>
  <si>
    <t>METALogic58</t>
  </si>
  <si>
    <t>METALogic59</t>
  </si>
  <si>
    <t>METALogic60</t>
  </si>
  <si>
    <t>METALogic61</t>
  </si>
  <si>
    <t>METALogic62</t>
  </si>
  <si>
    <t>METALogic63</t>
  </si>
  <si>
    <t>METALogic64</t>
  </si>
  <si>
    <t>METALogic65</t>
  </si>
  <si>
    <t>METALogic66</t>
  </si>
  <si>
    <t>METALogic67</t>
  </si>
  <si>
    <t>METALogic68</t>
  </si>
  <si>
    <t>METALogic69</t>
  </si>
  <si>
    <t>METALogic70</t>
  </si>
  <si>
    <t>2013Orlikowski</t>
  </si>
  <si>
    <t>Intern</t>
  </si>
  <si>
    <t>Intern1</t>
  </si>
  <si>
    <t>Intern2</t>
  </si>
  <si>
    <t>Intern3</t>
  </si>
  <si>
    <t>Intern4</t>
  </si>
  <si>
    <t>Intern5</t>
  </si>
  <si>
    <t>Intern6</t>
  </si>
  <si>
    <t>Intern7</t>
  </si>
  <si>
    <t>Intern8</t>
  </si>
  <si>
    <t>Intern9</t>
  </si>
  <si>
    <t>Intern10</t>
  </si>
  <si>
    <t>Intern11</t>
  </si>
  <si>
    <t>Intern12</t>
  </si>
  <si>
    <t>Intern13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</si>
</sst>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E+00"/>
    <numFmt numFmtId="166" formatCode="0.0"/>
    <numFmt numFmtId="167" formatCode="0.0000"/>
    <numFmt numFmtId="168" formatCode="0.000E+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1" fontId="0" fillId="0" borderId="0" xfId="0" applyNumberFormat="1"/>
    <xf numFmtId="0" fontId="2" fillId="0" borderId="0" xfId="0" applyFon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66" fontId="2" fillId="0" borderId="0" xfId="0" applyNumberFormat="1" applyFont="1"/>
    <xf numFmtId="167" fontId="0" fillId="0" borderId="0" xfId="0" applyNumberForma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D593-D7E6-4C83-8469-187F3A848795}">
  <dimension ref="A1:AQ2439"/>
  <sheetViews>
    <sheetView tabSelected="1" topLeftCell="A2437" zoomScaleNormal="100" workbookViewId="0">
      <selection activeCell="E2438" sqref="E2438"/>
    </sheetView>
  </sheetViews>
  <sheetFormatPr defaultRowHeight="14.4" x14ac:dyDescent="0.3"/>
  <cols>
    <col min="1" max="1" width="40.21875" bestFit="1" customWidth="1"/>
    <col min="2" max="2" width="22" bestFit="1" customWidth="1"/>
    <col min="3" max="3" width="11.6640625" customWidth="1"/>
    <col min="4" max="4" width="11.6640625" style="8" bestFit="1" customWidth="1"/>
    <col min="7" max="7" width="19" bestFit="1" customWidth="1"/>
    <col min="8" max="8" width="10.5546875" bestFit="1" customWidth="1"/>
    <col min="9" max="9" width="13.44140625" style="4" bestFit="1" customWidth="1"/>
    <col min="10" max="10" width="12.33203125" style="3" bestFit="1" customWidth="1"/>
    <col min="11" max="11" width="13.6640625" style="4" bestFit="1" customWidth="1"/>
    <col min="12" max="13" width="13.6640625" customWidth="1"/>
    <col min="14" max="14" width="11.5546875" style="3" bestFit="1" customWidth="1"/>
    <col min="15" max="15" width="11.5546875" style="3" customWidth="1"/>
    <col min="18" max="18" width="14.6640625" customWidth="1"/>
    <col min="19" max="19" width="10.109375" bestFit="1" customWidth="1"/>
    <col min="20" max="23" width="10.109375" style="6" customWidth="1"/>
    <col min="24" max="24" width="12.109375" style="6" bestFit="1" customWidth="1"/>
    <col min="25" max="25" width="9.44140625" bestFit="1" customWidth="1"/>
    <col min="26" max="26" width="11.109375" style="5" customWidth="1"/>
    <col min="27" max="27" width="14.88671875" style="3" customWidth="1"/>
    <col min="28" max="29" width="14.88671875" style="2" customWidth="1"/>
    <col min="30" max="30" width="14.88671875" customWidth="1"/>
    <col min="33" max="37" width="9.21875" style="9" bestFit="1" customWidth="1"/>
    <col min="38" max="40" width="9.44140625" style="9" bestFit="1" customWidth="1"/>
    <col min="41" max="41" width="9.21875" style="9" bestFit="1" customWidth="1"/>
    <col min="42" max="42" width="11.6640625" style="8" bestFit="1" customWidth="1"/>
    <col min="43" max="43" width="22" bestFit="1" customWidth="1"/>
  </cols>
  <sheetData>
    <row r="1" spans="1:41" x14ac:dyDescent="0.3">
      <c r="A1" t="s">
        <v>90</v>
      </c>
      <c r="B1" t="s">
        <v>1579</v>
      </c>
      <c r="C1" t="s">
        <v>1578</v>
      </c>
      <c r="D1" s="8" t="s">
        <v>24</v>
      </c>
      <c r="E1" t="s">
        <v>91</v>
      </c>
      <c r="F1" t="s">
        <v>194</v>
      </c>
      <c r="G1" t="s">
        <v>25</v>
      </c>
      <c r="H1" t="s">
        <v>986</v>
      </c>
      <c r="I1" s="4" t="s">
        <v>985</v>
      </c>
      <c r="J1" s="3" t="s">
        <v>26</v>
      </c>
      <c r="K1" s="4" t="s">
        <v>27</v>
      </c>
      <c r="L1" t="s">
        <v>139</v>
      </c>
      <c r="M1" t="s">
        <v>141</v>
      </c>
      <c r="N1" s="3" t="s">
        <v>1637</v>
      </c>
      <c r="O1" s="3" t="s">
        <v>1638</v>
      </c>
      <c r="P1" t="s">
        <v>94</v>
      </c>
      <c r="Q1" t="s">
        <v>95</v>
      </c>
      <c r="R1" t="s">
        <v>1156</v>
      </c>
      <c r="S1" t="s">
        <v>1572</v>
      </c>
      <c r="T1" s="6" t="s">
        <v>1573</v>
      </c>
      <c r="U1" s="6" t="s">
        <v>1574</v>
      </c>
      <c r="V1" s="6" t="s">
        <v>1575</v>
      </c>
      <c r="W1" s="6" t="s">
        <v>1576</v>
      </c>
      <c r="X1" s="6" t="s">
        <v>1577</v>
      </c>
      <c r="Y1" t="s">
        <v>149</v>
      </c>
      <c r="Z1" s="5" t="s">
        <v>96</v>
      </c>
      <c r="AA1" s="3" t="s">
        <v>148</v>
      </c>
      <c r="AB1" s="2" t="s">
        <v>97</v>
      </c>
      <c r="AC1" s="2" t="s">
        <v>98</v>
      </c>
      <c r="AD1" t="s">
        <v>100</v>
      </c>
      <c r="AE1" t="s">
        <v>23</v>
      </c>
      <c r="AF1" t="s">
        <v>99</v>
      </c>
      <c r="AG1" s="9" t="s">
        <v>1146</v>
      </c>
      <c r="AH1" s="9" t="s">
        <v>1147</v>
      </c>
      <c r="AI1" s="9" t="s">
        <v>1148</v>
      </c>
      <c r="AJ1" s="9" t="s">
        <v>1149</v>
      </c>
      <c r="AK1" s="9" t="s">
        <v>1150</v>
      </c>
      <c r="AL1" s="9" t="s">
        <v>1151</v>
      </c>
      <c r="AM1" s="9" t="s">
        <v>1152</v>
      </c>
      <c r="AN1" s="9" t="s">
        <v>1153</v>
      </c>
      <c r="AO1" s="9" t="s">
        <v>1154</v>
      </c>
    </row>
    <row r="2" spans="1:41" x14ac:dyDescent="0.3">
      <c r="A2">
        <v>12</v>
      </c>
      <c r="B2" t="s">
        <v>1707</v>
      </c>
      <c r="C2">
        <v>1</v>
      </c>
      <c r="D2"/>
      <c r="I2"/>
      <c r="J2"/>
      <c r="K2"/>
      <c r="N2">
        <v>0.1</v>
      </c>
      <c r="O2">
        <v>0</v>
      </c>
      <c r="P2">
        <v>25</v>
      </c>
      <c r="Q2">
        <v>7</v>
      </c>
      <c r="R2" t="s">
        <v>102</v>
      </c>
      <c r="T2" s="6">
        <f>10^-(14-Q2)</f>
        <v>9.9999999999999995E-8</v>
      </c>
      <c r="U2" s="6">
        <v>0</v>
      </c>
      <c r="V2" s="6">
        <v>0</v>
      </c>
      <c r="W2" s="6">
        <v>0</v>
      </c>
      <c r="X2" s="6">
        <v>0</v>
      </c>
      <c r="Y2" t="s">
        <v>171</v>
      </c>
      <c r="Z2"/>
      <c r="AA2"/>
      <c r="AB2"/>
      <c r="AC2"/>
      <c r="AE2">
        <v>400</v>
      </c>
      <c r="AF2">
        <v>1</v>
      </c>
      <c r="AG2" s="9">
        <v>3.5999999999999997E-2</v>
      </c>
      <c r="AL2" s="9">
        <v>17.93</v>
      </c>
      <c r="AM2" s="9">
        <v>14.38</v>
      </c>
      <c r="AN2" s="9">
        <v>0</v>
      </c>
    </row>
    <row r="3" spans="1:41" x14ac:dyDescent="0.3">
      <c r="A3">
        <v>12</v>
      </c>
      <c r="B3" t="s">
        <v>1707</v>
      </c>
      <c r="C3">
        <v>1</v>
      </c>
      <c r="D3"/>
      <c r="I3"/>
      <c r="J3"/>
      <c r="K3"/>
      <c r="N3">
        <v>0.1</v>
      </c>
      <c r="O3">
        <v>0</v>
      </c>
      <c r="P3">
        <v>25</v>
      </c>
      <c r="Q3">
        <v>7</v>
      </c>
      <c r="R3" t="s">
        <v>102</v>
      </c>
      <c r="T3" s="6">
        <f>10^-(14-Q3)</f>
        <v>9.9999999999999995E-8</v>
      </c>
      <c r="U3" s="6">
        <v>0</v>
      </c>
      <c r="V3" s="6">
        <v>0</v>
      </c>
      <c r="W3" s="6">
        <v>0</v>
      </c>
      <c r="X3" s="6">
        <v>0</v>
      </c>
      <c r="Y3" t="s">
        <v>171</v>
      </c>
      <c r="Z3"/>
      <c r="AA3"/>
      <c r="AB3"/>
      <c r="AC3"/>
      <c r="AE3">
        <v>279</v>
      </c>
      <c r="AF3">
        <v>1</v>
      </c>
      <c r="AG3" s="9">
        <v>3.5999999999999997E-2</v>
      </c>
      <c r="AL3" s="9">
        <v>17.93</v>
      </c>
      <c r="AM3" s="9">
        <v>14.38</v>
      </c>
      <c r="AN3" s="9">
        <v>0</v>
      </c>
    </row>
    <row r="4" spans="1:41" x14ac:dyDescent="0.3">
      <c r="A4">
        <v>12</v>
      </c>
      <c r="B4" t="s">
        <v>1707</v>
      </c>
      <c r="C4">
        <v>1</v>
      </c>
      <c r="D4"/>
      <c r="I4"/>
      <c r="J4"/>
      <c r="K4"/>
      <c r="N4">
        <v>0.1</v>
      </c>
      <c r="O4">
        <v>0</v>
      </c>
      <c r="P4">
        <v>25</v>
      </c>
      <c r="Q4">
        <v>7</v>
      </c>
      <c r="R4" t="s">
        <v>102</v>
      </c>
      <c r="T4" s="6">
        <f>10^-(14-Q4)</f>
        <v>9.9999999999999995E-8</v>
      </c>
      <c r="U4" s="6">
        <v>0</v>
      </c>
      <c r="V4" s="6">
        <v>0</v>
      </c>
      <c r="W4" s="6">
        <v>0</v>
      </c>
      <c r="X4" s="6">
        <v>0</v>
      </c>
      <c r="Y4" t="s">
        <v>171</v>
      </c>
      <c r="Z4"/>
      <c r="AA4"/>
      <c r="AB4"/>
      <c r="AC4"/>
      <c r="AE4">
        <v>395</v>
      </c>
      <c r="AF4">
        <v>1</v>
      </c>
      <c r="AG4" s="9">
        <v>3.5999999999999997E-2</v>
      </c>
      <c r="AL4" s="9">
        <v>17.93</v>
      </c>
      <c r="AM4" s="9">
        <v>14.38</v>
      </c>
      <c r="AN4" s="9">
        <v>0</v>
      </c>
    </row>
    <row r="5" spans="1:41" x14ac:dyDescent="0.3">
      <c r="A5">
        <v>12</v>
      </c>
      <c r="B5" t="s">
        <v>1707</v>
      </c>
      <c r="C5">
        <v>1</v>
      </c>
      <c r="D5"/>
      <c r="I5"/>
      <c r="J5"/>
      <c r="K5"/>
      <c r="N5">
        <v>0.1</v>
      </c>
      <c r="O5">
        <v>0</v>
      </c>
      <c r="P5">
        <v>25</v>
      </c>
      <c r="Q5">
        <v>7</v>
      </c>
      <c r="R5" t="s">
        <v>102</v>
      </c>
      <c r="T5" s="6">
        <f>10^-(14-Q5)</f>
        <v>9.9999999999999995E-8</v>
      </c>
      <c r="U5" s="6">
        <v>0</v>
      </c>
      <c r="V5" s="6">
        <v>0</v>
      </c>
      <c r="W5" s="6">
        <v>0</v>
      </c>
      <c r="X5" s="6">
        <v>0</v>
      </c>
      <c r="Y5" t="s">
        <v>171</v>
      </c>
      <c r="Z5"/>
      <c r="AA5"/>
      <c r="AB5"/>
      <c r="AC5"/>
      <c r="AE5">
        <v>535</v>
      </c>
      <c r="AF5">
        <v>1</v>
      </c>
      <c r="AG5" s="9">
        <v>3.5999999999999997E-2</v>
      </c>
      <c r="AL5" s="9">
        <v>17.93</v>
      </c>
      <c r="AM5" s="9">
        <v>14.38</v>
      </c>
      <c r="AN5" s="9">
        <v>0</v>
      </c>
    </row>
    <row r="6" spans="1:41" x14ac:dyDescent="0.3">
      <c r="A6">
        <v>12</v>
      </c>
      <c r="B6" t="s">
        <v>1707</v>
      </c>
      <c r="C6">
        <v>1</v>
      </c>
      <c r="D6"/>
      <c r="I6"/>
      <c r="J6"/>
      <c r="K6"/>
      <c r="N6">
        <v>0.1</v>
      </c>
      <c r="O6">
        <v>0</v>
      </c>
      <c r="P6">
        <v>25</v>
      </c>
      <c r="Q6">
        <v>7</v>
      </c>
      <c r="R6" t="s">
        <v>102</v>
      </c>
      <c r="T6" s="6">
        <f>10^-(14-Q6)</f>
        <v>9.9999999999999995E-8</v>
      </c>
      <c r="U6" s="6">
        <v>0</v>
      </c>
      <c r="V6" s="6">
        <v>0</v>
      </c>
      <c r="W6" s="6">
        <v>0</v>
      </c>
      <c r="X6" s="6">
        <v>0</v>
      </c>
      <c r="Y6" t="s">
        <v>171</v>
      </c>
      <c r="Z6"/>
      <c r="AA6"/>
      <c r="AB6"/>
      <c r="AC6"/>
      <c r="AE6">
        <v>617</v>
      </c>
      <c r="AF6">
        <v>1</v>
      </c>
      <c r="AG6" s="9">
        <v>3.5999999999999997E-2</v>
      </c>
      <c r="AL6" s="9">
        <v>17.93</v>
      </c>
      <c r="AM6" s="9">
        <v>14.38</v>
      </c>
      <c r="AN6" s="9">
        <v>0</v>
      </c>
    </row>
    <row r="7" spans="1:41" x14ac:dyDescent="0.3">
      <c r="A7">
        <v>12</v>
      </c>
      <c r="B7" t="s">
        <v>1707</v>
      </c>
      <c r="C7">
        <v>1</v>
      </c>
      <c r="D7"/>
      <c r="I7"/>
      <c r="J7"/>
      <c r="K7"/>
      <c r="N7">
        <v>0.1</v>
      </c>
      <c r="O7">
        <v>0</v>
      </c>
      <c r="P7">
        <v>25</v>
      </c>
      <c r="Q7">
        <v>7</v>
      </c>
      <c r="R7" t="s">
        <v>102</v>
      </c>
      <c r="T7" s="6">
        <f>10^-(14-Q7)</f>
        <v>9.9999999999999995E-8</v>
      </c>
      <c r="U7" s="6">
        <v>0</v>
      </c>
      <c r="V7" s="6">
        <v>0</v>
      </c>
      <c r="W7" s="6">
        <v>0</v>
      </c>
      <c r="X7" s="6">
        <v>0</v>
      </c>
      <c r="Y7" t="s">
        <v>171</v>
      </c>
      <c r="Z7"/>
      <c r="AA7"/>
      <c r="AB7"/>
      <c r="AC7"/>
      <c r="AE7">
        <v>418</v>
      </c>
      <c r="AF7">
        <v>1</v>
      </c>
      <c r="AG7" s="9">
        <v>3.5999999999999997E-2</v>
      </c>
      <c r="AL7" s="9">
        <v>17.93</v>
      </c>
      <c r="AM7" s="9">
        <v>14.38</v>
      </c>
      <c r="AN7" s="9">
        <v>0</v>
      </c>
    </row>
    <row r="8" spans="1:41" x14ac:dyDescent="0.3">
      <c r="A8">
        <v>12</v>
      </c>
      <c r="B8" t="s">
        <v>1707</v>
      </c>
      <c r="C8">
        <v>1</v>
      </c>
      <c r="D8"/>
      <c r="I8"/>
      <c r="J8"/>
      <c r="K8"/>
      <c r="N8">
        <v>0.1</v>
      </c>
      <c r="O8">
        <v>0</v>
      </c>
      <c r="P8">
        <v>25</v>
      </c>
      <c r="Q8">
        <v>7</v>
      </c>
      <c r="R8" t="s">
        <v>102</v>
      </c>
      <c r="T8" s="6">
        <f>10^-(14-Q8)</f>
        <v>9.9999999999999995E-8</v>
      </c>
      <c r="U8" s="6">
        <v>0</v>
      </c>
      <c r="V8" s="6">
        <v>0</v>
      </c>
      <c r="W8" s="6">
        <v>0</v>
      </c>
      <c r="X8" s="6">
        <v>0</v>
      </c>
      <c r="Y8" t="s">
        <v>171</v>
      </c>
      <c r="Z8"/>
      <c r="AA8"/>
      <c r="AB8"/>
      <c r="AC8"/>
      <c r="AE8">
        <v>446</v>
      </c>
      <c r="AF8">
        <v>1</v>
      </c>
      <c r="AG8" s="9">
        <v>3.5999999999999997E-2</v>
      </c>
      <c r="AL8" s="9">
        <v>17.93</v>
      </c>
      <c r="AM8" s="9">
        <v>14.38</v>
      </c>
      <c r="AN8" s="9">
        <v>0</v>
      </c>
    </row>
    <row r="9" spans="1:41" x14ac:dyDescent="0.3">
      <c r="A9">
        <v>12</v>
      </c>
      <c r="B9" t="s">
        <v>1707</v>
      </c>
      <c r="C9">
        <v>1</v>
      </c>
      <c r="D9"/>
      <c r="I9"/>
      <c r="J9"/>
      <c r="K9"/>
      <c r="N9">
        <v>0.1</v>
      </c>
      <c r="O9">
        <v>0</v>
      </c>
      <c r="P9">
        <v>25</v>
      </c>
      <c r="Q9">
        <v>7</v>
      </c>
      <c r="R9" t="s">
        <v>102</v>
      </c>
      <c r="T9" s="6">
        <f>10^-(14-Q9)</f>
        <v>9.9999999999999995E-8</v>
      </c>
      <c r="U9" s="6">
        <v>0</v>
      </c>
      <c r="V9" s="6">
        <v>0</v>
      </c>
      <c r="W9" s="6">
        <v>0</v>
      </c>
      <c r="X9" s="6">
        <v>0</v>
      </c>
      <c r="Y9" t="s">
        <v>171</v>
      </c>
      <c r="Z9"/>
      <c r="AA9"/>
      <c r="AB9"/>
      <c r="AC9"/>
      <c r="AE9">
        <v>407</v>
      </c>
      <c r="AF9">
        <v>1</v>
      </c>
      <c r="AG9" s="9">
        <v>3.5999999999999997E-2</v>
      </c>
      <c r="AL9" s="9">
        <v>17.93</v>
      </c>
      <c r="AM9" s="9">
        <v>14.38</v>
      </c>
      <c r="AN9" s="9">
        <v>0</v>
      </c>
    </row>
    <row r="10" spans="1:41" x14ac:dyDescent="0.3">
      <c r="A10">
        <v>12</v>
      </c>
      <c r="B10" t="s">
        <v>1707</v>
      </c>
      <c r="C10">
        <v>1</v>
      </c>
      <c r="D10"/>
      <c r="I10"/>
      <c r="J10"/>
      <c r="K10"/>
      <c r="N10">
        <v>0.1</v>
      </c>
      <c r="O10">
        <v>0</v>
      </c>
      <c r="P10">
        <v>25</v>
      </c>
      <c r="Q10">
        <v>7</v>
      </c>
      <c r="R10" t="s">
        <v>102</v>
      </c>
      <c r="T10" s="6">
        <f>10^-(14-Q10)</f>
        <v>9.9999999999999995E-8</v>
      </c>
      <c r="U10" s="6">
        <v>0</v>
      </c>
      <c r="V10" s="6">
        <v>0</v>
      </c>
      <c r="W10" s="6">
        <v>0</v>
      </c>
      <c r="X10" s="6">
        <v>0</v>
      </c>
      <c r="Y10" t="s">
        <v>171</v>
      </c>
      <c r="Z10"/>
      <c r="AA10"/>
      <c r="AB10"/>
      <c r="AC10"/>
      <c r="AE10">
        <v>475</v>
      </c>
      <c r="AF10">
        <v>1</v>
      </c>
      <c r="AG10" s="9">
        <v>3.5999999999999997E-2</v>
      </c>
      <c r="AL10" s="9">
        <v>17.93</v>
      </c>
      <c r="AM10" s="9">
        <v>14.38</v>
      </c>
      <c r="AN10" s="9">
        <v>0</v>
      </c>
    </row>
    <row r="11" spans="1:41" x14ac:dyDescent="0.3">
      <c r="A11">
        <v>12</v>
      </c>
      <c r="B11" t="s">
        <v>1707</v>
      </c>
      <c r="C11">
        <v>1</v>
      </c>
      <c r="D11"/>
      <c r="I11"/>
      <c r="J11"/>
      <c r="K11"/>
      <c r="N11">
        <v>0.1</v>
      </c>
      <c r="O11">
        <v>0</v>
      </c>
      <c r="P11">
        <v>25</v>
      </c>
      <c r="Q11">
        <v>7</v>
      </c>
      <c r="R11" t="s">
        <v>102</v>
      </c>
      <c r="T11" s="6">
        <f>10^-(14-Q11)</f>
        <v>9.9999999999999995E-8</v>
      </c>
      <c r="U11" s="6">
        <v>0</v>
      </c>
      <c r="V11" s="6">
        <v>0</v>
      </c>
      <c r="W11" s="6">
        <v>0</v>
      </c>
      <c r="X11" s="6">
        <v>0</v>
      </c>
      <c r="Y11" t="s">
        <v>171</v>
      </c>
      <c r="Z11"/>
      <c r="AA11"/>
      <c r="AB11"/>
      <c r="AC11"/>
      <c r="AE11">
        <v>405</v>
      </c>
      <c r="AF11">
        <v>1</v>
      </c>
      <c r="AG11" s="9">
        <v>3.5999999999999997E-2</v>
      </c>
      <c r="AL11" s="9">
        <v>17.93</v>
      </c>
      <c r="AM11" s="9">
        <v>14.38</v>
      </c>
      <c r="AN11" s="9">
        <v>1.47</v>
      </c>
    </row>
    <row r="12" spans="1:41" x14ac:dyDescent="0.3">
      <c r="A12">
        <v>12</v>
      </c>
      <c r="B12" t="s">
        <v>1707</v>
      </c>
      <c r="C12">
        <v>1</v>
      </c>
      <c r="D12"/>
      <c r="I12"/>
      <c r="J12"/>
      <c r="K12"/>
      <c r="N12">
        <v>0.1</v>
      </c>
      <c r="O12">
        <v>0</v>
      </c>
      <c r="P12">
        <v>25</v>
      </c>
      <c r="Q12">
        <v>7</v>
      </c>
      <c r="R12" t="s">
        <v>102</v>
      </c>
      <c r="T12" s="6">
        <f>10^-(14-Q12)</f>
        <v>9.9999999999999995E-8</v>
      </c>
      <c r="U12" s="6">
        <v>0</v>
      </c>
      <c r="V12" s="6">
        <v>0</v>
      </c>
      <c r="W12" s="6">
        <v>0</v>
      </c>
      <c r="X12" s="6">
        <v>0</v>
      </c>
      <c r="Y12" t="s">
        <v>171</v>
      </c>
      <c r="Z12"/>
      <c r="AA12"/>
      <c r="AB12"/>
      <c r="AC12"/>
      <c r="AE12">
        <v>457</v>
      </c>
      <c r="AF12">
        <v>1</v>
      </c>
      <c r="AG12" s="9">
        <v>3.5999999999999997E-2</v>
      </c>
      <c r="AL12" s="9">
        <v>17.93</v>
      </c>
      <c r="AM12" s="9">
        <v>14.38</v>
      </c>
      <c r="AN12" s="9">
        <v>2.75</v>
      </c>
    </row>
    <row r="13" spans="1:41" x14ac:dyDescent="0.3">
      <c r="A13">
        <v>12</v>
      </c>
      <c r="B13" t="s">
        <v>1707</v>
      </c>
      <c r="C13">
        <v>1</v>
      </c>
      <c r="D13"/>
      <c r="I13"/>
      <c r="J13"/>
      <c r="K13"/>
      <c r="N13">
        <v>0.1</v>
      </c>
      <c r="O13">
        <v>0</v>
      </c>
      <c r="P13">
        <v>25</v>
      </c>
      <c r="Q13">
        <v>7</v>
      </c>
      <c r="R13" t="s">
        <v>102</v>
      </c>
      <c r="T13" s="6">
        <f>10^-(14-Q13)</f>
        <v>9.9999999999999995E-8</v>
      </c>
      <c r="U13" s="6">
        <v>0</v>
      </c>
      <c r="V13" s="6">
        <v>0</v>
      </c>
      <c r="W13" s="6">
        <v>0</v>
      </c>
      <c r="X13" s="6">
        <v>0</v>
      </c>
      <c r="Y13" t="s">
        <v>171</v>
      </c>
      <c r="Z13"/>
      <c r="AA13"/>
      <c r="AB13"/>
      <c r="AC13"/>
      <c r="AE13">
        <v>956</v>
      </c>
      <c r="AF13">
        <v>1</v>
      </c>
      <c r="AG13" s="9">
        <v>3.5999999999999997E-2</v>
      </c>
      <c r="AL13" s="9">
        <v>17.93</v>
      </c>
      <c r="AM13" s="9">
        <v>14.38</v>
      </c>
      <c r="AN13" s="9">
        <v>5</v>
      </c>
    </row>
    <row r="14" spans="1:41" x14ac:dyDescent="0.3">
      <c r="A14">
        <v>12</v>
      </c>
      <c r="B14" t="s">
        <v>1707</v>
      </c>
      <c r="C14">
        <v>1</v>
      </c>
      <c r="D14"/>
      <c r="I14"/>
      <c r="J14"/>
      <c r="K14"/>
      <c r="N14">
        <v>0.1</v>
      </c>
      <c r="O14">
        <v>0</v>
      </c>
      <c r="P14">
        <v>25</v>
      </c>
      <c r="Q14">
        <v>7</v>
      </c>
      <c r="R14" t="s">
        <v>102</v>
      </c>
      <c r="T14" s="6">
        <f>10^-(14-Q14)</f>
        <v>9.9999999999999995E-8</v>
      </c>
      <c r="U14" s="6">
        <v>0</v>
      </c>
      <c r="V14" s="6">
        <v>0</v>
      </c>
      <c r="W14" s="6">
        <v>0</v>
      </c>
      <c r="X14" s="6">
        <v>0</v>
      </c>
      <c r="Y14" t="s">
        <v>171</v>
      </c>
      <c r="Z14"/>
      <c r="AA14"/>
      <c r="AB14"/>
      <c r="AC14"/>
      <c r="AE14">
        <v>329</v>
      </c>
      <c r="AF14">
        <v>1</v>
      </c>
      <c r="AG14" s="9">
        <v>3.5999999999999997E-2</v>
      </c>
      <c r="AL14" s="9">
        <v>17.93</v>
      </c>
      <c r="AM14" s="9">
        <v>14.38</v>
      </c>
      <c r="AN14" s="9">
        <v>0</v>
      </c>
    </row>
    <row r="15" spans="1:41" x14ac:dyDescent="0.3">
      <c r="A15">
        <v>12</v>
      </c>
      <c r="B15" t="s">
        <v>1707</v>
      </c>
      <c r="C15">
        <v>1</v>
      </c>
      <c r="D15"/>
      <c r="I15"/>
      <c r="J15"/>
      <c r="K15"/>
      <c r="N15">
        <v>0.1</v>
      </c>
      <c r="O15">
        <v>0</v>
      </c>
      <c r="P15">
        <v>25</v>
      </c>
      <c r="Q15">
        <v>7</v>
      </c>
      <c r="R15" t="s">
        <v>102</v>
      </c>
      <c r="T15" s="6">
        <f>10^-(14-Q15)</f>
        <v>9.9999999999999995E-8</v>
      </c>
      <c r="U15" s="6">
        <v>0</v>
      </c>
      <c r="V15" s="6">
        <v>0</v>
      </c>
      <c r="W15" s="6">
        <v>0</v>
      </c>
      <c r="X15" s="6">
        <v>0</v>
      </c>
      <c r="Y15" t="s">
        <v>171</v>
      </c>
      <c r="Z15"/>
      <c r="AA15"/>
      <c r="AB15"/>
      <c r="AC15"/>
      <c r="AE15">
        <v>393</v>
      </c>
      <c r="AF15">
        <v>1</v>
      </c>
      <c r="AG15" s="9">
        <v>3.5999999999999997E-2</v>
      </c>
      <c r="AL15" s="9">
        <v>17.93</v>
      </c>
      <c r="AM15" s="9">
        <v>14.38</v>
      </c>
      <c r="AN15" s="9">
        <v>0</v>
      </c>
    </row>
    <row r="16" spans="1:41" x14ac:dyDescent="0.3">
      <c r="A16">
        <v>12</v>
      </c>
      <c r="B16" t="s">
        <v>1707</v>
      </c>
      <c r="C16">
        <v>1</v>
      </c>
      <c r="D16"/>
      <c r="I16"/>
      <c r="J16"/>
      <c r="K16"/>
      <c r="N16">
        <v>0.1</v>
      </c>
      <c r="O16">
        <v>0</v>
      </c>
      <c r="P16">
        <v>25</v>
      </c>
      <c r="Q16">
        <v>7</v>
      </c>
      <c r="R16" t="s">
        <v>102</v>
      </c>
      <c r="T16" s="6">
        <f>10^-(14-Q16)</f>
        <v>9.9999999999999995E-8</v>
      </c>
      <c r="U16" s="6">
        <v>0</v>
      </c>
      <c r="V16" s="6">
        <v>0</v>
      </c>
      <c r="W16" s="6">
        <v>0</v>
      </c>
      <c r="X16" s="6">
        <v>0</v>
      </c>
      <c r="Y16" t="s">
        <v>171</v>
      </c>
      <c r="Z16"/>
      <c r="AA16"/>
      <c r="AB16"/>
      <c r="AC16"/>
      <c r="AE16">
        <v>446</v>
      </c>
      <c r="AF16">
        <v>1</v>
      </c>
      <c r="AG16" s="9">
        <v>3.5999999999999997E-2</v>
      </c>
      <c r="AL16" s="9">
        <v>17.93</v>
      </c>
      <c r="AM16" s="9">
        <v>14.38</v>
      </c>
      <c r="AN16" s="9">
        <v>0</v>
      </c>
    </row>
    <row r="17" spans="1:41" x14ac:dyDescent="0.3">
      <c r="A17">
        <v>12</v>
      </c>
      <c r="B17" t="s">
        <v>1707</v>
      </c>
      <c r="C17">
        <v>1</v>
      </c>
      <c r="D17"/>
      <c r="I17"/>
      <c r="J17"/>
      <c r="K17"/>
      <c r="N17">
        <v>0.1</v>
      </c>
      <c r="O17">
        <v>0</v>
      </c>
      <c r="P17">
        <v>25</v>
      </c>
      <c r="Q17">
        <v>7</v>
      </c>
      <c r="R17" t="s">
        <v>102</v>
      </c>
      <c r="T17" s="6">
        <f>10^-(14-Q17)</f>
        <v>9.9999999999999995E-8</v>
      </c>
      <c r="U17" s="6">
        <v>0</v>
      </c>
      <c r="V17" s="6">
        <v>0</v>
      </c>
      <c r="W17" s="6">
        <v>0</v>
      </c>
      <c r="X17" s="6">
        <v>0</v>
      </c>
      <c r="Y17" t="s">
        <v>171</v>
      </c>
      <c r="Z17"/>
      <c r="AA17"/>
      <c r="AB17"/>
      <c r="AC17"/>
      <c r="AE17">
        <v>386</v>
      </c>
      <c r="AF17">
        <v>1</v>
      </c>
      <c r="AG17" s="9">
        <v>3.5999999999999997E-2</v>
      </c>
      <c r="AL17" s="9">
        <v>17.93</v>
      </c>
      <c r="AM17" s="9">
        <v>14.38</v>
      </c>
      <c r="AN17" s="9">
        <v>0</v>
      </c>
    </row>
    <row r="18" spans="1:41" x14ac:dyDescent="0.3">
      <c r="A18">
        <v>12</v>
      </c>
      <c r="B18" t="s">
        <v>1707</v>
      </c>
      <c r="C18">
        <v>1</v>
      </c>
      <c r="D18"/>
      <c r="I18"/>
      <c r="J18"/>
      <c r="K18"/>
      <c r="N18">
        <v>0.1</v>
      </c>
      <c r="O18">
        <v>0</v>
      </c>
      <c r="P18">
        <v>25</v>
      </c>
      <c r="Q18">
        <v>7</v>
      </c>
      <c r="R18" t="s">
        <v>102</v>
      </c>
      <c r="T18" s="6">
        <f>10^-(14-Q18)</f>
        <v>9.9999999999999995E-8</v>
      </c>
      <c r="U18" s="6">
        <v>0</v>
      </c>
      <c r="V18" s="6">
        <v>0</v>
      </c>
      <c r="W18" s="6">
        <v>0</v>
      </c>
      <c r="X18" s="6">
        <v>0</v>
      </c>
      <c r="Y18" t="s">
        <v>171</v>
      </c>
      <c r="Z18"/>
      <c r="AA18"/>
      <c r="AB18"/>
      <c r="AC18"/>
      <c r="AE18">
        <v>376</v>
      </c>
      <c r="AF18">
        <v>1</v>
      </c>
      <c r="AG18" s="9">
        <v>3.5999999999999997E-2</v>
      </c>
      <c r="AL18" s="9">
        <v>17.93</v>
      </c>
      <c r="AM18" s="9">
        <v>14.38</v>
      </c>
      <c r="AN18" s="9">
        <v>0</v>
      </c>
    </row>
    <row r="19" spans="1:41" x14ac:dyDescent="0.3">
      <c r="A19">
        <v>12</v>
      </c>
      <c r="B19" t="s">
        <v>1707</v>
      </c>
      <c r="C19">
        <v>1</v>
      </c>
      <c r="D19"/>
      <c r="I19"/>
      <c r="J19"/>
      <c r="K19"/>
      <c r="N19">
        <v>0.1</v>
      </c>
      <c r="O19">
        <v>0</v>
      </c>
      <c r="P19">
        <v>25</v>
      </c>
      <c r="Q19">
        <v>7</v>
      </c>
      <c r="R19" t="s">
        <v>102</v>
      </c>
      <c r="T19" s="6">
        <f>10^-(14-Q19)</f>
        <v>9.9999999999999995E-8</v>
      </c>
      <c r="U19" s="6">
        <v>0</v>
      </c>
      <c r="V19" s="6">
        <v>0</v>
      </c>
      <c r="W19" s="6">
        <v>0</v>
      </c>
      <c r="X19" s="6">
        <v>0</v>
      </c>
      <c r="Y19" t="s">
        <v>171</v>
      </c>
      <c r="Z19"/>
      <c r="AA19"/>
      <c r="AB19"/>
      <c r="AC19"/>
      <c r="AE19">
        <v>375</v>
      </c>
      <c r="AF19">
        <v>1</v>
      </c>
      <c r="AG19" s="9">
        <v>3.5999999999999997E-2</v>
      </c>
      <c r="AL19" s="9">
        <v>17.93</v>
      </c>
      <c r="AM19" s="9">
        <v>14.38</v>
      </c>
      <c r="AN19" s="9">
        <v>0</v>
      </c>
    </row>
    <row r="20" spans="1:41" x14ac:dyDescent="0.3">
      <c r="A20">
        <v>12</v>
      </c>
      <c r="B20" t="s">
        <v>1707</v>
      </c>
      <c r="C20">
        <v>1</v>
      </c>
      <c r="D20"/>
      <c r="I20"/>
      <c r="J20"/>
      <c r="K20"/>
      <c r="N20">
        <v>0.1</v>
      </c>
      <c r="O20">
        <v>0</v>
      </c>
      <c r="P20">
        <v>25</v>
      </c>
      <c r="Q20">
        <v>7</v>
      </c>
      <c r="R20" t="s">
        <v>102</v>
      </c>
      <c r="T20" s="6">
        <f>10^-(14-Q20)</f>
        <v>9.9999999999999995E-8</v>
      </c>
      <c r="U20" s="6">
        <v>0</v>
      </c>
      <c r="V20" s="6">
        <v>0</v>
      </c>
      <c r="W20" s="6">
        <v>0</v>
      </c>
      <c r="X20" s="6">
        <v>0</v>
      </c>
      <c r="Y20" t="s">
        <v>171</v>
      </c>
      <c r="Z20"/>
      <c r="AA20"/>
      <c r="AB20"/>
      <c r="AC20"/>
      <c r="AE20">
        <v>373</v>
      </c>
      <c r="AF20">
        <v>1</v>
      </c>
      <c r="AG20" s="9">
        <v>3.5999999999999997E-2</v>
      </c>
      <c r="AL20" s="9">
        <v>17.93</v>
      </c>
      <c r="AM20" s="9">
        <v>14.38</v>
      </c>
      <c r="AN20" s="9">
        <v>0</v>
      </c>
    </row>
    <row r="21" spans="1:41" x14ac:dyDescent="0.3">
      <c r="A21">
        <v>12</v>
      </c>
      <c r="B21" t="s">
        <v>1707</v>
      </c>
      <c r="C21">
        <v>1</v>
      </c>
      <c r="D21"/>
      <c r="I21"/>
      <c r="J21"/>
      <c r="K21"/>
      <c r="N21">
        <v>0.1</v>
      </c>
      <c r="O21">
        <v>0</v>
      </c>
      <c r="P21">
        <v>25</v>
      </c>
      <c r="Q21">
        <v>7</v>
      </c>
      <c r="R21" t="s">
        <v>102</v>
      </c>
      <c r="T21" s="6">
        <f>10^-(14-Q21)</f>
        <v>9.9999999999999995E-8</v>
      </c>
      <c r="U21" s="6">
        <v>0</v>
      </c>
      <c r="V21" s="6">
        <v>0</v>
      </c>
      <c r="W21" s="6">
        <v>0</v>
      </c>
      <c r="X21" s="6">
        <v>0</v>
      </c>
      <c r="Y21" t="s">
        <v>171</v>
      </c>
      <c r="Z21"/>
      <c r="AA21"/>
      <c r="AB21"/>
      <c r="AC21"/>
      <c r="AE21">
        <v>326</v>
      </c>
      <c r="AF21">
        <v>1</v>
      </c>
      <c r="AG21" s="9">
        <v>3.5999999999999997E-2</v>
      </c>
      <c r="AL21" s="9">
        <v>17.93</v>
      </c>
      <c r="AM21" s="9">
        <v>14.38</v>
      </c>
      <c r="AN21" s="9">
        <v>0</v>
      </c>
    </row>
    <row r="22" spans="1:41" x14ac:dyDescent="0.3">
      <c r="A22">
        <v>12</v>
      </c>
      <c r="B22" t="s">
        <v>1707</v>
      </c>
      <c r="C22">
        <v>1</v>
      </c>
      <c r="D22"/>
      <c r="I22"/>
      <c r="J22"/>
      <c r="K22"/>
      <c r="N22">
        <v>0.1</v>
      </c>
      <c r="O22">
        <v>0</v>
      </c>
      <c r="P22">
        <v>25</v>
      </c>
      <c r="Q22">
        <v>7</v>
      </c>
      <c r="R22" t="s">
        <v>102</v>
      </c>
      <c r="T22" s="6">
        <f>10^-(14-Q22)</f>
        <v>9.9999999999999995E-8</v>
      </c>
      <c r="U22" s="6">
        <v>0</v>
      </c>
      <c r="V22" s="6">
        <v>0</v>
      </c>
      <c r="W22" s="6">
        <v>0</v>
      </c>
      <c r="X22" s="6">
        <v>0</v>
      </c>
      <c r="Y22" t="s">
        <v>171</v>
      </c>
      <c r="Z22"/>
      <c r="AA22"/>
      <c r="AB22"/>
      <c r="AC22"/>
      <c r="AE22">
        <v>355</v>
      </c>
      <c r="AF22">
        <v>1</v>
      </c>
      <c r="AG22" s="9">
        <v>3.5999999999999997E-2</v>
      </c>
      <c r="AI22" s="9">
        <v>3.33</v>
      </c>
      <c r="AL22" s="9">
        <v>17.93</v>
      </c>
      <c r="AM22" s="9">
        <v>14.38</v>
      </c>
      <c r="AN22" s="9">
        <v>0</v>
      </c>
    </row>
    <row r="23" spans="1:41" x14ac:dyDescent="0.3">
      <c r="A23">
        <v>12</v>
      </c>
      <c r="B23" t="s">
        <v>1707</v>
      </c>
      <c r="C23">
        <v>1</v>
      </c>
      <c r="D23"/>
      <c r="I23"/>
      <c r="J23"/>
      <c r="K23"/>
      <c r="N23">
        <v>0.1</v>
      </c>
      <c r="O23">
        <v>0</v>
      </c>
      <c r="P23">
        <v>25</v>
      </c>
      <c r="Q23">
        <v>7</v>
      </c>
      <c r="R23" t="s">
        <v>102</v>
      </c>
      <c r="T23" s="6">
        <f>10^-(14-Q23)</f>
        <v>9.9999999999999995E-8</v>
      </c>
      <c r="U23" s="6">
        <v>0</v>
      </c>
      <c r="V23" s="6">
        <v>0</v>
      </c>
      <c r="W23" s="6">
        <v>0</v>
      </c>
      <c r="X23" s="6">
        <v>0</v>
      </c>
      <c r="Y23" t="s">
        <v>171</v>
      </c>
      <c r="Z23"/>
      <c r="AA23"/>
      <c r="AB23"/>
      <c r="AC23"/>
      <c r="AE23">
        <v>1256</v>
      </c>
      <c r="AF23">
        <v>2</v>
      </c>
      <c r="AG23" s="9">
        <v>3.5999999999999997E-2</v>
      </c>
      <c r="AI23" s="9">
        <v>4.74</v>
      </c>
      <c r="AL23" s="9">
        <v>17.93</v>
      </c>
      <c r="AM23" s="9">
        <v>14.38</v>
      </c>
      <c r="AN23" s="9">
        <v>0</v>
      </c>
    </row>
    <row r="24" spans="1:41" x14ac:dyDescent="0.3">
      <c r="A24">
        <v>12</v>
      </c>
      <c r="B24" t="s">
        <v>1707</v>
      </c>
      <c r="C24">
        <v>1</v>
      </c>
      <c r="D24"/>
      <c r="I24"/>
      <c r="J24"/>
      <c r="K24"/>
      <c r="N24">
        <v>0.1</v>
      </c>
      <c r="O24">
        <v>0</v>
      </c>
      <c r="P24">
        <v>25</v>
      </c>
      <c r="Q24">
        <v>7</v>
      </c>
      <c r="R24" t="s">
        <v>102</v>
      </c>
      <c r="T24" s="6">
        <f>10^-(14-Q24)</f>
        <v>9.9999999999999995E-8</v>
      </c>
      <c r="U24" s="6">
        <v>0</v>
      </c>
      <c r="V24" s="6">
        <v>0</v>
      </c>
      <c r="W24" s="6">
        <v>0</v>
      </c>
      <c r="X24" s="6">
        <v>0</v>
      </c>
      <c r="Y24" t="s">
        <v>171</v>
      </c>
      <c r="Z24"/>
      <c r="AA24"/>
      <c r="AB24"/>
      <c r="AC24"/>
      <c r="AE24">
        <v>415</v>
      </c>
      <c r="AF24">
        <v>1</v>
      </c>
      <c r="AG24" s="9">
        <v>3.5999999999999997E-2</v>
      </c>
      <c r="AL24" s="9">
        <v>17.93</v>
      </c>
      <c r="AM24" s="9">
        <v>14.38</v>
      </c>
      <c r="AN24" s="9">
        <v>0</v>
      </c>
    </row>
    <row r="25" spans="1:41" x14ac:dyDescent="0.3">
      <c r="A25">
        <v>12</v>
      </c>
      <c r="B25" t="s">
        <v>1707</v>
      </c>
      <c r="C25">
        <v>1</v>
      </c>
      <c r="D25"/>
      <c r="I25"/>
      <c r="J25"/>
      <c r="K25"/>
      <c r="N25">
        <v>0.1</v>
      </c>
      <c r="O25">
        <v>0</v>
      </c>
      <c r="P25">
        <v>25</v>
      </c>
      <c r="Q25">
        <v>7</v>
      </c>
      <c r="R25" t="s">
        <v>102</v>
      </c>
      <c r="T25" s="6">
        <f>10^-(14-Q25)</f>
        <v>9.9999999999999995E-8</v>
      </c>
      <c r="U25" s="6">
        <v>0</v>
      </c>
      <c r="V25" s="6">
        <v>0</v>
      </c>
      <c r="W25" s="6">
        <v>0</v>
      </c>
      <c r="X25" s="6">
        <v>0</v>
      </c>
      <c r="Y25" t="s">
        <v>171</v>
      </c>
      <c r="Z25"/>
      <c r="AA25"/>
      <c r="AB25"/>
      <c r="AC25"/>
      <c r="AE25">
        <v>566</v>
      </c>
      <c r="AF25">
        <v>1</v>
      </c>
      <c r="AG25" s="9">
        <v>3.5999999999999997E-2</v>
      </c>
      <c r="AL25" s="9">
        <v>17.93</v>
      </c>
      <c r="AM25" s="9">
        <v>14.38</v>
      </c>
      <c r="AN25" s="9">
        <v>5</v>
      </c>
    </row>
    <row r="26" spans="1:41" x14ac:dyDescent="0.3">
      <c r="A26">
        <v>12</v>
      </c>
      <c r="B26" t="s">
        <v>1707</v>
      </c>
      <c r="C26">
        <v>1</v>
      </c>
      <c r="D26"/>
      <c r="I26"/>
      <c r="J26"/>
      <c r="K26"/>
      <c r="N26">
        <v>0.1</v>
      </c>
      <c r="O26">
        <v>0</v>
      </c>
      <c r="P26">
        <v>25</v>
      </c>
      <c r="Q26">
        <v>7</v>
      </c>
      <c r="R26" t="s">
        <v>102</v>
      </c>
      <c r="T26" s="6">
        <f>10^-(14-Q26)</f>
        <v>9.9999999999999995E-8</v>
      </c>
      <c r="U26" s="6">
        <v>0</v>
      </c>
      <c r="V26" s="6">
        <v>0</v>
      </c>
      <c r="W26" s="6">
        <v>0</v>
      </c>
      <c r="X26" s="6">
        <v>0</v>
      </c>
      <c r="Y26" t="s">
        <v>171</v>
      </c>
      <c r="Z26"/>
      <c r="AA26"/>
      <c r="AB26"/>
      <c r="AC26"/>
      <c r="AE26">
        <v>500</v>
      </c>
      <c r="AF26">
        <v>1</v>
      </c>
      <c r="AG26" s="9">
        <v>3.5999999999999997E-2</v>
      </c>
      <c r="AL26" s="9">
        <v>17.93</v>
      </c>
      <c r="AM26" s="9">
        <v>14.38</v>
      </c>
      <c r="AN26" s="9">
        <v>0</v>
      </c>
    </row>
    <row r="27" spans="1:41" x14ac:dyDescent="0.3">
      <c r="A27">
        <v>12</v>
      </c>
      <c r="B27" t="s">
        <v>1707</v>
      </c>
      <c r="C27">
        <v>1</v>
      </c>
      <c r="D27"/>
      <c r="I27"/>
      <c r="J27"/>
      <c r="K27"/>
      <c r="N27">
        <v>0.1</v>
      </c>
      <c r="O27">
        <v>0</v>
      </c>
      <c r="P27">
        <v>25</v>
      </c>
      <c r="Q27">
        <v>7</v>
      </c>
      <c r="R27" t="s">
        <v>102</v>
      </c>
      <c r="T27" s="6">
        <f>10^-(14-Q27)</f>
        <v>9.9999999999999995E-8</v>
      </c>
      <c r="U27" s="6">
        <v>0</v>
      </c>
      <c r="V27" s="6">
        <v>0</v>
      </c>
      <c r="W27" s="6">
        <v>0</v>
      </c>
      <c r="X27" s="6">
        <v>0</v>
      </c>
      <c r="Y27" t="s">
        <v>171</v>
      </c>
      <c r="Z27"/>
      <c r="AA27"/>
      <c r="AB27"/>
      <c r="AC27"/>
      <c r="AE27">
        <v>415</v>
      </c>
      <c r="AF27">
        <v>1</v>
      </c>
      <c r="AG27" s="9">
        <v>3.5999999999999997E-2</v>
      </c>
      <c r="AI27" s="9">
        <v>5</v>
      </c>
      <c r="AL27" s="9">
        <v>17.93</v>
      </c>
      <c r="AM27" s="9">
        <v>14.38</v>
      </c>
      <c r="AN27" s="9">
        <v>0</v>
      </c>
    </row>
    <row r="28" spans="1:41" x14ac:dyDescent="0.3">
      <c r="A28">
        <v>2</v>
      </c>
      <c r="B28" t="s">
        <v>1708</v>
      </c>
      <c r="C28">
        <v>2</v>
      </c>
      <c r="D28"/>
      <c r="E28">
        <v>320</v>
      </c>
      <c r="F28">
        <v>0.3</v>
      </c>
      <c r="I28"/>
      <c r="J28"/>
      <c r="K28"/>
      <c r="L28" t="s">
        <v>172</v>
      </c>
      <c r="N28">
        <v>0.1</v>
      </c>
      <c r="O28">
        <v>0</v>
      </c>
      <c r="P28">
        <v>24</v>
      </c>
      <c r="Q28">
        <v>1</v>
      </c>
      <c r="R28" t="s">
        <v>102</v>
      </c>
      <c r="T28" s="6">
        <f>10^-(14-Q28)</f>
        <v>1E-13</v>
      </c>
      <c r="U28" s="6">
        <v>0</v>
      </c>
      <c r="V28" s="6">
        <v>0</v>
      </c>
      <c r="W28" s="6">
        <v>0</v>
      </c>
      <c r="X28" s="6">
        <v>0</v>
      </c>
      <c r="Y28" t="s">
        <v>171</v>
      </c>
      <c r="Z28"/>
      <c r="AA28"/>
      <c r="AB28"/>
      <c r="AC28"/>
      <c r="AD28">
        <v>0.16700000000000001</v>
      </c>
      <c r="AE28">
        <v>800</v>
      </c>
      <c r="AF28">
        <v>0</v>
      </c>
      <c r="AG28" s="9">
        <v>2.7E-2</v>
      </c>
      <c r="AH28" s="9">
        <v>1.72</v>
      </c>
      <c r="AI28" s="9">
        <v>0.53</v>
      </c>
      <c r="AL28" s="9">
        <v>17.600000000000001</v>
      </c>
      <c r="AM28" s="9">
        <v>13.5</v>
      </c>
      <c r="AN28" s="9">
        <v>3.89</v>
      </c>
      <c r="AO28" s="9">
        <v>3.3000000000000002E-2</v>
      </c>
    </row>
    <row r="29" spans="1:41" x14ac:dyDescent="0.3">
      <c r="A29">
        <v>2</v>
      </c>
      <c r="B29" t="s">
        <v>1708</v>
      </c>
      <c r="C29">
        <v>2</v>
      </c>
      <c r="D29"/>
      <c r="E29">
        <v>320</v>
      </c>
      <c r="F29">
        <v>0.3</v>
      </c>
      <c r="I29"/>
      <c r="J29"/>
      <c r="K29"/>
      <c r="L29" t="s">
        <v>172</v>
      </c>
      <c r="N29">
        <v>1</v>
      </c>
      <c r="O29">
        <v>0</v>
      </c>
      <c r="P29">
        <v>24</v>
      </c>
      <c r="Q29">
        <v>7</v>
      </c>
      <c r="R29" t="s">
        <v>102</v>
      </c>
      <c r="T29" s="6">
        <f>10^-(14-Q29)</f>
        <v>9.9999999999999995E-8</v>
      </c>
      <c r="U29" s="6">
        <v>0</v>
      </c>
      <c r="V29" s="6">
        <v>0</v>
      </c>
      <c r="W29" s="6">
        <v>0</v>
      </c>
      <c r="X29" s="6">
        <v>0</v>
      </c>
      <c r="Y29" t="s">
        <v>171</v>
      </c>
      <c r="Z29"/>
      <c r="AA29"/>
      <c r="AB29"/>
      <c r="AC29"/>
      <c r="AD29">
        <v>0.55600000000000005</v>
      </c>
      <c r="AE29">
        <v>430</v>
      </c>
      <c r="AF29">
        <v>1</v>
      </c>
      <c r="AG29" s="9">
        <v>2.5000000000000001E-2</v>
      </c>
      <c r="AH29" s="9">
        <v>1.8</v>
      </c>
      <c r="AI29" s="9">
        <v>0.5</v>
      </c>
      <c r="AL29" s="9">
        <v>17.600000000000001</v>
      </c>
      <c r="AM29" s="9">
        <v>13.6</v>
      </c>
      <c r="AN29" s="9">
        <v>2.93</v>
      </c>
      <c r="AO29" s="9">
        <v>0.03</v>
      </c>
    </row>
    <row r="30" spans="1:41" x14ac:dyDescent="0.3">
      <c r="A30">
        <v>2</v>
      </c>
      <c r="B30" t="s">
        <v>1708</v>
      </c>
      <c r="C30">
        <v>2</v>
      </c>
      <c r="D30"/>
      <c r="E30">
        <v>320</v>
      </c>
      <c r="F30">
        <v>0.3</v>
      </c>
      <c r="I30"/>
      <c r="J30"/>
      <c r="K30"/>
      <c r="L30" t="s">
        <v>172</v>
      </c>
      <c r="N30">
        <v>1</v>
      </c>
      <c r="O30">
        <v>0</v>
      </c>
      <c r="P30">
        <v>24</v>
      </c>
      <c r="Q30">
        <v>7</v>
      </c>
      <c r="R30" t="s">
        <v>102</v>
      </c>
      <c r="T30" s="6">
        <f>10^-(14-Q30)</f>
        <v>9.9999999999999995E-8</v>
      </c>
      <c r="U30" s="6">
        <v>0</v>
      </c>
      <c r="V30" s="6">
        <v>0</v>
      </c>
      <c r="W30" s="6">
        <v>0</v>
      </c>
      <c r="X30" s="6">
        <v>0</v>
      </c>
      <c r="Y30" t="s">
        <v>171</v>
      </c>
      <c r="Z30"/>
      <c r="AA30"/>
      <c r="AB30"/>
      <c r="AC30"/>
      <c r="AD30">
        <v>0.16700000000000001</v>
      </c>
      <c r="AE30">
        <v>470</v>
      </c>
      <c r="AF30">
        <v>1</v>
      </c>
      <c r="AG30" s="9">
        <v>2.5000000000000001E-2</v>
      </c>
      <c r="AH30" s="9">
        <v>1.8</v>
      </c>
      <c r="AI30" s="9">
        <v>0.5</v>
      </c>
      <c r="AL30" s="9">
        <v>17.600000000000001</v>
      </c>
      <c r="AM30" s="9">
        <v>13.6</v>
      </c>
      <c r="AN30" s="9">
        <v>2.93</v>
      </c>
      <c r="AO30" s="9">
        <v>0.03</v>
      </c>
    </row>
    <row r="31" spans="1:41" x14ac:dyDescent="0.3">
      <c r="A31">
        <v>2</v>
      </c>
      <c r="B31" t="s">
        <v>1708</v>
      </c>
      <c r="C31">
        <v>2</v>
      </c>
      <c r="D31"/>
      <c r="E31">
        <v>320</v>
      </c>
      <c r="F31">
        <v>0.3</v>
      </c>
      <c r="I31"/>
      <c r="J31"/>
      <c r="K31"/>
      <c r="L31" t="s">
        <v>172</v>
      </c>
      <c r="N31">
        <v>1</v>
      </c>
      <c r="O31">
        <v>0</v>
      </c>
      <c r="P31">
        <v>24</v>
      </c>
      <c r="Q31">
        <v>7</v>
      </c>
      <c r="R31" t="s">
        <v>102</v>
      </c>
      <c r="T31" s="6">
        <f>10^-(14-Q31)</f>
        <v>9.9999999999999995E-8</v>
      </c>
      <c r="U31" s="6">
        <v>0</v>
      </c>
      <c r="V31" s="6">
        <v>0</v>
      </c>
      <c r="W31" s="6">
        <v>0</v>
      </c>
      <c r="X31" s="6">
        <v>0</v>
      </c>
      <c r="Y31" t="s">
        <v>171</v>
      </c>
      <c r="Z31"/>
      <c r="AA31"/>
      <c r="AB31"/>
      <c r="AC31"/>
      <c r="AD31">
        <v>1.67E-2</v>
      </c>
      <c r="AG31" s="9">
        <v>2.5000000000000001E-2</v>
      </c>
      <c r="AH31" s="9">
        <v>1.8</v>
      </c>
      <c r="AI31" s="9">
        <v>0.5</v>
      </c>
      <c r="AL31" s="9">
        <v>17.600000000000001</v>
      </c>
      <c r="AM31" s="9">
        <v>13.6</v>
      </c>
      <c r="AN31" s="9">
        <v>2.93</v>
      </c>
      <c r="AO31" s="9">
        <v>0.03</v>
      </c>
    </row>
    <row r="32" spans="1:41" x14ac:dyDescent="0.3">
      <c r="A32">
        <v>2</v>
      </c>
      <c r="B32" t="s">
        <v>1708</v>
      </c>
      <c r="C32">
        <v>2</v>
      </c>
      <c r="D32"/>
      <c r="E32">
        <v>320</v>
      </c>
      <c r="F32">
        <v>0.3</v>
      </c>
      <c r="I32"/>
      <c r="J32"/>
      <c r="K32"/>
      <c r="L32" t="s">
        <v>172</v>
      </c>
      <c r="N32">
        <v>1</v>
      </c>
      <c r="O32">
        <v>0</v>
      </c>
      <c r="P32">
        <v>24</v>
      </c>
      <c r="Q32">
        <v>7</v>
      </c>
      <c r="R32" t="s">
        <v>102</v>
      </c>
      <c r="T32" s="6">
        <f>10^-(14-Q32)</f>
        <v>9.9999999999999995E-8</v>
      </c>
      <c r="U32" s="6">
        <v>0</v>
      </c>
      <c r="V32" s="6">
        <v>0</v>
      </c>
      <c r="W32" s="6">
        <v>0</v>
      </c>
      <c r="X32" s="6">
        <v>0</v>
      </c>
      <c r="Y32" t="s">
        <v>171</v>
      </c>
      <c r="Z32"/>
      <c r="AA32"/>
      <c r="AB32"/>
      <c r="AC32"/>
      <c r="AD32">
        <v>1.67E-2</v>
      </c>
      <c r="AE32">
        <v>655</v>
      </c>
      <c r="AF32">
        <v>1</v>
      </c>
      <c r="AG32" s="9">
        <v>2.5000000000000001E-2</v>
      </c>
      <c r="AH32" s="9">
        <v>1.8</v>
      </c>
      <c r="AI32" s="9">
        <v>0.5</v>
      </c>
      <c r="AL32" s="9">
        <v>17.600000000000001</v>
      </c>
      <c r="AM32" s="9">
        <v>13.6</v>
      </c>
      <c r="AN32" s="9">
        <v>2.93</v>
      </c>
      <c r="AO32" s="9">
        <v>0.03</v>
      </c>
    </row>
    <row r="33" spans="1:41" x14ac:dyDescent="0.3">
      <c r="A33">
        <v>2</v>
      </c>
      <c r="B33" t="s">
        <v>1708</v>
      </c>
      <c r="C33">
        <v>2</v>
      </c>
      <c r="D33"/>
      <c r="E33">
        <v>320</v>
      </c>
      <c r="F33">
        <v>0.3</v>
      </c>
      <c r="I33"/>
      <c r="J33"/>
      <c r="K33"/>
      <c r="L33" t="s">
        <v>172</v>
      </c>
      <c r="N33">
        <v>0.1</v>
      </c>
      <c r="O33">
        <v>0</v>
      </c>
      <c r="P33">
        <v>24</v>
      </c>
      <c r="Q33">
        <v>1</v>
      </c>
      <c r="R33" t="s">
        <v>102</v>
      </c>
      <c r="T33" s="6">
        <f>10^-(14-Q33)</f>
        <v>1E-13</v>
      </c>
      <c r="U33" s="6">
        <v>0</v>
      </c>
      <c r="V33" s="6">
        <v>0</v>
      </c>
      <c r="W33" s="6">
        <v>0</v>
      </c>
      <c r="X33" s="6">
        <v>0</v>
      </c>
      <c r="Y33" t="s">
        <v>171</v>
      </c>
      <c r="Z33"/>
      <c r="AA33"/>
      <c r="AB33"/>
      <c r="AC33"/>
      <c r="AD33">
        <v>0.16700000000000001</v>
      </c>
      <c r="AE33">
        <v>390</v>
      </c>
      <c r="AF33">
        <v>1</v>
      </c>
      <c r="AG33" s="9">
        <v>2.5000000000000001E-2</v>
      </c>
      <c r="AH33" s="9">
        <v>1.84</v>
      </c>
      <c r="AI33" s="9">
        <v>0.45</v>
      </c>
      <c r="AL33" s="9">
        <v>17.670000000000002</v>
      </c>
      <c r="AM33" s="9">
        <v>13.57</v>
      </c>
      <c r="AN33" s="9">
        <v>1.99</v>
      </c>
      <c r="AO33" s="9">
        <v>0.03</v>
      </c>
    </row>
    <row r="34" spans="1:41" x14ac:dyDescent="0.3">
      <c r="A34">
        <v>2</v>
      </c>
      <c r="B34" t="s">
        <v>1708</v>
      </c>
      <c r="C34">
        <v>2</v>
      </c>
      <c r="D34"/>
      <c r="E34">
        <v>320</v>
      </c>
      <c r="F34">
        <v>0.3</v>
      </c>
      <c r="I34"/>
      <c r="J34"/>
      <c r="K34"/>
      <c r="L34" t="s">
        <v>172</v>
      </c>
      <c r="N34">
        <v>0.1</v>
      </c>
      <c r="O34">
        <v>0</v>
      </c>
      <c r="P34">
        <v>24</v>
      </c>
      <c r="Q34">
        <v>1</v>
      </c>
      <c r="R34" t="s">
        <v>102</v>
      </c>
      <c r="T34" s="6">
        <f>10^-(14-Q34)</f>
        <v>1E-13</v>
      </c>
      <c r="U34" s="6">
        <v>0</v>
      </c>
      <c r="V34" s="6">
        <v>0</v>
      </c>
      <c r="W34" s="6">
        <v>0</v>
      </c>
      <c r="X34" s="6">
        <v>0</v>
      </c>
      <c r="Y34" t="s">
        <v>171</v>
      </c>
      <c r="Z34"/>
      <c r="AA34"/>
      <c r="AB34"/>
      <c r="AC34"/>
      <c r="AD34">
        <v>0.16700000000000001</v>
      </c>
      <c r="AE34">
        <v>800</v>
      </c>
      <c r="AF34">
        <v>0</v>
      </c>
      <c r="AG34" s="9">
        <v>2E-3</v>
      </c>
      <c r="AI34" s="9">
        <v>0.09</v>
      </c>
      <c r="AL34" s="9">
        <v>17.86</v>
      </c>
      <c r="AM34" s="9">
        <v>16.13</v>
      </c>
      <c r="AN34" s="9">
        <v>6.7000000000000004E-2</v>
      </c>
      <c r="AO34" s="9">
        <v>0.01</v>
      </c>
    </row>
    <row r="35" spans="1:41" x14ac:dyDescent="0.3">
      <c r="A35">
        <v>2</v>
      </c>
      <c r="B35" t="s">
        <v>1708</v>
      </c>
      <c r="C35">
        <v>2</v>
      </c>
      <c r="D35"/>
      <c r="E35">
        <v>320</v>
      </c>
      <c r="F35">
        <v>0.3</v>
      </c>
      <c r="I35"/>
      <c r="J35"/>
      <c r="K35"/>
      <c r="L35" t="s">
        <v>172</v>
      </c>
      <c r="N35">
        <v>0.1</v>
      </c>
      <c r="O35">
        <v>0</v>
      </c>
      <c r="P35">
        <v>24</v>
      </c>
      <c r="Q35">
        <v>1</v>
      </c>
      <c r="R35" t="s">
        <v>102</v>
      </c>
      <c r="T35" s="6">
        <f>10^-(14-Q35)</f>
        <v>1E-13</v>
      </c>
      <c r="U35" s="6">
        <v>0</v>
      </c>
      <c r="V35" s="6">
        <v>0</v>
      </c>
      <c r="W35" s="6">
        <v>0</v>
      </c>
      <c r="X35" s="6">
        <v>0</v>
      </c>
      <c r="Y35" t="s">
        <v>171</v>
      </c>
      <c r="Z35"/>
      <c r="AA35"/>
      <c r="AB35"/>
      <c r="AC35"/>
      <c r="AD35">
        <v>0.16700000000000001</v>
      </c>
      <c r="AE35">
        <v>800</v>
      </c>
      <c r="AF35">
        <v>0</v>
      </c>
      <c r="AG35" s="9">
        <v>3.0000000000000001E-3</v>
      </c>
      <c r="AI35" s="9">
        <v>0.08</v>
      </c>
      <c r="AL35" s="9">
        <v>18.010000000000002</v>
      </c>
      <c r="AM35" s="9">
        <v>16.25</v>
      </c>
      <c r="AN35" s="9">
        <v>2.48</v>
      </c>
      <c r="AO35" s="9">
        <v>1.2E-2</v>
      </c>
    </row>
    <row r="36" spans="1:41" x14ac:dyDescent="0.3">
      <c r="A36">
        <v>2</v>
      </c>
      <c r="B36" t="s">
        <v>1708</v>
      </c>
      <c r="C36">
        <v>2</v>
      </c>
      <c r="D36"/>
      <c r="E36">
        <v>320</v>
      </c>
      <c r="F36">
        <v>0.3</v>
      </c>
      <c r="I36"/>
      <c r="J36"/>
      <c r="K36"/>
      <c r="L36" t="s">
        <v>172</v>
      </c>
      <c r="N36">
        <v>0.1</v>
      </c>
      <c r="O36">
        <v>0</v>
      </c>
      <c r="P36">
        <v>24</v>
      </c>
      <c r="Q36">
        <v>1</v>
      </c>
      <c r="R36" t="s">
        <v>102</v>
      </c>
      <c r="T36" s="6">
        <f>10^-(14-Q36)</f>
        <v>1E-13</v>
      </c>
      <c r="U36" s="6">
        <v>0</v>
      </c>
      <c r="V36" s="6">
        <v>0</v>
      </c>
      <c r="W36" s="6">
        <v>0</v>
      </c>
      <c r="X36" s="6">
        <v>0</v>
      </c>
      <c r="Y36" t="s">
        <v>171</v>
      </c>
      <c r="Z36"/>
      <c r="AA36"/>
      <c r="AB36"/>
      <c r="AC36"/>
      <c r="AD36">
        <v>0.16700000000000001</v>
      </c>
      <c r="AE36">
        <v>800</v>
      </c>
      <c r="AF36">
        <v>0</v>
      </c>
      <c r="AG36" s="9">
        <v>4.0000000000000001E-3</v>
      </c>
      <c r="AI36" s="9">
        <v>0.09</v>
      </c>
      <c r="AL36" s="9">
        <v>18.07</v>
      </c>
      <c r="AM36" s="9">
        <v>16.170000000000002</v>
      </c>
      <c r="AN36" s="9">
        <v>4.99</v>
      </c>
      <c r="AO36" s="9">
        <v>1.2E-2</v>
      </c>
    </row>
    <row r="37" spans="1:41" x14ac:dyDescent="0.3">
      <c r="A37">
        <v>2</v>
      </c>
      <c r="B37" t="s">
        <v>1708</v>
      </c>
      <c r="C37">
        <v>2</v>
      </c>
      <c r="D37"/>
      <c r="E37">
        <v>320</v>
      </c>
      <c r="F37">
        <v>0.3</v>
      </c>
      <c r="I37"/>
      <c r="J37"/>
      <c r="K37"/>
      <c r="L37" t="s">
        <v>172</v>
      </c>
      <c r="N37">
        <v>0.1</v>
      </c>
      <c r="O37">
        <v>0</v>
      </c>
      <c r="P37">
        <v>24</v>
      </c>
      <c r="Q37">
        <v>1</v>
      </c>
      <c r="R37" t="s">
        <v>102</v>
      </c>
      <c r="T37" s="6">
        <f>10^-(14-Q37)</f>
        <v>1E-13</v>
      </c>
      <c r="U37" s="6">
        <v>0</v>
      </c>
      <c r="V37" s="6">
        <v>0</v>
      </c>
      <c r="W37" s="6">
        <v>0</v>
      </c>
      <c r="X37" s="6">
        <v>0</v>
      </c>
      <c r="Y37" t="s">
        <v>171</v>
      </c>
      <c r="Z37"/>
      <c r="AA37"/>
      <c r="AB37"/>
      <c r="AC37"/>
      <c r="AD37">
        <v>0.16700000000000001</v>
      </c>
      <c r="AE37">
        <v>640</v>
      </c>
      <c r="AF37">
        <v>1</v>
      </c>
      <c r="AG37" s="9">
        <v>5.8000000000000003E-2</v>
      </c>
      <c r="AH37" s="9">
        <v>1.21</v>
      </c>
      <c r="AI37" s="9">
        <v>0.46</v>
      </c>
      <c r="AL37" s="9">
        <v>19.97</v>
      </c>
      <c r="AM37" s="9">
        <v>39.090000000000003</v>
      </c>
      <c r="AN37" s="9">
        <v>2.5000000000000001E-2</v>
      </c>
      <c r="AO37" s="9">
        <v>0.04</v>
      </c>
    </row>
    <row r="38" spans="1:41" x14ac:dyDescent="0.3">
      <c r="A38">
        <v>2</v>
      </c>
      <c r="B38" t="s">
        <v>1708</v>
      </c>
      <c r="C38">
        <v>2</v>
      </c>
      <c r="D38"/>
      <c r="E38">
        <v>320</v>
      </c>
      <c r="F38">
        <v>0.3</v>
      </c>
      <c r="I38"/>
      <c r="J38"/>
      <c r="K38"/>
      <c r="L38" t="s">
        <v>172</v>
      </c>
      <c r="N38">
        <v>0.1</v>
      </c>
      <c r="O38">
        <v>0</v>
      </c>
      <c r="P38">
        <v>24</v>
      </c>
      <c r="Q38">
        <v>1</v>
      </c>
      <c r="R38" t="s">
        <v>102</v>
      </c>
      <c r="T38" s="6">
        <f>10^-(14-Q38)</f>
        <v>1E-13</v>
      </c>
      <c r="U38" s="6">
        <v>0</v>
      </c>
      <c r="V38" s="6">
        <v>0</v>
      </c>
      <c r="W38" s="6">
        <v>0</v>
      </c>
      <c r="X38" s="6">
        <v>0</v>
      </c>
      <c r="Y38" t="s">
        <v>171</v>
      </c>
      <c r="Z38"/>
      <c r="AA38"/>
      <c r="AB38"/>
      <c r="AC38"/>
      <c r="AD38">
        <v>0.16700000000000001</v>
      </c>
      <c r="AE38">
        <v>800</v>
      </c>
      <c r="AF38">
        <v>0</v>
      </c>
      <c r="AL38" s="9">
        <v>20.010000000000002</v>
      </c>
      <c r="AM38" s="9">
        <v>39.130000000000003</v>
      </c>
      <c r="AN38" s="9">
        <v>4.8499999999999996</v>
      </c>
      <c r="AO38" s="9">
        <v>3.9E-2</v>
      </c>
    </row>
    <row r="39" spans="1:41" x14ac:dyDescent="0.3">
      <c r="A39">
        <v>2</v>
      </c>
      <c r="B39" t="s">
        <v>1708</v>
      </c>
      <c r="C39">
        <v>2</v>
      </c>
      <c r="D39"/>
      <c r="E39">
        <v>320</v>
      </c>
      <c r="F39">
        <v>0.3</v>
      </c>
      <c r="I39"/>
      <c r="J39"/>
      <c r="K39"/>
      <c r="L39" t="s">
        <v>172</v>
      </c>
      <c r="N39">
        <v>0.1</v>
      </c>
      <c r="O39">
        <v>0</v>
      </c>
      <c r="P39">
        <v>24</v>
      </c>
      <c r="Q39">
        <v>1</v>
      </c>
      <c r="R39" t="s">
        <v>102</v>
      </c>
      <c r="T39" s="6">
        <f>10^-(14-Q39)</f>
        <v>1E-13</v>
      </c>
      <c r="U39" s="6">
        <v>0</v>
      </c>
      <c r="V39" s="6">
        <v>0</v>
      </c>
      <c r="W39" s="6">
        <v>0</v>
      </c>
      <c r="X39" s="6">
        <v>0</v>
      </c>
      <c r="Y39" t="s">
        <v>171</v>
      </c>
      <c r="Z39"/>
      <c r="AA39"/>
      <c r="AB39"/>
      <c r="AC39"/>
      <c r="AD39">
        <v>0.16700000000000001</v>
      </c>
      <c r="AE39">
        <v>800</v>
      </c>
      <c r="AF39">
        <v>0</v>
      </c>
      <c r="AN39" s="9">
        <v>0.97</v>
      </c>
    </row>
    <row r="40" spans="1:41" x14ac:dyDescent="0.3">
      <c r="A40">
        <v>2</v>
      </c>
      <c r="B40" t="s">
        <v>1708</v>
      </c>
      <c r="C40">
        <v>2</v>
      </c>
      <c r="D40"/>
      <c r="E40">
        <v>320</v>
      </c>
      <c r="F40">
        <v>0.3</v>
      </c>
      <c r="I40"/>
      <c r="J40"/>
      <c r="K40"/>
      <c r="L40" t="s">
        <v>172</v>
      </c>
      <c r="N40">
        <v>0.1</v>
      </c>
      <c r="O40">
        <v>0</v>
      </c>
      <c r="P40">
        <v>24</v>
      </c>
      <c r="Q40">
        <v>1</v>
      </c>
      <c r="R40" t="s">
        <v>102</v>
      </c>
      <c r="T40" s="6">
        <f>10^-(14-Q40)</f>
        <v>1E-13</v>
      </c>
      <c r="U40" s="6">
        <v>0</v>
      </c>
      <c r="V40" s="6">
        <v>0</v>
      </c>
      <c r="W40" s="6">
        <v>0</v>
      </c>
      <c r="X40" s="6">
        <v>0</v>
      </c>
      <c r="Y40" t="s">
        <v>171</v>
      </c>
      <c r="Z40"/>
      <c r="AA40"/>
      <c r="AB40"/>
      <c r="AC40"/>
      <c r="AD40">
        <v>0.16700000000000001</v>
      </c>
      <c r="AE40">
        <v>800</v>
      </c>
      <c r="AF40">
        <v>0</v>
      </c>
      <c r="AN40" s="9">
        <v>3.03</v>
      </c>
    </row>
    <row r="41" spans="1:41" x14ac:dyDescent="0.3">
      <c r="A41">
        <v>2</v>
      </c>
      <c r="B41" t="s">
        <v>1708</v>
      </c>
      <c r="C41">
        <v>2</v>
      </c>
      <c r="D41"/>
      <c r="E41">
        <v>320</v>
      </c>
      <c r="F41">
        <v>0.3</v>
      </c>
      <c r="I41"/>
      <c r="J41"/>
      <c r="K41"/>
      <c r="L41" t="s">
        <v>172</v>
      </c>
      <c r="N41">
        <v>0.1</v>
      </c>
      <c r="O41">
        <v>0</v>
      </c>
      <c r="P41">
        <v>24</v>
      </c>
      <c r="Q41">
        <v>1</v>
      </c>
      <c r="R41" t="s">
        <v>102</v>
      </c>
      <c r="T41" s="6">
        <f>10^-(14-Q41)</f>
        <v>1E-13</v>
      </c>
      <c r="U41" s="6">
        <v>0</v>
      </c>
      <c r="V41" s="6">
        <v>0</v>
      </c>
      <c r="W41" s="6">
        <v>0</v>
      </c>
      <c r="X41" s="6">
        <v>0</v>
      </c>
      <c r="Y41" t="s">
        <v>171</v>
      </c>
      <c r="Z41"/>
      <c r="AA41"/>
      <c r="AB41"/>
      <c r="AC41"/>
      <c r="AD41">
        <v>0.16700000000000001</v>
      </c>
      <c r="AE41">
        <v>800</v>
      </c>
      <c r="AF41">
        <v>0</v>
      </c>
      <c r="AN41" s="9">
        <v>2.4500000000000002</v>
      </c>
    </row>
    <row r="42" spans="1:41" x14ac:dyDescent="0.3">
      <c r="A42">
        <v>2</v>
      </c>
      <c r="B42" t="s">
        <v>1708</v>
      </c>
      <c r="C42">
        <v>2</v>
      </c>
      <c r="D42"/>
      <c r="E42">
        <v>320</v>
      </c>
      <c r="F42">
        <v>0.3</v>
      </c>
      <c r="I42"/>
      <c r="J42"/>
      <c r="K42"/>
      <c r="L42" t="s">
        <v>172</v>
      </c>
      <c r="N42">
        <v>0.1</v>
      </c>
      <c r="O42">
        <v>0</v>
      </c>
      <c r="P42">
        <v>24</v>
      </c>
      <c r="Q42">
        <v>1</v>
      </c>
      <c r="R42" t="s">
        <v>102</v>
      </c>
      <c r="T42" s="6">
        <f>10^-(14-Q42)</f>
        <v>1E-13</v>
      </c>
      <c r="U42" s="6">
        <v>0</v>
      </c>
      <c r="V42" s="6">
        <v>0</v>
      </c>
      <c r="W42" s="6">
        <v>0</v>
      </c>
      <c r="X42" s="6">
        <v>0</v>
      </c>
      <c r="Y42" t="s">
        <v>171</v>
      </c>
      <c r="Z42"/>
      <c r="AA42"/>
      <c r="AB42"/>
      <c r="AC42"/>
      <c r="AD42">
        <v>0.16700000000000001</v>
      </c>
      <c r="AE42">
        <v>800</v>
      </c>
      <c r="AF42">
        <v>0</v>
      </c>
      <c r="AN42" s="9">
        <v>2.93</v>
      </c>
    </row>
    <row r="43" spans="1:41" x14ac:dyDescent="0.3">
      <c r="A43">
        <v>2</v>
      </c>
      <c r="B43" t="s">
        <v>1708</v>
      </c>
      <c r="C43">
        <v>2</v>
      </c>
      <c r="D43"/>
      <c r="E43">
        <v>320</v>
      </c>
      <c r="F43">
        <v>0.3</v>
      </c>
      <c r="I43"/>
      <c r="J43"/>
      <c r="K43"/>
      <c r="L43" t="s">
        <v>172</v>
      </c>
      <c r="N43">
        <v>0.1</v>
      </c>
      <c r="O43">
        <v>0</v>
      </c>
      <c r="P43">
        <v>24</v>
      </c>
      <c r="Q43">
        <v>1</v>
      </c>
      <c r="R43" t="s">
        <v>102</v>
      </c>
      <c r="T43" s="6">
        <f>10^-(14-Q43)</f>
        <v>1E-13</v>
      </c>
      <c r="U43" s="6">
        <v>0</v>
      </c>
      <c r="V43" s="6">
        <v>0</v>
      </c>
      <c r="W43" s="6">
        <v>0</v>
      </c>
      <c r="X43" s="6">
        <v>0</v>
      </c>
      <c r="Y43" t="s">
        <v>171</v>
      </c>
      <c r="Z43"/>
      <c r="AA43"/>
      <c r="AB43"/>
      <c r="AC43"/>
      <c r="AD43">
        <v>0.16700000000000001</v>
      </c>
      <c r="AE43">
        <v>800</v>
      </c>
      <c r="AF43">
        <v>0</v>
      </c>
      <c r="AN43" s="9">
        <v>3.37</v>
      </c>
    </row>
    <row r="44" spans="1:41" x14ac:dyDescent="0.3">
      <c r="A44">
        <v>1</v>
      </c>
      <c r="B44" t="s">
        <v>1698</v>
      </c>
      <c r="C44">
        <v>3</v>
      </c>
      <c r="D44"/>
      <c r="E44">
        <v>600</v>
      </c>
      <c r="G44" t="s">
        <v>31</v>
      </c>
      <c r="H44">
        <v>-1.2</v>
      </c>
      <c r="I44" s="4">
        <v>1</v>
      </c>
      <c r="J44"/>
      <c r="K44"/>
      <c r="N44">
        <v>0.1</v>
      </c>
      <c r="O44">
        <v>0</v>
      </c>
      <c r="P44">
        <v>25</v>
      </c>
      <c r="Q44">
        <v>7</v>
      </c>
      <c r="R44" t="s">
        <v>102</v>
      </c>
      <c r="T44" s="6">
        <f>10^-(14-Q44)</f>
        <v>9.9999999999999995E-8</v>
      </c>
      <c r="U44" s="6">
        <v>0</v>
      </c>
      <c r="V44" s="6">
        <v>0</v>
      </c>
      <c r="W44" s="6">
        <v>0</v>
      </c>
      <c r="X44" s="6">
        <v>0</v>
      </c>
      <c r="Y44" t="s">
        <v>171</v>
      </c>
      <c r="Z44"/>
      <c r="AA44"/>
      <c r="AB44"/>
      <c r="AC44"/>
      <c r="AE44">
        <v>137</v>
      </c>
      <c r="AF44">
        <v>1</v>
      </c>
      <c r="AL44" s="9">
        <v>15</v>
      </c>
      <c r="AM44" s="9">
        <v>59.939</v>
      </c>
      <c r="AN44" s="9">
        <v>0</v>
      </c>
    </row>
    <row r="45" spans="1:41" x14ac:dyDescent="0.3">
      <c r="A45">
        <v>1</v>
      </c>
      <c r="B45" t="s">
        <v>1698</v>
      </c>
      <c r="C45">
        <v>3</v>
      </c>
      <c r="D45"/>
      <c r="E45">
        <v>600</v>
      </c>
      <c r="G45" t="s">
        <v>31</v>
      </c>
      <c r="H45">
        <v>-1.2</v>
      </c>
      <c r="I45" s="4">
        <v>1</v>
      </c>
      <c r="J45"/>
      <c r="K45"/>
      <c r="N45">
        <v>0.1</v>
      </c>
      <c r="O45">
        <v>0</v>
      </c>
      <c r="P45">
        <v>25</v>
      </c>
      <c r="Q45">
        <v>7</v>
      </c>
      <c r="R45" t="s">
        <v>102</v>
      </c>
      <c r="T45" s="6">
        <f>10^-(14-Q45)</f>
        <v>9.9999999999999995E-8</v>
      </c>
      <c r="U45" s="6">
        <v>0</v>
      </c>
      <c r="V45" s="6">
        <v>0</v>
      </c>
      <c r="W45" s="6">
        <v>0</v>
      </c>
      <c r="X45" s="6">
        <v>0</v>
      </c>
      <c r="Y45" t="s">
        <v>171</v>
      </c>
      <c r="Z45"/>
      <c r="AA45"/>
      <c r="AB45"/>
      <c r="AC45"/>
      <c r="AE45">
        <v>33</v>
      </c>
      <c r="AF45">
        <v>1</v>
      </c>
      <c r="AL45" s="9">
        <v>15</v>
      </c>
      <c r="AM45" s="9">
        <v>13</v>
      </c>
      <c r="AN45" s="9">
        <v>0</v>
      </c>
    </row>
    <row r="46" spans="1:41" x14ac:dyDescent="0.3">
      <c r="A46">
        <v>1</v>
      </c>
      <c r="B46" t="s">
        <v>1698</v>
      </c>
      <c r="C46">
        <v>3</v>
      </c>
      <c r="D46"/>
      <c r="E46">
        <v>600</v>
      </c>
      <c r="G46" t="s">
        <v>31</v>
      </c>
      <c r="H46">
        <v>-1.2</v>
      </c>
      <c r="I46" s="4">
        <v>1</v>
      </c>
      <c r="J46"/>
      <c r="K46"/>
      <c r="N46">
        <v>0.1</v>
      </c>
      <c r="O46">
        <v>0</v>
      </c>
      <c r="P46">
        <v>25</v>
      </c>
      <c r="Q46">
        <v>7</v>
      </c>
      <c r="R46" t="s">
        <v>102</v>
      </c>
      <c r="T46" s="6">
        <f>10^-(14-Q46)</f>
        <v>9.9999999999999995E-8</v>
      </c>
      <c r="U46" s="6">
        <v>0</v>
      </c>
      <c r="V46" s="6">
        <v>0</v>
      </c>
      <c r="W46" s="6">
        <v>0</v>
      </c>
      <c r="X46" s="6">
        <v>0</v>
      </c>
      <c r="Y46" t="s">
        <v>171</v>
      </c>
      <c r="Z46"/>
      <c r="AA46"/>
      <c r="AB46"/>
      <c r="AC46"/>
      <c r="AE46">
        <v>58</v>
      </c>
      <c r="AF46">
        <v>1</v>
      </c>
      <c r="AL46" s="9">
        <v>15</v>
      </c>
      <c r="AM46" s="9">
        <v>13</v>
      </c>
      <c r="AN46" s="9">
        <v>0.436</v>
      </c>
    </row>
    <row r="47" spans="1:41" x14ac:dyDescent="0.3">
      <c r="A47">
        <v>1</v>
      </c>
      <c r="B47" t="s">
        <v>1698</v>
      </c>
      <c r="C47">
        <v>3</v>
      </c>
      <c r="D47"/>
      <c r="E47">
        <v>600</v>
      </c>
      <c r="G47" t="s">
        <v>31</v>
      </c>
      <c r="H47">
        <v>-1.2</v>
      </c>
      <c r="I47" s="4">
        <v>1</v>
      </c>
      <c r="J47"/>
      <c r="K47"/>
      <c r="N47">
        <v>0.1</v>
      </c>
      <c r="O47">
        <v>0</v>
      </c>
      <c r="P47">
        <v>25</v>
      </c>
      <c r="Q47">
        <v>7</v>
      </c>
      <c r="R47" t="s">
        <v>102</v>
      </c>
      <c r="T47" s="6">
        <f>10^-(14-Q47)</f>
        <v>9.9999999999999995E-8</v>
      </c>
      <c r="U47" s="6">
        <v>0</v>
      </c>
      <c r="V47" s="6">
        <v>0</v>
      </c>
      <c r="W47" s="6">
        <v>0</v>
      </c>
      <c r="X47" s="6">
        <v>0</v>
      </c>
      <c r="Y47" t="s">
        <v>171</v>
      </c>
      <c r="Z47"/>
      <c r="AA47"/>
      <c r="AB47"/>
      <c r="AC47"/>
      <c r="AE47">
        <v>98</v>
      </c>
      <c r="AF47">
        <v>1</v>
      </c>
      <c r="AL47" s="9">
        <v>15</v>
      </c>
      <c r="AM47" s="9">
        <v>13</v>
      </c>
      <c r="AN47" s="9">
        <v>0.95399999999999996</v>
      </c>
    </row>
    <row r="48" spans="1:41" x14ac:dyDescent="0.3">
      <c r="A48">
        <v>1</v>
      </c>
      <c r="B48" t="s">
        <v>1698</v>
      </c>
      <c r="C48">
        <v>3</v>
      </c>
      <c r="D48"/>
      <c r="E48">
        <v>600</v>
      </c>
      <c r="G48" t="s">
        <v>31</v>
      </c>
      <c r="H48">
        <v>-1.2</v>
      </c>
      <c r="I48" s="4">
        <v>1</v>
      </c>
      <c r="J48"/>
      <c r="K48"/>
      <c r="N48">
        <v>0.1</v>
      </c>
      <c r="O48">
        <v>0</v>
      </c>
      <c r="P48">
        <v>25</v>
      </c>
      <c r="Q48">
        <v>7</v>
      </c>
      <c r="R48" t="s">
        <v>102</v>
      </c>
      <c r="T48" s="6">
        <f>10^-(14-Q48)</f>
        <v>9.9999999999999995E-8</v>
      </c>
      <c r="U48" s="6">
        <v>0</v>
      </c>
      <c r="V48" s="6">
        <v>0</v>
      </c>
      <c r="W48" s="6">
        <v>0</v>
      </c>
      <c r="X48" s="6">
        <v>0</v>
      </c>
      <c r="Y48" t="s">
        <v>171</v>
      </c>
      <c r="Z48"/>
      <c r="AA48"/>
      <c r="AB48"/>
      <c r="AC48"/>
      <c r="AE48">
        <v>162</v>
      </c>
      <c r="AF48">
        <v>1</v>
      </c>
      <c r="AL48" s="9">
        <v>15</v>
      </c>
      <c r="AM48" s="9">
        <v>13</v>
      </c>
      <c r="AN48" s="9">
        <v>1.448</v>
      </c>
    </row>
    <row r="49" spans="1:40" x14ac:dyDescent="0.3">
      <c r="A49">
        <v>1</v>
      </c>
      <c r="B49" t="s">
        <v>1698</v>
      </c>
      <c r="C49">
        <v>3</v>
      </c>
      <c r="D49"/>
      <c r="E49">
        <v>600</v>
      </c>
      <c r="G49" t="s">
        <v>31</v>
      </c>
      <c r="H49">
        <v>-1.2</v>
      </c>
      <c r="I49" s="4">
        <v>1</v>
      </c>
      <c r="J49"/>
      <c r="K49"/>
      <c r="N49">
        <v>0.1</v>
      </c>
      <c r="O49">
        <v>0</v>
      </c>
      <c r="P49">
        <v>25</v>
      </c>
      <c r="Q49">
        <v>7</v>
      </c>
      <c r="R49" t="s">
        <v>102</v>
      </c>
      <c r="T49" s="6">
        <f>10^-(14-Q49)</f>
        <v>9.9999999999999995E-8</v>
      </c>
      <c r="U49" s="6">
        <v>0</v>
      </c>
      <c r="V49" s="6">
        <v>0</v>
      </c>
      <c r="W49" s="6">
        <v>0</v>
      </c>
      <c r="X49" s="6">
        <v>0</v>
      </c>
      <c r="Y49" t="s">
        <v>171</v>
      </c>
      <c r="Z49"/>
      <c r="AA49"/>
      <c r="AB49"/>
      <c r="AC49"/>
      <c r="AE49">
        <v>290</v>
      </c>
      <c r="AF49">
        <v>1</v>
      </c>
      <c r="AL49" s="9">
        <v>15</v>
      </c>
      <c r="AM49" s="9">
        <v>13</v>
      </c>
      <c r="AN49" s="9">
        <v>1.9039999999999999</v>
      </c>
    </row>
    <row r="50" spans="1:40" x14ac:dyDescent="0.3">
      <c r="A50">
        <v>1</v>
      </c>
      <c r="B50" t="s">
        <v>1698</v>
      </c>
      <c r="C50">
        <v>3</v>
      </c>
      <c r="D50"/>
      <c r="E50">
        <v>600</v>
      </c>
      <c r="G50" t="s">
        <v>31</v>
      </c>
      <c r="H50">
        <v>-1.2</v>
      </c>
      <c r="I50" s="4">
        <v>1</v>
      </c>
      <c r="J50"/>
      <c r="K50"/>
      <c r="N50">
        <v>0.1</v>
      </c>
      <c r="O50">
        <v>0</v>
      </c>
      <c r="P50">
        <v>25</v>
      </c>
      <c r="Q50">
        <v>7</v>
      </c>
      <c r="R50" t="s">
        <v>102</v>
      </c>
      <c r="T50" s="6">
        <f>10^-(14-Q50)</f>
        <v>9.9999999999999995E-8</v>
      </c>
      <c r="U50" s="6">
        <v>0</v>
      </c>
      <c r="V50" s="6">
        <v>0</v>
      </c>
      <c r="W50" s="6">
        <v>0</v>
      </c>
      <c r="X50" s="6">
        <v>0</v>
      </c>
      <c r="Y50" t="s">
        <v>171</v>
      </c>
      <c r="Z50"/>
      <c r="AA50"/>
      <c r="AB50"/>
      <c r="AC50"/>
      <c r="AE50">
        <v>481</v>
      </c>
      <c r="AF50">
        <v>1</v>
      </c>
      <c r="AL50" s="9">
        <v>15</v>
      </c>
      <c r="AM50" s="9">
        <v>13</v>
      </c>
      <c r="AN50" s="9">
        <v>2.4180000000000001</v>
      </c>
    </row>
    <row r="51" spans="1:40" x14ac:dyDescent="0.3">
      <c r="A51">
        <v>1</v>
      </c>
      <c r="B51" t="s">
        <v>1698</v>
      </c>
      <c r="C51">
        <v>3</v>
      </c>
      <c r="D51"/>
      <c r="E51">
        <v>600</v>
      </c>
      <c r="G51" t="s">
        <v>31</v>
      </c>
      <c r="H51">
        <v>-1.2</v>
      </c>
      <c r="I51" s="4">
        <v>1</v>
      </c>
      <c r="J51"/>
      <c r="K51"/>
      <c r="N51">
        <v>0.1</v>
      </c>
      <c r="O51">
        <v>0</v>
      </c>
      <c r="P51">
        <v>0</v>
      </c>
      <c r="Q51">
        <v>7</v>
      </c>
      <c r="R51" t="s">
        <v>102</v>
      </c>
      <c r="T51" s="6">
        <f>10^-(14-Q51)</f>
        <v>9.9999999999999995E-8</v>
      </c>
      <c r="U51" s="6">
        <v>0</v>
      </c>
      <c r="V51" s="6">
        <v>0</v>
      </c>
      <c r="W51" s="6">
        <v>0</v>
      </c>
      <c r="X51" s="6">
        <v>0</v>
      </c>
      <c r="Y51" t="s">
        <v>171</v>
      </c>
      <c r="Z51"/>
      <c r="AA51"/>
      <c r="AB51"/>
      <c r="AC51"/>
      <c r="AE51">
        <v>558</v>
      </c>
      <c r="AF51">
        <v>1</v>
      </c>
      <c r="AL51" s="9">
        <v>15</v>
      </c>
      <c r="AM51" s="9">
        <v>13</v>
      </c>
      <c r="AN51" s="9">
        <v>6.0000000000000001E-3</v>
      </c>
    </row>
    <row r="52" spans="1:40" x14ac:dyDescent="0.3">
      <c r="A52">
        <v>1</v>
      </c>
      <c r="B52" t="s">
        <v>1698</v>
      </c>
      <c r="C52">
        <v>3</v>
      </c>
      <c r="D52"/>
      <c r="E52">
        <v>600</v>
      </c>
      <c r="G52" t="s">
        <v>31</v>
      </c>
      <c r="H52">
        <v>-1.2</v>
      </c>
      <c r="I52" s="4">
        <v>1</v>
      </c>
      <c r="J52"/>
      <c r="K52"/>
      <c r="N52">
        <v>0.1</v>
      </c>
      <c r="O52">
        <v>0</v>
      </c>
      <c r="P52">
        <v>0</v>
      </c>
      <c r="Q52">
        <v>7</v>
      </c>
      <c r="R52" t="s">
        <v>102</v>
      </c>
      <c r="T52" s="6">
        <f>10^-(14-Q52)</f>
        <v>9.9999999999999995E-8</v>
      </c>
      <c r="U52" s="6">
        <v>0</v>
      </c>
      <c r="V52" s="6">
        <v>0</v>
      </c>
      <c r="W52" s="6">
        <v>0</v>
      </c>
      <c r="X52" s="6">
        <v>0</v>
      </c>
      <c r="Y52" t="s">
        <v>171</v>
      </c>
      <c r="Z52"/>
      <c r="AA52"/>
      <c r="AB52"/>
      <c r="AC52"/>
      <c r="AE52">
        <v>253</v>
      </c>
      <c r="AF52">
        <v>1</v>
      </c>
      <c r="AL52" s="9">
        <v>15</v>
      </c>
      <c r="AM52" s="9">
        <v>13</v>
      </c>
      <c r="AN52" s="9">
        <v>0.443</v>
      </c>
    </row>
    <row r="53" spans="1:40" x14ac:dyDescent="0.3">
      <c r="A53">
        <v>1</v>
      </c>
      <c r="B53" t="s">
        <v>1698</v>
      </c>
      <c r="C53">
        <v>3</v>
      </c>
      <c r="D53"/>
      <c r="E53">
        <v>600</v>
      </c>
      <c r="G53" t="s">
        <v>31</v>
      </c>
      <c r="H53">
        <v>-1.2</v>
      </c>
      <c r="I53" s="4">
        <v>1</v>
      </c>
      <c r="J53"/>
      <c r="K53"/>
      <c r="N53">
        <v>0.1</v>
      </c>
      <c r="O53">
        <v>0</v>
      </c>
      <c r="P53">
        <v>0</v>
      </c>
      <c r="Q53">
        <v>7</v>
      </c>
      <c r="R53" t="s">
        <v>102</v>
      </c>
      <c r="T53" s="6">
        <f>10^-(14-Q53)</f>
        <v>9.9999999999999995E-8</v>
      </c>
      <c r="U53" s="6">
        <v>0</v>
      </c>
      <c r="V53" s="6">
        <v>0</v>
      </c>
      <c r="W53" s="6">
        <v>0</v>
      </c>
      <c r="X53" s="6">
        <v>0</v>
      </c>
      <c r="Y53" t="s">
        <v>171</v>
      </c>
      <c r="Z53"/>
      <c r="AA53"/>
      <c r="AB53"/>
      <c r="AC53"/>
      <c r="AE53">
        <v>176</v>
      </c>
      <c r="AF53">
        <v>1</v>
      </c>
      <c r="AL53" s="9">
        <v>15</v>
      </c>
      <c r="AM53" s="9">
        <v>13</v>
      </c>
      <c r="AN53" s="9">
        <v>0.95499999999999996</v>
      </c>
    </row>
    <row r="54" spans="1:40" x14ac:dyDescent="0.3">
      <c r="A54">
        <v>1</v>
      </c>
      <c r="B54" t="s">
        <v>1698</v>
      </c>
      <c r="C54">
        <v>3</v>
      </c>
      <c r="D54"/>
      <c r="E54">
        <v>600</v>
      </c>
      <c r="G54" t="s">
        <v>31</v>
      </c>
      <c r="H54">
        <v>-1.2</v>
      </c>
      <c r="I54" s="4">
        <v>1</v>
      </c>
      <c r="J54"/>
      <c r="K54"/>
      <c r="N54">
        <v>0.1</v>
      </c>
      <c r="O54">
        <v>0</v>
      </c>
      <c r="P54">
        <v>0</v>
      </c>
      <c r="Q54">
        <v>7</v>
      </c>
      <c r="R54" t="s">
        <v>102</v>
      </c>
      <c r="T54" s="6">
        <f>10^-(14-Q54)</f>
        <v>9.9999999999999995E-8</v>
      </c>
      <c r="U54" s="6">
        <v>0</v>
      </c>
      <c r="V54" s="6">
        <v>0</v>
      </c>
      <c r="W54" s="6">
        <v>0</v>
      </c>
      <c r="X54" s="6">
        <v>0</v>
      </c>
      <c r="Y54" t="s">
        <v>171</v>
      </c>
      <c r="Z54"/>
      <c r="AA54"/>
      <c r="AB54"/>
      <c r="AC54"/>
      <c r="AE54">
        <v>139</v>
      </c>
      <c r="AF54">
        <v>1</v>
      </c>
      <c r="AL54" s="9">
        <v>15</v>
      </c>
      <c r="AM54" s="9">
        <v>13</v>
      </c>
      <c r="AN54" s="9">
        <v>1.448</v>
      </c>
    </row>
    <row r="55" spans="1:40" x14ac:dyDescent="0.3">
      <c r="A55">
        <v>1</v>
      </c>
      <c r="B55" t="s">
        <v>1698</v>
      </c>
      <c r="C55">
        <v>3</v>
      </c>
      <c r="D55"/>
      <c r="E55">
        <v>600</v>
      </c>
      <c r="G55" t="s">
        <v>31</v>
      </c>
      <c r="H55">
        <v>-1.2</v>
      </c>
      <c r="I55" s="4">
        <v>1</v>
      </c>
      <c r="J55"/>
      <c r="K55"/>
      <c r="N55">
        <v>0.1</v>
      </c>
      <c r="O55">
        <v>0</v>
      </c>
      <c r="P55">
        <v>0</v>
      </c>
      <c r="Q55">
        <v>7</v>
      </c>
      <c r="R55" t="s">
        <v>102</v>
      </c>
      <c r="T55" s="6">
        <f>10^-(14-Q55)</f>
        <v>9.9999999999999995E-8</v>
      </c>
      <c r="U55" s="6">
        <v>0</v>
      </c>
      <c r="V55" s="6">
        <v>0</v>
      </c>
      <c r="W55" s="6">
        <v>0</v>
      </c>
      <c r="X55" s="6">
        <v>0</v>
      </c>
      <c r="Y55" t="s">
        <v>171</v>
      </c>
      <c r="Z55"/>
      <c r="AA55"/>
      <c r="AB55"/>
      <c r="AC55"/>
      <c r="AE55">
        <v>78</v>
      </c>
      <c r="AF55">
        <v>1</v>
      </c>
      <c r="AL55" s="9">
        <v>15</v>
      </c>
      <c r="AM55" s="9">
        <v>13</v>
      </c>
      <c r="AN55" s="9">
        <v>1.911</v>
      </c>
    </row>
    <row r="56" spans="1:40" x14ac:dyDescent="0.3">
      <c r="A56">
        <v>1</v>
      </c>
      <c r="B56" t="s">
        <v>1698</v>
      </c>
      <c r="C56">
        <v>3</v>
      </c>
      <c r="D56"/>
      <c r="E56">
        <v>600</v>
      </c>
      <c r="G56" t="s">
        <v>31</v>
      </c>
      <c r="H56">
        <v>-1.2</v>
      </c>
      <c r="I56" s="4">
        <v>1</v>
      </c>
      <c r="J56"/>
      <c r="K56"/>
      <c r="N56">
        <v>0</v>
      </c>
      <c r="O56">
        <v>0</v>
      </c>
      <c r="P56">
        <v>0</v>
      </c>
      <c r="Q56">
        <v>7</v>
      </c>
      <c r="R56" t="s">
        <v>102</v>
      </c>
      <c r="T56" s="6">
        <f>10^-(14-Q56)</f>
        <v>9.9999999999999995E-8</v>
      </c>
      <c r="U56" s="6">
        <v>0</v>
      </c>
      <c r="V56" s="6">
        <v>0</v>
      </c>
      <c r="W56" s="6">
        <v>0</v>
      </c>
      <c r="X56" s="6">
        <v>0</v>
      </c>
      <c r="Y56" t="s">
        <v>171</v>
      </c>
      <c r="Z56"/>
      <c r="AA56"/>
      <c r="AB56"/>
      <c r="AC56"/>
      <c r="AE56">
        <v>179</v>
      </c>
      <c r="AF56">
        <v>1</v>
      </c>
      <c r="AL56" s="9">
        <v>15</v>
      </c>
      <c r="AM56" s="9">
        <v>13</v>
      </c>
      <c r="AN56" s="9">
        <v>6.0000000000000001E-3</v>
      </c>
    </row>
    <row r="57" spans="1:40" x14ac:dyDescent="0.3">
      <c r="A57">
        <v>1</v>
      </c>
      <c r="B57" t="s">
        <v>1698</v>
      </c>
      <c r="C57">
        <v>3</v>
      </c>
      <c r="D57"/>
      <c r="E57">
        <v>600</v>
      </c>
      <c r="G57" t="s">
        <v>31</v>
      </c>
      <c r="H57">
        <v>-1.2</v>
      </c>
      <c r="I57" s="4">
        <v>1</v>
      </c>
      <c r="J57"/>
      <c r="K57"/>
      <c r="N57">
        <v>0</v>
      </c>
      <c r="O57">
        <v>0</v>
      </c>
      <c r="P57">
        <v>0</v>
      </c>
      <c r="Q57">
        <v>7</v>
      </c>
      <c r="R57" t="s">
        <v>102</v>
      </c>
      <c r="T57" s="6">
        <f>10^-(14-Q57)</f>
        <v>9.9999999999999995E-8</v>
      </c>
      <c r="U57" s="6">
        <v>0</v>
      </c>
      <c r="V57" s="6">
        <v>0</v>
      </c>
      <c r="W57" s="6">
        <v>0</v>
      </c>
      <c r="X57" s="6">
        <v>0</v>
      </c>
      <c r="Y57" t="s">
        <v>171</v>
      </c>
      <c r="Z57"/>
      <c r="AA57"/>
      <c r="AB57"/>
      <c r="AC57"/>
      <c r="AE57">
        <v>68</v>
      </c>
      <c r="AF57">
        <v>1</v>
      </c>
      <c r="AL57" s="9">
        <v>15</v>
      </c>
      <c r="AM57" s="9">
        <v>13</v>
      </c>
      <c r="AN57" s="9">
        <v>0.443</v>
      </c>
    </row>
    <row r="58" spans="1:40" x14ac:dyDescent="0.3">
      <c r="A58">
        <v>1</v>
      </c>
      <c r="B58" t="s">
        <v>1698</v>
      </c>
      <c r="C58">
        <v>3</v>
      </c>
      <c r="D58"/>
      <c r="E58">
        <v>600</v>
      </c>
      <c r="G58" t="s">
        <v>31</v>
      </c>
      <c r="H58">
        <v>-1.2</v>
      </c>
      <c r="I58" s="4">
        <v>1</v>
      </c>
      <c r="J58"/>
      <c r="K58"/>
      <c r="N58">
        <v>0</v>
      </c>
      <c r="O58">
        <v>0</v>
      </c>
      <c r="P58">
        <v>25</v>
      </c>
      <c r="Q58">
        <v>7</v>
      </c>
      <c r="R58" t="s">
        <v>102</v>
      </c>
      <c r="T58" s="6">
        <f>10^-(14-Q58)</f>
        <v>9.9999999999999995E-8</v>
      </c>
      <c r="U58" s="6">
        <v>0</v>
      </c>
      <c r="V58" s="6">
        <v>0</v>
      </c>
      <c r="W58" s="6">
        <v>0</v>
      </c>
      <c r="X58" s="6">
        <v>0</v>
      </c>
      <c r="Y58" t="s">
        <v>171</v>
      </c>
      <c r="Z58"/>
      <c r="AA58"/>
      <c r="AB58"/>
      <c r="AC58"/>
      <c r="AE58">
        <v>295</v>
      </c>
      <c r="AF58">
        <v>1</v>
      </c>
      <c r="AL58" s="9">
        <v>15</v>
      </c>
      <c r="AM58" s="9">
        <v>13</v>
      </c>
      <c r="AN58" s="9">
        <v>1.6E-2</v>
      </c>
    </row>
    <row r="59" spans="1:40" x14ac:dyDescent="0.3">
      <c r="A59">
        <v>1</v>
      </c>
      <c r="B59" t="s">
        <v>1698</v>
      </c>
      <c r="C59">
        <v>3</v>
      </c>
      <c r="D59"/>
      <c r="E59">
        <v>600</v>
      </c>
      <c r="G59" t="s">
        <v>31</v>
      </c>
      <c r="H59">
        <v>-1.2</v>
      </c>
      <c r="I59" s="4">
        <v>1</v>
      </c>
      <c r="J59"/>
      <c r="K59"/>
      <c r="N59">
        <v>0</v>
      </c>
      <c r="O59">
        <v>0</v>
      </c>
      <c r="P59">
        <v>25</v>
      </c>
      <c r="Q59">
        <v>7</v>
      </c>
      <c r="R59" t="s">
        <v>102</v>
      </c>
      <c r="T59" s="6">
        <f>10^-(14-Q59)</f>
        <v>9.9999999999999995E-8</v>
      </c>
      <c r="U59" s="6">
        <v>0</v>
      </c>
      <c r="V59" s="6">
        <v>0</v>
      </c>
      <c r="W59" s="6">
        <v>0</v>
      </c>
      <c r="X59" s="6">
        <v>0</v>
      </c>
      <c r="Y59" t="s">
        <v>171</v>
      </c>
      <c r="Z59"/>
      <c r="AA59"/>
      <c r="AB59"/>
      <c r="AC59"/>
      <c r="AE59">
        <v>281</v>
      </c>
      <c r="AF59">
        <v>1</v>
      </c>
      <c r="AL59" s="9">
        <v>15</v>
      </c>
      <c r="AM59" s="9">
        <v>13</v>
      </c>
      <c r="AN59" s="9">
        <v>0.44900000000000001</v>
      </c>
    </row>
    <row r="60" spans="1:40" x14ac:dyDescent="0.3">
      <c r="A60">
        <v>1</v>
      </c>
      <c r="B60" t="s">
        <v>1698</v>
      </c>
      <c r="C60">
        <v>3</v>
      </c>
      <c r="D60"/>
      <c r="E60">
        <v>600</v>
      </c>
      <c r="G60" t="s">
        <v>31</v>
      </c>
      <c r="H60">
        <v>-1.2</v>
      </c>
      <c r="I60" s="4">
        <v>1</v>
      </c>
      <c r="J60"/>
      <c r="K60"/>
      <c r="N60">
        <v>0</v>
      </c>
      <c r="O60">
        <v>0</v>
      </c>
      <c r="P60">
        <v>25</v>
      </c>
      <c r="Q60">
        <v>7</v>
      </c>
      <c r="R60" t="s">
        <v>102</v>
      </c>
      <c r="T60" s="6">
        <f>10^-(14-Q60)</f>
        <v>9.9999999999999995E-8</v>
      </c>
      <c r="U60" s="6">
        <v>0</v>
      </c>
      <c r="V60" s="6">
        <v>0</v>
      </c>
      <c r="W60" s="6">
        <v>0</v>
      </c>
      <c r="X60" s="6">
        <v>0</v>
      </c>
      <c r="Y60" t="s">
        <v>171</v>
      </c>
      <c r="Z60"/>
      <c r="AA60"/>
      <c r="AB60"/>
      <c r="AC60"/>
      <c r="AE60">
        <v>265</v>
      </c>
      <c r="AF60">
        <v>1</v>
      </c>
      <c r="AL60" s="9">
        <v>15</v>
      </c>
      <c r="AM60" s="9">
        <v>13</v>
      </c>
      <c r="AN60" s="9">
        <v>1.446</v>
      </c>
    </row>
    <row r="61" spans="1:40" x14ac:dyDescent="0.3">
      <c r="A61">
        <v>1</v>
      </c>
      <c r="B61" t="s">
        <v>1698</v>
      </c>
      <c r="C61">
        <v>3</v>
      </c>
      <c r="D61"/>
      <c r="E61">
        <v>600</v>
      </c>
      <c r="G61" t="s">
        <v>31</v>
      </c>
      <c r="H61">
        <v>-1.2</v>
      </c>
      <c r="I61" s="4">
        <v>1</v>
      </c>
      <c r="J61"/>
      <c r="K61"/>
      <c r="N61">
        <v>0</v>
      </c>
      <c r="O61">
        <v>0</v>
      </c>
      <c r="P61">
        <v>25</v>
      </c>
      <c r="Q61">
        <v>7</v>
      </c>
      <c r="R61" t="s">
        <v>102</v>
      </c>
      <c r="T61" s="6">
        <f>10^-(14-Q61)</f>
        <v>9.9999999999999995E-8</v>
      </c>
      <c r="U61" s="6">
        <v>0</v>
      </c>
      <c r="V61" s="6">
        <v>0</v>
      </c>
      <c r="W61" s="6">
        <v>0</v>
      </c>
      <c r="X61" s="6">
        <v>0</v>
      </c>
      <c r="Y61" t="s">
        <v>171</v>
      </c>
      <c r="Z61"/>
      <c r="AA61"/>
      <c r="AB61"/>
      <c r="AC61"/>
      <c r="AE61">
        <v>226</v>
      </c>
      <c r="AF61">
        <v>1</v>
      </c>
      <c r="AL61" s="9">
        <v>15</v>
      </c>
      <c r="AM61" s="9">
        <v>13</v>
      </c>
      <c r="AN61" s="9">
        <v>2.395</v>
      </c>
    </row>
    <row r="62" spans="1:40" x14ac:dyDescent="0.3">
      <c r="A62">
        <v>81</v>
      </c>
      <c r="B62" t="s">
        <v>1675</v>
      </c>
      <c r="C62">
        <v>4</v>
      </c>
      <c r="D62"/>
      <c r="I62"/>
      <c r="J62"/>
      <c r="K62"/>
      <c r="N62">
        <v>0.1</v>
      </c>
      <c r="O62" s="3">
        <v>0</v>
      </c>
      <c r="P62">
        <v>0</v>
      </c>
      <c r="Q62">
        <v>7</v>
      </c>
      <c r="R62" t="s">
        <v>102</v>
      </c>
      <c r="T62" s="6">
        <f>10^-(14-Q62)</f>
        <v>9.9999999999999995E-8</v>
      </c>
      <c r="U62" s="6">
        <v>0</v>
      </c>
      <c r="V62" s="6">
        <v>0</v>
      </c>
      <c r="W62" s="6">
        <v>0</v>
      </c>
      <c r="X62" s="6">
        <v>0</v>
      </c>
      <c r="Y62" t="s">
        <v>171</v>
      </c>
      <c r="Z62"/>
      <c r="AA62"/>
      <c r="AB62"/>
      <c r="AC62"/>
      <c r="AD62">
        <v>0.16666</v>
      </c>
      <c r="AE62">
        <v>458.42914979756995</v>
      </c>
      <c r="AF62">
        <v>1</v>
      </c>
      <c r="AL62" s="9">
        <v>17.399999999999999</v>
      </c>
      <c r="AM62" s="9">
        <v>10.199999999999999</v>
      </c>
      <c r="AN62" s="9">
        <v>0</v>
      </c>
    </row>
    <row r="63" spans="1:40" x14ac:dyDescent="0.3">
      <c r="A63">
        <v>81</v>
      </c>
      <c r="B63" t="s">
        <v>1675</v>
      </c>
      <c r="C63">
        <v>4</v>
      </c>
      <c r="D63"/>
      <c r="I63"/>
      <c r="J63"/>
      <c r="K63"/>
      <c r="N63">
        <v>0.1</v>
      </c>
      <c r="O63" s="3">
        <v>0</v>
      </c>
      <c r="P63">
        <v>25</v>
      </c>
      <c r="Q63">
        <v>7</v>
      </c>
      <c r="R63" t="s">
        <v>102</v>
      </c>
      <c r="T63" s="6">
        <f>10^-(14-Q63)</f>
        <v>9.9999999999999995E-8</v>
      </c>
      <c r="U63" s="6">
        <v>0</v>
      </c>
      <c r="V63" s="6">
        <v>0</v>
      </c>
      <c r="W63" s="6">
        <v>0</v>
      </c>
      <c r="X63" s="6">
        <v>0</v>
      </c>
      <c r="Y63" t="s">
        <v>171</v>
      </c>
      <c r="Z63"/>
      <c r="AA63"/>
      <c r="AB63"/>
      <c r="AC63"/>
      <c r="AD63">
        <v>0.16666</v>
      </c>
      <c r="AE63">
        <v>132.923076923076</v>
      </c>
      <c r="AF63">
        <v>1</v>
      </c>
      <c r="AL63" s="9">
        <v>17.399999999999999</v>
      </c>
      <c r="AM63" s="9">
        <v>10.199999999999999</v>
      </c>
      <c r="AN63" s="9">
        <v>0</v>
      </c>
    </row>
    <row r="64" spans="1:40" x14ac:dyDescent="0.3">
      <c r="A64">
        <v>81</v>
      </c>
      <c r="B64" t="s">
        <v>1675</v>
      </c>
      <c r="C64">
        <v>4</v>
      </c>
      <c r="D64"/>
      <c r="I64"/>
      <c r="J64"/>
      <c r="K64"/>
      <c r="N64">
        <v>0</v>
      </c>
      <c r="O64">
        <v>0.1</v>
      </c>
      <c r="P64">
        <v>25</v>
      </c>
      <c r="Q64">
        <v>7</v>
      </c>
      <c r="R64" t="s">
        <v>102</v>
      </c>
      <c r="T64" s="6">
        <f>10^-(14-Q64)</f>
        <v>9.9999999999999995E-8</v>
      </c>
      <c r="U64" s="6">
        <v>0</v>
      </c>
      <c r="V64" s="6">
        <v>0</v>
      </c>
      <c r="W64" s="6">
        <v>0</v>
      </c>
      <c r="X64" s="6">
        <v>0</v>
      </c>
      <c r="Y64" t="s">
        <v>171</v>
      </c>
      <c r="Z64"/>
      <c r="AA64"/>
      <c r="AB64"/>
      <c r="AC64"/>
      <c r="AD64">
        <v>0.16666</v>
      </c>
      <c r="AE64">
        <v>306.82381162805302</v>
      </c>
      <c r="AF64">
        <v>1</v>
      </c>
      <c r="AL64" s="9">
        <v>17.399999999999999</v>
      </c>
      <c r="AM64" s="9">
        <v>10.199999999999999</v>
      </c>
      <c r="AN64" s="9">
        <v>0</v>
      </c>
    </row>
    <row r="65" spans="1:41" x14ac:dyDescent="0.3">
      <c r="A65">
        <v>81</v>
      </c>
      <c r="B65" t="s">
        <v>1675</v>
      </c>
      <c r="C65">
        <v>4</v>
      </c>
      <c r="D65"/>
      <c r="I65"/>
      <c r="J65"/>
      <c r="K65"/>
      <c r="N65">
        <v>0</v>
      </c>
      <c r="O65">
        <v>0.1</v>
      </c>
      <c r="P65">
        <v>0</v>
      </c>
      <c r="Q65">
        <v>7</v>
      </c>
      <c r="R65" t="s">
        <v>102</v>
      </c>
      <c r="T65" s="6">
        <f>10^-(14-Q65)</f>
        <v>9.9999999999999995E-8</v>
      </c>
      <c r="U65" s="6">
        <v>0</v>
      </c>
      <c r="V65" s="6">
        <v>0</v>
      </c>
      <c r="W65" s="6">
        <v>0</v>
      </c>
      <c r="X65" s="6">
        <v>0</v>
      </c>
      <c r="Y65" t="s">
        <v>171</v>
      </c>
      <c r="Z65"/>
      <c r="AA65"/>
      <c r="AB65"/>
      <c r="AC65"/>
      <c r="AD65">
        <v>0.16666</v>
      </c>
      <c r="AE65">
        <v>190.56852471434797</v>
      </c>
      <c r="AF65">
        <v>1</v>
      </c>
      <c r="AL65" s="9">
        <v>17.399999999999999</v>
      </c>
      <c r="AM65" s="9">
        <v>10.199999999999999</v>
      </c>
      <c r="AN65" s="9">
        <v>0</v>
      </c>
    </row>
    <row r="66" spans="1:41" x14ac:dyDescent="0.3">
      <c r="A66">
        <v>81</v>
      </c>
      <c r="B66" t="s">
        <v>1675</v>
      </c>
      <c r="C66">
        <v>4</v>
      </c>
      <c r="D66"/>
      <c r="I66"/>
      <c r="J66"/>
      <c r="K66"/>
      <c r="N66">
        <v>0.1</v>
      </c>
      <c r="O66" s="3">
        <v>0</v>
      </c>
      <c r="P66">
        <v>0</v>
      </c>
      <c r="Q66">
        <v>7</v>
      </c>
      <c r="R66" t="s">
        <v>102</v>
      </c>
      <c r="T66" s="6">
        <f>10^-(14-Q66)</f>
        <v>9.9999999999999995E-8</v>
      </c>
      <c r="U66" s="6">
        <v>0</v>
      </c>
      <c r="V66" s="6">
        <v>0</v>
      </c>
      <c r="W66" s="6">
        <v>0</v>
      </c>
      <c r="X66" s="6">
        <v>0</v>
      </c>
      <c r="Y66" t="s">
        <v>171</v>
      </c>
      <c r="Z66"/>
      <c r="AA66"/>
      <c r="AB66"/>
      <c r="AC66"/>
      <c r="AD66">
        <v>0.16666</v>
      </c>
      <c r="AE66">
        <v>507.012145748987</v>
      </c>
      <c r="AF66">
        <v>1</v>
      </c>
      <c r="AL66" s="9">
        <v>17.600000000000001</v>
      </c>
      <c r="AM66" s="9">
        <v>10.3</v>
      </c>
      <c r="AN66" s="9">
        <v>0</v>
      </c>
    </row>
    <row r="67" spans="1:41" x14ac:dyDescent="0.3">
      <c r="A67">
        <v>81</v>
      </c>
      <c r="B67" t="s">
        <v>1675</v>
      </c>
      <c r="C67">
        <v>4</v>
      </c>
      <c r="D67"/>
      <c r="I67"/>
      <c r="J67"/>
      <c r="K67"/>
      <c r="N67">
        <v>0.1</v>
      </c>
      <c r="O67" s="3">
        <v>0</v>
      </c>
      <c r="P67">
        <v>25</v>
      </c>
      <c r="Q67">
        <v>7</v>
      </c>
      <c r="R67" t="s">
        <v>102</v>
      </c>
      <c r="T67" s="6">
        <f>10^-(14-Q67)</f>
        <v>9.9999999999999995E-8</v>
      </c>
      <c r="U67" s="6">
        <v>0</v>
      </c>
      <c r="V67" s="6">
        <v>0</v>
      </c>
      <c r="W67" s="6">
        <v>0</v>
      </c>
      <c r="X67" s="6">
        <v>0</v>
      </c>
      <c r="Y67" t="s">
        <v>171</v>
      </c>
      <c r="Z67"/>
      <c r="AA67"/>
      <c r="AB67"/>
      <c r="AC67"/>
      <c r="AD67">
        <v>0.16666</v>
      </c>
      <c r="AE67">
        <v>112.27530364372399</v>
      </c>
      <c r="AF67">
        <v>1</v>
      </c>
      <c r="AL67" s="9">
        <v>17.600000000000001</v>
      </c>
      <c r="AM67" s="9">
        <v>10.3</v>
      </c>
      <c r="AN67" s="9">
        <v>0</v>
      </c>
    </row>
    <row r="68" spans="1:41" x14ac:dyDescent="0.3">
      <c r="A68">
        <v>81</v>
      </c>
      <c r="B68" t="s">
        <v>1675</v>
      </c>
      <c r="C68">
        <v>4</v>
      </c>
      <c r="D68"/>
      <c r="I68"/>
      <c r="J68"/>
      <c r="K68"/>
      <c r="N68">
        <v>0</v>
      </c>
      <c r="O68">
        <v>0.1</v>
      </c>
      <c r="P68">
        <v>25</v>
      </c>
      <c r="Q68">
        <v>7</v>
      </c>
      <c r="R68" t="s">
        <v>102</v>
      </c>
      <c r="T68" s="6">
        <f>10^-(14-Q68)</f>
        <v>9.9999999999999995E-8</v>
      </c>
      <c r="U68" s="6">
        <v>0</v>
      </c>
      <c r="V68" s="6">
        <v>0</v>
      </c>
      <c r="W68" s="6">
        <v>0</v>
      </c>
      <c r="X68" s="6">
        <v>0</v>
      </c>
      <c r="Y68" t="s">
        <v>171</v>
      </c>
      <c r="Z68"/>
      <c r="AA68"/>
      <c r="AB68"/>
      <c r="AC68"/>
      <c r="AD68">
        <v>0.16666</v>
      </c>
      <c r="AE68">
        <v>297.24108326494502</v>
      </c>
      <c r="AF68">
        <v>1</v>
      </c>
      <c r="AL68" s="9">
        <v>17.600000000000001</v>
      </c>
      <c r="AM68" s="9">
        <v>10.3</v>
      </c>
      <c r="AN68" s="9">
        <v>0</v>
      </c>
    </row>
    <row r="69" spans="1:41" x14ac:dyDescent="0.3">
      <c r="A69">
        <v>81</v>
      </c>
      <c r="B69" t="s">
        <v>1675</v>
      </c>
      <c r="C69">
        <v>4</v>
      </c>
      <c r="D69"/>
      <c r="I69"/>
      <c r="J69"/>
      <c r="K69"/>
      <c r="N69">
        <v>0</v>
      </c>
      <c r="O69">
        <v>0.1</v>
      </c>
      <c r="P69">
        <v>0</v>
      </c>
      <c r="Q69">
        <v>7</v>
      </c>
      <c r="R69" t="s">
        <v>102</v>
      </c>
      <c r="T69" s="6">
        <f>10^-(14-Q69)</f>
        <v>9.9999999999999995E-8</v>
      </c>
      <c r="U69" s="6">
        <v>0</v>
      </c>
      <c r="V69" s="6">
        <v>0</v>
      </c>
      <c r="W69" s="6">
        <v>0</v>
      </c>
      <c r="X69" s="6">
        <v>0</v>
      </c>
      <c r="Y69" t="s">
        <v>171</v>
      </c>
      <c r="Z69"/>
      <c r="AA69"/>
      <c r="AB69"/>
      <c r="AC69"/>
      <c r="AD69">
        <v>0.16666</v>
      </c>
      <c r="AE69">
        <v>212.22119815668202</v>
      </c>
      <c r="AF69">
        <v>1</v>
      </c>
      <c r="AL69" s="9">
        <v>17.600000000000001</v>
      </c>
      <c r="AM69" s="9">
        <v>10.3</v>
      </c>
      <c r="AN69" s="9">
        <v>0</v>
      </c>
    </row>
    <row r="70" spans="1:41" x14ac:dyDescent="0.3">
      <c r="A70">
        <v>81</v>
      </c>
      <c r="B70" t="s">
        <v>1675</v>
      </c>
      <c r="C70">
        <v>4</v>
      </c>
      <c r="D70"/>
      <c r="I70"/>
      <c r="J70"/>
      <c r="K70"/>
      <c r="N70">
        <v>0.1</v>
      </c>
      <c r="O70" s="3">
        <v>0</v>
      </c>
      <c r="P70">
        <v>0</v>
      </c>
      <c r="Q70">
        <v>7</v>
      </c>
      <c r="R70" t="s">
        <v>102</v>
      </c>
      <c r="T70" s="6">
        <f>10^-(14-Q70)</f>
        <v>9.9999999999999995E-8</v>
      </c>
      <c r="U70" s="6">
        <v>0</v>
      </c>
      <c r="V70" s="6">
        <v>0</v>
      </c>
      <c r="W70" s="6">
        <v>0</v>
      </c>
      <c r="X70" s="6">
        <v>0</v>
      </c>
      <c r="Y70" t="s">
        <v>171</v>
      </c>
      <c r="Z70"/>
      <c r="AA70"/>
      <c r="AB70"/>
      <c r="AC70"/>
      <c r="AD70">
        <v>0.16666</v>
      </c>
      <c r="AE70">
        <v>431.70850202429096</v>
      </c>
      <c r="AF70">
        <v>1</v>
      </c>
      <c r="AL70" s="9">
        <v>17.8</v>
      </c>
      <c r="AM70" s="9">
        <v>10</v>
      </c>
      <c r="AN70" s="9">
        <v>0</v>
      </c>
    </row>
    <row r="71" spans="1:41" x14ac:dyDescent="0.3">
      <c r="A71">
        <v>81</v>
      </c>
      <c r="B71" t="s">
        <v>1675</v>
      </c>
      <c r="C71">
        <v>4</v>
      </c>
      <c r="D71"/>
      <c r="I71"/>
      <c r="J71"/>
      <c r="K71"/>
      <c r="N71">
        <v>0.1</v>
      </c>
      <c r="O71" s="3">
        <v>0</v>
      </c>
      <c r="P71">
        <v>25</v>
      </c>
      <c r="Q71">
        <v>7</v>
      </c>
      <c r="R71" t="s">
        <v>102</v>
      </c>
      <c r="T71" s="6">
        <f>10^-(14-Q71)</f>
        <v>9.9999999999999995E-8</v>
      </c>
      <c r="U71" s="6">
        <v>0</v>
      </c>
      <c r="V71" s="6">
        <v>0</v>
      </c>
      <c r="W71" s="6">
        <v>0</v>
      </c>
      <c r="X71" s="6">
        <v>0</v>
      </c>
      <c r="Y71" t="s">
        <v>171</v>
      </c>
      <c r="Z71"/>
      <c r="AA71"/>
      <c r="AB71"/>
      <c r="AC71"/>
      <c r="AD71">
        <v>0.16666</v>
      </c>
      <c r="AE71">
        <v>340.61538461538396</v>
      </c>
      <c r="AF71">
        <v>1</v>
      </c>
      <c r="AL71" s="9">
        <v>17.8</v>
      </c>
      <c r="AM71" s="9">
        <v>10</v>
      </c>
      <c r="AN71" s="9">
        <v>0</v>
      </c>
    </row>
    <row r="72" spans="1:41" x14ac:dyDescent="0.3">
      <c r="A72">
        <v>81</v>
      </c>
      <c r="B72" t="s">
        <v>1675</v>
      </c>
      <c r="C72">
        <v>4</v>
      </c>
      <c r="D72"/>
      <c r="I72"/>
      <c r="J72"/>
      <c r="K72"/>
      <c r="N72">
        <v>0</v>
      </c>
      <c r="O72">
        <v>0.1</v>
      </c>
      <c r="P72">
        <v>25</v>
      </c>
      <c r="Q72">
        <v>7</v>
      </c>
      <c r="R72" t="s">
        <v>102</v>
      </c>
      <c r="T72" s="6">
        <f>10^-(14-Q72)</f>
        <v>9.9999999999999995E-8</v>
      </c>
      <c r="U72" s="6">
        <v>0</v>
      </c>
      <c r="V72" s="6">
        <v>0</v>
      </c>
      <c r="W72" s="6">
        <v>0</v>
      </c>
      <c r="X72" s="6">
        <v>0</v>
      </c>
      <c r="Y72" t="s">
        <v>171</v>
      </c>
      <c r="Z72"/>
      <c r="AA72"/>
      <c r="AB72"/>
      <c r="AC72"/>
      <c r="AD72">
        <v>0.16666</v>
      </c>
      <c r="AE72">
        <v>386.78088504513494</v>
      </c>
      <c r="AF72">
        <v>1</v>
      </c>
      <c r="AL72" s="9">
        <v>17.8</v>
      </c>
      <c r="AM72" s="9">
        <v>10</v>
      </c>
      <c r="AN72" s="9">
        <v>0</v>
      </c>
    </row>
    <row r="73" spans="1:41" x14ac:dyDescent="0.3">
      <c r="A73">
        <v>81</v>
      </c>
      <c r="B73" t="s">
        <v>1675</v>
      </c>
      <c r="C73">
        <v>4</v>
      </c>
      <c r="D73"/>
      <c r="I73"/>
      <c r="J73"/>
      <c r="K73"/>
      <c r="N73">
        <v>0</v>
      </c>
      <c r="O73">
        <v>0.1</v>
      </c>
      <c r="P73">
        <v>0</v>
      </c>
      <c r="Q73">
        <v>7</v>
      </c>
      <c r="R73" t="s">
        <v>102</v>
      </c>
      <c r="T73" s="6">
        <f>10^-(14-Q73)</f>
        <v>9.9999999999999995E-8</v>
      </c>
      <c r="U73" s="6">
        <v>0</v>
      </c>
      <c r="V73" s="6">
        <v>0</v>
      </c>
      <c r="W73" s="6">
        <v>0</v>
      </c>
      <c r="X73" s="6">
        <v>0</v>
      </c>
      <c r="Y73" t="s">
        <v>171</v>
      </c>
      <c r="Z73"/>
      <c r="AA73"/>
      <c r="AB73"/>
      <c r="AC73"/>
      <c r="AD73">
        <v>0.16666</v>
      </c>
      <c r="AE73">
        <v>189.30597815794403</v>
      </c>
      <c r="AF73">
        <v>1</v>
      </c>
      <c r="AL73" s="9">
        <v>17.8</v>
      </c>
      <c r="AM73" s="9">
        <v>10</v>
      </c>
      <c r="AN73" s="9">
        <v>0</v>
      </c>
    </row>
    <row r="74" spans="1:41" x14ac:dyDescent="0.3">
      <c r="A74">
        <v>11</v>
      </c>
      <c r="B74" t="s">
        <v>1699</v>
      </c>
      <c r="C74">
        <v>5</v>
      </c>
      <c r="D74"/>
      <c r="E74">
        <v>14000</v>
      </c>
      <c r="I74"/>
      <c r="J74"/>
      <c r="K74"/>
      <c r="N74">
        <v>0.1</v>
      </c>
      <c r="O74">
        <v>0</v>
      </c>
      <c r="P74">
        <v>29.6</v>
      </c>
      <c r="Q74">
        <v>1</v>
      </c>
      <c r="R74" t="s">
        <v>102</v>
      </c>
      <c r="T74" s="6">
        <f>10^-(14-Q74)</f>
        <v>1E-13</v>
      </c>
      <c r="U74" s="6">
        <v>0</v>
      </c>
      <c r="V74" s="6">
        <v>0</v>
      </c>
      <c r="W74" s="6">
        <v>0</v>
      </c>
      <c r="X74" s="6">
        <v>0</v>
      </c>
      <c r="Y74" t="s">
        <v>171</v>
      </c>
      <c r="Z74"/>
      <c r="AA74"/>
      <c r="AB74"/>
      <c r="AC74"/>
      <c r="AD74">
        <v>1.4999999999999999E-2</v>
      </c>
      <c r="AE74">
        <v>180</v>
      </c>
      <c r="AF74">
        <v>1</v>
      </c>
      <c r="AG74" s="9">
        <v>4.5999999999999999E-2</v>
      </c>
      <c r="AH74" s="9">
        <v>0.7</v>
      </c>
      <c r="AI74" s="9">
        <v>0.6</v>
      </c>
      <c r="AJ74" s="9">
        <v>1.7999999999999999E-2</v>
      </c>
      <c r="AK74" s="9">
        <v>8.0000000000000002E-3</v>
      </c>
      <c r="AL74" s="9">
        <v>16.3</v>
      </c>
      <c r="AM74" s="9">
        <v>0.33</v>
      </c>
      <c r="AN74" s="9">
        <v>0</v>
      </c>
    </row>
    <row r="75" spans="1:41" x14ac:dyDescent="0.3">
      <c r="A75">
        <v>11</v>
      </c>
      <c r="B75" t="s">
        <v>1699</v>
      </c>
      <c r="C75">
        <v>5</v>
      </c>
      <c r="D75"/>
      <c r="E75">
        <v>14000</v>
      </c>
      <c r="I75"/>
      <c r="J75"/>
      <c r="K75"/>
      <c r="N75">
        <v>0.1</v>
      </c>
      <c r="O75">
        <v>0</v>
      </c>
      <c r="P75">
        <v>29.6</v>
      </c>
      <c r="Q75">
        <v>1</v>
      </c>
      <c r="R75" t="s">
        <v>102</v>
      </c>
      <c r="T75" s="6">
        <f>10^-(14-Q75)</f>
        <v>1E-13</v>
      </c>
      <c r="U75" s="6">
        <v>0</v>
      </c>
      <c r="V75" s="6">
        <v>0</v>
      </c>
      <c r="W75" s="6">
        <v>0</v>
      </c>
      <c r="X75" s="6">
        <v>0</v>
      </c>
      <c r="Y75" t="s">
        <v>171</v>
      </c>
      <c r="Z75"/>
      <c r="AA75"/>
      <c r="AB75"/>
      <c r="AC75"/>
      <c r="AD75">
        <v>1.4999999999999999E-2</v>
      </c>
      <c r="AE75">
        <v>190</v>
      </c>
      <c r="AF75">
        <v>1</v>
      </c>
      <c r="AG75" s="9">
        <v>6.9000000000000006E-2</v>
      </c>
      <c r="AH75" s="9">
        <v>0.42</v>
      </c>
      <c r="AI75" s="9">
        <v>0.54</v>
      </c>
      <c r="AJ75" s="9">
        <v>1.6E-2</v>
      </c>
      <c r="AK75" s="9">
        <v>7.0000000000000001E-3</v>
      </c>
      <c r="AL75" s="9">
        <v>16.52</v>
      </c>
      <c r="AM75" s="9">
        <v>0.3</v>
      </c>
      <c r="AN75" s="9">
        <v>0.99</v>
      </c>
    </row>
    <row r="76" spans="1:41" x14ac:dyDescent="0.3">
      <c r="A76">
        <v>11</v>
      </c>
      <c r="B76" t="s">
        <v>1699</v>
      </c>
      <c r="C76">
        <v>5</v>
      </c>
      <c r="D76"/>
      <c r="E76">
        <v>14000</v>
      </c>
      <c r="I76"/>
      <c r="J76"/>
      <c r="K76"/>
      <c r="N76">
        <v>0.1</v>
      </c>
      <c r="O76">
        <v>0</v>
      </c>
      <c r="P76">
        <v>29.6</v>
      </c>
      <c r="Q76">
        <v>1</v>
      </c>
      <c r="R76" t="s">
        <v>102</v>
      </c>
      <c r="T76" s="6">
        <f>10^-(14-Q76)</f>
        <v>1E-13</v>
      </c>
      <c r="U76" s="6">
        <v>0</v>
      </c>
      <c r="V76" s="6">
        <v>0</v>
      </c>
      <c r="W76" s="6">
        <v>0</v>
      </c>
      <c r="X76" s="6">
        <v>0</v>
      </c>
      <c r="Y76" t="s">
        <v>171</v>
      </c>
      <c r="Z76"/>
      <c r="AA76"/>
      <c r="AB76"/>
      <c r="AC76"/>
      <c r="AD76">
        <v>1.4999999999999999E-2</v>
      </c>
      <c r="AE76">
        <v>800</v>
      </c>
      <c r="AF76">
        <v>2</v>
      </c>
      <c r="AG76" s="9">
        <v>3.0000000000000001E-3</v>
      </c>
      <c r="AI76" s="9">
        <v>0.06</v>
      </c>
      <c r="AJ76" s="9">
        <v>7.0000000000000001E-3</v>
      </c>
      <c r="AL76" s="9">
        <v>16.68</v>
      </c>
      <c r="AM76" s="9">
        <v>0</v>
      </c>
      <c r="AN76" s="9">
        <v>2.99</v>
      </c>
      <c r="AO76" s="9">
        <v>4.7999999999999996E-3</v>
      </c>
    </row>
    <row r="77" spans="1:41" x14ac:dyDescent="0.3">
      <c r="A77">
        <v>11</v>
      </c>
      <c r="B77" t="s">
        <v>1699</v>
      </c>
      <c r="C77">
        <v>5</v>
      </c>
      <c r="D77"/>
      <c r="E77">
        <v>14000</v>
      </c>
      <c r="I77"/>
      <c r="J77"/>
      <c r="K77"/>
      <c r="N77">
        <v>0.1</v>
      </c>
      <c r="O77">
        <v>0</v>
      </c>
      <c r="P77">
        <v>29.6</v>
      </c>
      <c r="Q77">
        <v>1</v>
      </c>
      <c r="R77" t="s">
        <v>102</v>
      </c>
      <c r="T77" s="6">
        <f>10^-(14-Q77)</f>
        <v>1E-13</v>
      </c>
      <c r="U77" s="6">
        <v>0</v>
      </c>
      <c r="V77" s="6">
        <v>0</v>
      </c>
      <c r="W77" s="6">
        <v>0</v>
      </c>
      <c r="X77" s="6">
        <v>0</v>
      </c>
      <c r="Y77" t="s">
        <v>171</v>
      </c>
      <c r="Z77"/>
      <c r="AA77"/>
      <c r="AB77"/>
      <c r="AC77"/>
      <c r="AD77">
        <v>1.4999999999999999E-2</v>
      </c>
      <c r="AE77">
        <v>320</v>
      </c>
      <c r="AF77">
        <v>1</v>
      </c>
      <c r="AG77" s="9">
        <v>2E-3</v>
      </c>
      <c r="AI77" s="9">
        <v>0.05</v>
      </c>
      <c r="AJ77" s="9">
        <v>7.0000000000000001E-3</v>
      </c>
      <c r="AL77" s="9">
        <v>16.93</v>
      </c>
      <c r="AM77" s="9">
        <v>0</v>
      </c>
      <c r="AN77" s="9">
        <v>1.04</v>
      </c>
      <c r="AO77" s="9">
        <v>5.6499999999999996E-3</v>
      </c>
    </row>
    <row r="78" spans="1:41" x14ac:dyDescent="0.3">
      <c r="A78">
        <v>11</v>
      </c>
      <c r="B78" t="s">
        <v>1699</v>
      </c>
      <c r="C78">
        <v>5</v>
      </c>
      <c r="D78"/>
      <c r="E78">
        <v>14000</v>
      </c>
      <c r="I78"/>
      <c r="J78"/>
      <c r="K78"/>
      <c r="N78">
        <v>0.1</v>
      </c>
      <c r="O78">
        <v>0</v>
      </c>
      <c r="P78">
        <v>29.6</v>
      </c>
      <c r="Q78">
        <v>1</v>
      </c>
      <c r="R78" t="s">
        <v>102</v>
      </c>
      <c r="T78" s="6">
        <f>10^-(14-Q78)</f>
        <v>1E-13</v>
      </c>
      <c r="U78" s="6">
        <v>0</v>
      </c>
      <c r="V78" s="6">
        <v>0</v>
      </c>
      <c r="W78" s="6">
        <v>0</v>
      </c>
      <c r="X78" s="6">
        <v>0</v>
      </c>
      <c r="Y78" t="s">
        <v>171</v>
      </c>
      <c r="Z78"/>
      <c r="AA78"/>
      <c r="AB78"/>
      <c r="AC78"/>
      <c r="AD78">
        <v>1.4999999999999999E-2</v>
      </c>
      <c r="AE78">
        <v>260</v>
      </c>
      <c r="AF78">
        <v>1</v>
      </c>
      <c r="AG78" s="9">
        <v>3.0000000000000001E-3</v>
      </c>
      <c r="AI78" s="9">
        <v>0.06</v>
      </c>
      <c r="AJ78" s="9">
        <v>8.9999999999999993E-3</v>
      </c>
      <c r="AL78" s="9">
        <v>17.079999999999998</v>
      </c>
      <c r="AM78" s="9">
        <v>0</v>
      </c>
      <c r="AN78" s="9">
        <v>0.03</v>
      </c>
      <c r="AO78" s="9">
        <v>6.4999999999999997E-3</v>
      </c>
    </row>
    <row r="79" spans="1:41" x14ac:dyDescent="0.3">
      <c r="A79">
        <v>11</v>
      </c>
      <c r="B79" t="s">
        <v>1699</v>
      </c>
      <c r="C79">
        <v>5</v>
      </c>
      <c r="D79" t="s">
        <v>1703</v>
      </c>
      <c r="E79">
        <v>14000</v>
      </c>
      <c r="I79"/>
      <c r="J79"/>
      <c r="K79"/>
      <c r="N79">
        <v>0.1</v>
      </c>
      <c r="O79">
        <v>0</v>
      </c>
      <c r="P79">
        <v>24</v>
      </c>
      <c r="Q79">
        <v>1</v>
      </c>
      <c r="R79" t="s">
        <v>102</v>
      </c>
      <c r="T79" s="6">
        <f>10^-(14-Q79)</f>
        <v>1E-13</v>
      </c>
      <c r="U79" s="6">
        <v>0</v>
      </c>
      <c r="V79" s="6">
        <v>0</v>
      </c>
      <c r="W79" s="6">
        <v>0</v>
      </c>
      <c r="X79" s="6">
        <v>0</v>
      </c>
      <c r="Y79" t="s">
        <v>171</v>
      </c>
      <c r="Z79"/>
      <c r="AA79"/>
      <c r="AB79"/>
      <c r="AC79"/>
      <c r="AD79">
        <v>1.7000000000000001E-2</v>
      </c>
      <c r="AE79">
        <v>800</v>
      </c>
      <c r="AF79">
        <v>2</v>
      </c>
      <c r="AG79" s="9">
        <v>3.4000000000000002E-2</v>
      </c>
      <c r="AI79" s="9">
        <v>0.13</v>
      </c>
      <c r="AL79" s="9">
        <v>18.45</v>
      </c>
      <c r="AM79" s="9">
        <v>0.11</v>
      </c>
      <c r="AN79" s="9">
        <v>1.97</v>
      </c>
      <c r="AO79" s="9">
        <v>4.4999999999999998E-2</v>
      </c>
    </row>
    <row r="80" spans="1:41" x14ac:dyDescent="0.3">
      <c r="A80">
        <v>11</v>
      </c>
      <c r="B80" t="s">
        <v>1699</v>
      </c>
      <c r="C80">
        <v>5</v>
      </c>
      <c r="D80" t="s">
        <v>1704</v>
      </c>
      <c r="E80">
        <v>14000</v>
      </c>
      <c r="I80"/>
      <c r="J80"/>
      <c r="K80"/>
      <c r="N80">
        <v>0.1</v>
      </c>
      <c r="O80">
        <v>0</v>
      </c>
      <c r="P80">
        <v>24</v>
      </c>
      <c r="Q80">
        <v>1</v>
      </c>
      <c r="R80" t="s">
        <v>102</v>
      </c>
      <c r="T80" s="6">
        <f>10^-(14-Q80)</f>
        <v>1E-13</v>
      </c>
      <c r="U80" s="6">
        <v>0</v>
      </c>
      <c r="V80" s="6">
        <v>0</v>
      </c>
      <c r="W80" s="6">
        <v>0</v>
      </c>
      <c r="X80" s="6">
        <v>0</v>
      </c>
      <c r="Y80" t="s">
        <v>171</v>
      </c>
      <c r="Z80"/>
      <c r="AA80"/>
      <c r="AB80"/>
      <c r="AC80"/>
      <c r="AD80">
        <v>1.7000000000000001E-2</v>
      </c>
      <c r="AE80">
        <v>630</v>
      </c>
      <c r="AF80">
        <v>1</v>
      </c>
      <c r="AG80" s="9">
        <v>3.5000000000000003E-2</v>
      </c>
      <c r="AL80" s="9">
        <v>18.5</v>
      </c>
      <c r="AM80" s="9">
        <v>0</v>
      </c>
      <c r="AN80" s="9">
        <v>1.97</v>
      </c>
      <c r="AO80" s="9">
        <v>2.3E-2</v>
      </c>
    </row>
    <row r="81" spans="1:41" x14ac:dyDescent="0.3">
      <c r="A81">
        <v>11</v>
      </c>
      <c r="B81" t="s">
        <v>1699</v>
      </c>
      <c r="C81">
        <v>5</v>
      </c>
      <c r="D81" t="s">
        <v>1700</v>
      </c>
      <c r="E81">
        <v>14000</v>
      </c>
      <c r="I81"/>
      <c r="J81"/>
      <c r="K81"/>
      <c r="N81">
        <v>0.1</v>
      </c>
      <c r="O81">
        <v>0</v>
      </c>
      <c r="P81">
        <v>24</v>
      </c>
      <c r="Q81">
        <v>1</v>
      </c>
      <c r="R81" t="s">
        <v>102</v>
      </c>
      <c r="T81" s="6">
        <f>10^-(14-Q81)</f>
        <v>1E-13</v>
      </c>
      <c r="U81" s="6">
        <v>0</v>
      </c>
      <c r="V81" s="6">
        <v>0</v>
      </c>
      <c r="W81" s="6">
        <v>0</v>
      </c>
      <c r="X81" s="6">
        <v>0</v>
      </c>
      <c r="Y81" t="s">
        <v>171</v>
      </c>
      <c r="Z81"/>
      <c r="AA81"/>
      <c r="AB81"/>
      <c r="AC81"/>
      <c r="AD81">
        <v>1.7000000000000001E-2</v>
      </c>
      <c r="AE81">
        <v>310</v>
      </c>
      <c r="AF81">
        <v>1</v>
      </c>
      <c r="AG81" s="9">
        <v>0.03</v>
      </c>
      <c r="AL81" s="9">
        <v>18.53</v>
      </c>
      <c r="AM81" s="9">
        <v>0.11</v>
      </c>
      <c r="AN81" s="9">
        <v>1.95</v>
      </c>
    </row>
    <row r="82" spans="1:41" x14ac:dyDescent="0.3">
      <c r="A82">
        <v>11</v>
      </c>
      <c r="B82" t="s">
        <v>1699</v>
      </c>
      <c r="C82">
        <v>5</v>
      </c>
      <c r="D82" t="s">
        <v>1701</v>
      </c>
      <c r="E82">
        <v>14000</v>
      </c>
      <c r="I82"/>
      <c r="J82"/>
      <c r="K82"/>
      <c r="N82">
        <v>0.1</v>
      </c>
      <c r="O82">
        <v>0</v>
      </c>
      <c r="P82">
        <v>24</v>
      </c>
      <c r="Q82">
        <v>1</v>
      </c>
      <c r="R82" t="s">
        <v>102</v>
      </c>
      <c r="T82" s="6">
        <f>10^-(14-Q82)</f>
        <v>1E-13</v>
      </c>
      <c r="U82" s="6">
        <v>0</v>
      </c>
      <c r="V82" s="6">
        <v>0</v>
      </c>
      <c r="W82" s="6">
        <v>0</v>
      </c>
      <c r="X82" s="6">
        <v>0</v>
      </c>
      <c r="Y82" t="s">
        <v>171</v>
      </c>
      <c r="Z82"/>
      <c r="AA82"/>
      <c r="AB82"/>
      <c r="AC82"/>
      <c r="AD82">
        <v>1.7000000000000001E-2</v>
      </c>
      <c r="AE82">
        <v>350</v>
      </c>
      <c r="AF82">
        <v>1</v>
      </c>
      <c r="AG82" s="9">
        <v>0.03</v>
      </c>
      <c r="AL82" s="9">
        <v>18.53</v>
      </c>
      <c r="AM82" s="9">
        <v>0.62</v>
      </c>
      <c r="AN82" s="9">
        <v>1.95</v>
      </c>
    </row>
    <row r="83" spans="1:41" x14ac:dyDescent="0.3">
      <c r="A83">
        <v>11</v>
      </c>
      <c r="B83" t="s">
        <v>1699</v>
      </c>
      <c r="C83">
        <v>5</v>
      </c>
      <c r="D83" t="s">
        <v>1702</v>
      </c>
      <c r="E83">
        <v>14000</v>
      </c>
      <c r="I83"/>
      <c r="J83"/>
      <c r="K83"/>
      <c r="N83">
        <v>0.1</v>
      </c>
      <c r="O83">
        <v>0</v>
      </c>
      <c r="P83">
        <v>24</v>
      </c>
      <c r="Q83">
        <v>1</v>
      </c>
      <c r="R83" t="s">
        <v>102</v>
      </c>
      <c r="T83" s="6">
        <f>10^-(14-Q83)</f>
        <v>1E-13</v>
      </c>
      <c r="U83" s="6">
        <v>0</v>
      </c>
      <c r="V83" s="6">
        <v>0</v>
      </c>
      <c r="W83" s="6">
        <v>0</v>
      </c>
      <c r="X83" s="6">
        <v>0</v>
      </c>
      <c r="Y83" t="s">
        <v>171</v>
      </c>
      <c r="Z83"/>
      <c r="AA83"/>
      <c r="AB83"/>
      <c r="AC83"/>
      <c r="AD83">
        <v>1.7000000000000001E-2</v>
      </c>
      <c r="AE83">
        <v>340</v>
      </c>
      <c r="AF83">
        <v>1</v>
      </c>
      <c r="AG83" s="9">
        <v>3.1E-2</v>
      </c>
      <c r="AL83" s="9">
        <v>18.53</v>
      </c>
      <c r="AM83" s="9">
        <v>1.08</v>
      </c>
      <c r="AN83" s="9">
        <v>1.95</v>
      </c>
    </row>
    <row r="84" spans="1:41" x14ac:dyDescent="0.3">
      <c r="A84">
        <v>11</v>
      </c>
      <c r="B84" t="s">
        <v>1699</v>
      </c>
      <c r="C84">
        <v>5</v>
      </c>
      <c r="D84" t="s">
        <v>1705</v>
      </c>
      <c r="E84">
        <v>14000</v>
      </c>
      <c r="I84"/>
      <c r="J84"/>
      <c r="K84"/>
      <c r="N84">
        <v>0.1</v>
      </c>
      <c r="O84">
        <v>0</v>
      </c>
      <c r="P84">
        <v>24</v>
      </c>
      <c r="Q84">
        <v>1</v>
      </c>
      <c r="R84" t="s">
        <v>102</v>
      </c>
      <c r="T84" s="6">
        <f>10^-(14-Q84)</f>
        <v>1E-13</v>
      </c>
      <c r="U84" s="6">
        <v>0</v>
      </c>
      <c r="V84" s="6">
        <v>0</v>
      </c>
      <c r="W84" s="6">
        <v>0</v>
      </c>
      <c r="X84" s="6">
        <v>0</v>
      </c>
      <c r="Y84" t="s">
        <v>171</v>
      </c>
      <c r="Z84"/>
      <c r="AA84"/>
      <c r="AB84"/>
      <c r="AC84"/>
      <c r="AD84">
        <v>1.7000000000000001E-2</v>
      </c>
      <c r="AE84">
        <v>800</v>
      </c>
      <c r="AF84">
        <v>2</v>
      </c>
      <c r="AG84" s="9">
        <v>3.2000000000000001E-2</v>
      </c>
      <c r="AL84" s="9">
        <v>18.7</v>
      </c>
      <c r="AM84" s="9">
        <v>0.56999999999999995</v>
      </c>
      <c r="AN84" s="9">
        <v>1.97</v>
      </c>
    </row>
    <row r="85" spans="1:41" x14ac:dyDescent="0.3">
      <c r="A85">
        <v>11</v>
      </c>
      <c r="B85" t="s">
        <v>1699</v>
      </c>
      <c r="C85">
        <v>5</v>
      </c>
      <c r="D85" t="s">
        <v>1706</v>
      </c>
      <c r="E85">
        <v>14000</v>
      </c>
      <c r="I85"/>
      <c r="J85"/>
      <c r="K85"/>
      <c r="N85">
        <v>0.1</v>
      </c>
      <c r="O85">
        <v>0</v>
      </c>
      <c r="P85">
        <v>24</v>
      </c>
      <c r="Q85">
        <v>1</v>
      </c>
      <c r="R85" t="s">
        <v>102</v>
      </c>
      <c r="T85" s="6">
        <f>10^-(14-Q85)</f>
        <v>1E-13</v>
      </c>
      <c r="U85" s="6">
        <v>0</v>
      </c>
      <c r="V85" s="6">
        <v>0</v>
      </c>
      <c r="W85" s="6">
        <v>0</v>
      </c>
      <c r="X85" s="6">
        <v>0</v>
      </c>
      <c r="Y85" t="s">
        <v>171</v>
      </c>
      <c r="Z85"/>
      <c r="AA85"/>
      <c r="AB85"/>
      <c r="AC85"/>
      <c r="AD85">
        <v>1.7000000000000001E-2</v>
      </c>
      <c r="AE85">
        <v>620</v>
      </c>
      <c r="AF85">
        <v>1</v>
      </c>
      <c r="AG85" s="9">
        <v>0.03</v>
      </c>
      <c r="AL85" s="9">
        <v>18.7</v>
      </c>
      <c r="AM85" s="9">
        <v>2.08</v>
      </c>
      <c r="AN85" s="9">
        <v>1.97</v>
      </c>
    </row>
    <row r="86" spans="1:41" x14ac:dyDescent="0.3">
      <c r="A86">
        <v>46</v>
      </c>
      <c r="B86" t="s">
        <v>1666</v>
      </c>
      <c r="C86">
        <v>6</v>
      </c>
      <c r="D86" t="s">
        <v>1667</v>
      </c>
      <c r="E86">
        <v>500</v>
      </c>
      <c r="I86"/>
      <c r="J86"/>
      <c r="K86"/>
      <c r="L86" t="s">
        <v>172</v>
      </c>
      <c r="N86">
        <v>1</v>
      </c>
      <c r="O86" s="3">
        <v>0</v>
      </c>
      <c r="P86">
        <v>25</v>
      </c>
      <c r="Q86">
        <v>7</v>
      </c>
      <c r="R86" t="s">
        <v>102</v>
      </c>
      <c r="T86" s="6">
        <f>10^-(14-Q86)</f>
        <v>9.9999999999999995E-8</v>
      </c>
      <c r="U86" s="6">
        <v>0</v>
      </c>
      <c r="V86" s="6">
        <v>0</v>
      </c>
      <c r="W86" s="6">
        <v>0</v>
      </c>
      <c r="X86" s="6">
        <v>0</v>
      </c>
      <c r="Y86" t="s">
        <v>171</v>
      </c>
      <c r="Z86"/>
      <c r="AA86"/>
      <c r="AB86"/>
      <c r="AC86"/>
      <c r="AD86">
        <v>0.16700000000000001</v>
      </c>
      <c r="AE86">
        <v>-185</v>
      </c>
      <c r="AF86">
        <v>1</v>
      </c>
      <c r="AG86" s="9">
        <v>9.4E-2</v>
      </c>
      <c r="AH86" s="9">
        <v>0.56000000000000005</v>
      </c>
      <c r="AI86" s="9">
        <v>0.32</v>
      </c>
      <c r="AJ86" s="9">
        <v>2.5999999999999999E-2</v>
      </c>
      <c r="AK86" s="9">
        <v>0.01</v>
      </c>
      <c r="AL86" s="9">
        <v>16.350000000000001</v>
      </c>
      <c r="AM86" s="9">
        <v>0.17</v>
      </c>
      <c r="AN86" s="9">
        <v>0.02</v>
      </c>
    </row>
    <row r="87" spans="1:41" x14ac:dyDescent="0.3">
      <c r="A87">
        <v>46</v>
      </c>
      <c r="B87" t="s">
        <v>1666</v>
      </c>
      <c r="C87">
        <v>6</v>
      </c>
      <c r="D87" t="s">
        <v>1667</v>
      </c>
      <c r="E87">
        <v>500</v>
      </c>
      <c r="I87"/>
      <c r="J87"/>
      <c r="K87"/>
      <c r="L87" t="s">
        <v>172</v>
      </c>
      <c r="N87">
        <v>1</v>
      </c>
      <c r="O87" s="3">
        <v>0</v>
      </c>
      <c r="P87">
        <v>25</v>
      </c>
      <c r="Q87">
        <v>7</v>
      </c>
      <c r="R87" t="s">
        <v>102</v>
      </c>
      <c r="T87" s="6">
        <f>10^-(14-Q87)</f>
        <v>9.9999999999999995E-8</v>
      </c>
      <c r="U87" s="6">
        <v>0</v>
      </c>
      <c r="V87" s="6">
        <v>0</v>
      </c>
      <c r="W87" s="6">
        <v>0</v>
      </c>
      <c r="X87" s="6">
        <v>0</v>
      </c>
      <c r="Y87" t="s">
        <v>171</v>
      </c>
      <c r="Z87"/>
      <c r="AA87"/>
      <c r="AB87"/>
      <c r="AC87"/>
      <c r="AD87">
        <v>0.16700000000000001</v>
      </c>
      <c r="AE87">
        <v>-130</v>
      </c>
      <c r="AF87">
        <v>1</v>
      </c>
      <c r="AG87" s="9">
        <v>9.4E-2</v>
      </c>
      <c r="AH87" s="9">
        <v>0.56000000000000005</v>
      </c>
      <c r="AI87" s="9">
        <v>0.32</v>
      </c>
      <c r="AJ87" s="9">
        <v>2.5999999999999999E-2</v>
      </c>
      <c r="AK87" s="9">
        <v>0.01</v>
      </c>
      <c r="AL87" s="9">
        <v>16.350000000000001</v>
      </c>
      <c r="AM87" s="9">
        <v>0.17</v>
      </c>
      <c r="AN87" s="9">
        <v>0.02</v>
      </c>
    </row>
    <row r="88" spans="1:41" x14ac:dyDescent="0.3">
      <c r="A88">
        <v>46</v>
      </c>
      <c r="B88" t="s">
        <v>1666</v>
      </c>
      <c r="C88">
        <v>6</v>
      </c>
      <c r="D88" t="s">
        <v>1667</v>
      </c>
      <c r="E88">
        <v>500</v>
      </c>
      <c r="I88"/>
      <c r="J88"/>
      <c r="K88"/>
      <c r="L88" t="s">
        <v>172</v>
      </c>
      <c r="N88">
        <v>1</v>
      </c>
      <c r="O88" s="3">
        <v>0</v>
      </c>
      <c r="P88">
        <v>25</v>
      </c>
      <c r="Q88">
        <v>7</v>
      </c>
      <c r="R88" t="s">
        <v>102</v>
      </c>
      <c r="T88" s="6">
        <f>10^-(14-Q88)</f>
        <v>9.9999999999999995E-8</v>
      </c>
      <c r="U88" s="6">
        <v>0</v>
      </c>
      <c r="V88" s="6">
        <v>0</v>
      </c>
      <c r="W88" s="6">
        <v>0</v>
      </c>
      <c r="X88" s="6">
        <v>0</v>
      </c>
      <c r="Y88" t="s">
        <v>171</v>
      </c>
      <c r="Z88"/>
      <c r="AA88"/>
      <c r="AB88"/>
      <c r="AC88"/>
      <c r="AD88">
        <v>0.16700000000000001</v>
      </c>
      <c r="AE88">
        <v>-100</v>
      </c>
      <c r="AF88">
        <v>1</v>
      </c>
      <c r="AG88" s="9">
        <v>9.4E-2</v>
      </c>
      <c r="AH88" s="9">
        <v>0.56000000000000005</v>
      </c>
      <c r="AI88" s="9">
        <v>0.32</v>
      </c>
      <c r="AJ88" s="9">
        <v>2.5999999999999999E-2</v>
      </c>
      <c r="AK88" s="9">
        <v>0.01</v>
      </c>
      <c r="AL88" s="9">
        <v>16.350000000000001</v>
      </c>
      <c r="AM88" s="9">
        <v>0.17</v>
      </c>
      <c r="AN88" s="9">
        <v>0.02</v>
      </c>
    </row>
    <row r="89" spans="1:41" x14ac:dyDescent="0.3">
      <c r="A89">
        <v>46</v>
      </c>
      <c r="B89" t="s">
        <v>1666</v>
      </c>
      <c r="C89">
        <v>6</v>
      </c>
      <c r="D89" t="s">
        <v>1667</v>
      </c>
      <c r="E89">
        <v>500</v>
      </c>
      <c r="I89"/>
      <c r="J89"/>
      <c r="K89"/>
      <c r="L89" t="s">
        <v>139</v>
      </c>
      <c r="N89">
        <v>1</v>
      </c>
      <c r="O89" s="3">
        <v>0</v>
      </c>
      <c r="P89">
        <v>25</v>
      </c>
      <c r="Q89">
        <v>7</v>
      </c>
      <c r="R89" t="s">
        <v>102</v>
      </c>
      <c r="T89" s="6">
        <f>10^-(14-Q89)</f>
        <v>9.9999999999999995E-8</v>
      </c>
      <c r="U89" s="6">
        <v>0</v>
      </c>
      <c r="V89" s="6">
        <v>0</v>
      </c>
      <c r="W89" s="6">
        <v>0</v>
      </c>
      <c r="X89" s="6">
        <v>0</v>
      </c>
      <c r="Y89" t="s">
        <v>171</v>
      </c>
      <c r="Z89"/>
      <c r="AA89"/>
      <c r="AB89"/>
      <c r="AC89"/>
      <c r="AD89">
        <v>0.16700000000000001</v>
      </c>
      <c r="AE89">
        <v>-35</v>
      </c>
      <c r="AF89">
        <v>1</v>
      </c>
      <c r="AG89" s="9">
        <v>9.4E-2</v>
      </c>
      <c r="AH89" s="9">
        <v>0.56000000000000005</v>
      </c>
      <c r="AI89" s="9">
        <v>0.32</v>
      </c>
      <c r="AJ89" s="9">
        <v>2.5999999999999999E-2</v>
      </c>
      <c r="AK89" s="9">
        <v>0.01</v>
      </c>
      <c r="AL89" s="9">
        <v>16.350000000000001</v>
      </c>
      <c r="AM89" s="9">
        <v>0.17</v>
      </c>
      <c r="AN89" s="9">
        <v>0.02</v>
      </c>
    </row>
    <row r="90" spans="1:41" x14ac:dyDescent="0.3">
      <c r="A90">
        <v>46</v>
      </c>
      <c r="B90" t="s">
        <v>1666</v>
      </c>
      <c r="C90">
        <v>6</v>
      </c>
      <c r="D90" t="s">
        <v>1662</v>
      </c>
      <c r="E90">
        <v>500</v>
      </c>
      <c r="I90"/>
      <c r="J90"/>
      <c r="K90"/>
      <c r="L90" t="s">
        <v>172</v>
      </c>
      <c r="N90">
        <v>1</v>
      </c>
      <c r="O90" s="3">
        <v>0</v>
      </c>
      <c r="P90">
        <v>25</v>
      </c>
      <c r="Q90">
        <v>7</v>
      </c>
      <c r="R90" t="s">
        <v>102</v>
      </c>
      <c r="T90" s="6">
        <f>10^-(14-Q90)</f>
        <v>9.9999999999999995E-8</v>
      </c>
      <c r="U90" s="6">
        <v>0</v>
      </c>
      <c r="V90" s="6">
        <v>0</v>
      </c>
      <c r="W90" s="6">
        <v>0</v>
      </c>
      <c r="X90" s="6">
        <v>0</v>
      </c>
      <c r="Y90" t="s">
        <v>171</v>
      </c>
      <c r="Z90"/>
      <c r="AA90"/>
      <c r="AB90"/>
      <c r="AC90"/>
      <c r="AD90">
        <v>0.16700000000000001</v>
      </c>
      <c r="AE90">
        <v>-50</v>
      </c>
      <c r="AF90">
        <v>1</v>
      </c>
      <c r="AG90" s="9">
        <v>7.9000000000000001E-2</v>
      </c>
      <c r="AH90" s="9">
        <v>1.33</v>
      </c>
      <c r="AI90" s="9">
        <v>0.56000000000000005</v>
      </c>
      <c r="AJ90" s="9">
        <v>2.7E-2</v>
      </c>
      <c r="AK90" s="9">
        <v>3.4000000000000002E-2</v>
      </c>
      <c r="AL90" s="9">
        <v>18.100000000000001</v>
      </c>
      <c r="AM90" s="9">
        <v>8.2200000000000006</v>
      </c>
      <c r="AN90" s="9">
        <v>0.36</v>
      </c>
    </row>
    <row r="91" spans="1:41" x14ac:dyDescent="0.3">
      <c r="A91">
        <v>46</v>
      </c>
      <c r="B91" t="s">
        <v>1666</v>
      </c>
      <c r="C91">
        <v>6</v>
      </c>
      <c r="D91" t="s">
        <v>1662</v>
      </c>
      <c r="E91">
        <v>500</v>
      </c>
      <c r="I91"/>
      <c r="J91"/>
      <c r="K91"/>
      <c r="L91" t="s">
        <v>172</v>
      </c>
      <c r="N91">
        <v>1</v>
      </c>
      <c r="O91" s="3">
        <v>0</v>
      </c>
      <c r="P91">
        <v>25</v>
      </c>
      <c r="Q91">
        <v>7</v>
      </c>
      <c r="R91" t="s">
        <v>102</v>
      </c>
      <c r="T91" s="6">
        <f>10^-(14-Q91)</f>
        <v>9.9999999999999995E-8</v>
      </c>
      <c r="U91" s="6">
        <v>0</v>
      </c>
      <c r="V91" s="6">
        <v>0</v>
      </c>
      <c r="W91" s="6">
        <v>0</v>
      </c>
      <c r="X91" s="6">
        <v>0</v>
      </c>
      <c r="Y91" t="s">
        <v>171</v>
      </c>
      <c r="Z91"/>
      <c r="AA91"/>
      <c r="AB91"/>
      <c r="AC91"/>
      <c r="AD91">
        <v>0.16700000000000001</v>
      </c>
      <c r="AE91">
        <v>-20</v>
      </c>
      <c r="AF91">
        <v>1</v>
      </c>
      <c r="AG91" s="9">
        <v>7.9000000000000001E-2</v>
      </c>
      <c r="AH91" s="9">
        <v>1.33</v>
      </c>
      <c r="AI91" s="9">
        <v>0.56000000000000005</v>
      </c>
      <c r="AJ91" s="9">
        <v>2.7E-2</v>
      </c>
      <c r="AK91" s="9">
        <v>3.4000000000000002E-2</v>
      </c>
      <c r="AL91" s="9">
        <v>18.100000000000001</v>
      </c>
      <c r="AM91" s="9">
        <v>8.2200000000000006</v>
      </c>
      <c r="AN91" s="9">
        <v>0.36</v>
      </c>
    </row>
    <row r="92" spans="1:41" x14ac:dyDescent="0.3">
      <c r="A92">
        <v>46</v>
      </c>
      <c r="B92" t="s">
        <v>1666</v>
      </c>
      <c r="C92">
        <v>6</v>
      </c>
      <c r="D92" t="s">
        <v>1662</v>
      </c>
      <c r="E92">
        <v>500</v>
      </c>
      <c r="I92"/>
      <c r="J92"/>
      <c r="K92"/>
      <c r="L92" t="s">
        <v>172</v>
      </c>
      <c r="N92">
        <v>1</v>
      </c>
      <c r="O92" s="3">
        <v>0</v>
      </c>
      <c r="P92">
        <v>25</v>
      </c>
      <c r="Q92">
        <v>7</v>
      </c>
      <c r="R92" t="s">
        <v>102</v>
      </c>
      <c r="T92" s="6">
        <f>10^-(14-Q92)</f>
        <v>9.9999999999999995E-8</v>
      </c>
      <c r="U92" s="6">
        <v>0</v>
      </c>
      <c r="V92" s="6">
        <v>0</v>
      </c>
      <c r="W92" s="6">
        <v>0</v>
      </c>
      <c r="X92" s="6">
        <v>0</v>
      </c>
      <c r="Y92" t="s">
        <v>171</v>
      </c>
      <c r="Z92"/>
      <c r="AA92"/>
      <c r="AB92"/>
      <c r="AC92"/>
      <c r="AD92">
        <v>0.16700000000000001</v>
      </c>
      <c r="AE92">
        <v>50</v>
      </c>
      <c r="AF92">
        <v>1</v>
      </c>
      <c r="AG92" s="9">
        <v>7.9000000000000001E-2</v>
      </c>
      <c r="AH92" s="9">
        <v>1.33</v>
      </c>
      <c r="AI92" s="9">
        <v>0.56000000000000005</v>
      </c>
      <c r="AJ92" s="9">
        <v>2.7E-2</v>
      </c>
      <c r="AK92" s="9">
        <v>3.4000000000000002E-2</v>
      </c>
      <c r="AL92" s="9">
        <v>18.100000000000001</v>
      </c>
      <c r="AM92" s="9">
        <v>8.2200000000000006</v>
      </c>
      <c r="AN92" s="9">
        <v>0.36</v>
      </c>
    </row>
    <row r="93" spans="1:41" x14ac:dyDescent="0.3">
      <c r="A93">
        <v>46</v>
      </c>
      <c r="B93" t="s">
        <v>1666</v>
      </c>
      <c r="C93">
        <v>6</v>
      </c>
      <c r="D93" t="s">
        <v>1662</v>
      </c>
      <c r="E93">
        <v>500</v>
      </c>
      <c r="I93"/>
      <c r="J93"/>
      <c r="K93"/>
      <c r="L93" t="s">
        <v>139</v>
      </c>
      <c r="N93">
        <v>1</v>
      </c>
      <c r="O93" s="3">
        <v>0</v>
      </c>
      <c r="P93">
        <v>25</v>
      </c>
      <c r="Q93">
        <v>7</v>
      </c>
      <c r="R93" t="s">
        <v>102</v>
      </c>
      <c r="T93" s="6">
        <f>10^-(14-Q93)</f>
        <v>9.9999999999999995E-8</v>
      </c>
      <c r="U93" s="6">
        <v>0</v>
      </c>
      <c r="V93" s="6">
        <v>0</v>
      </c>
      <c r="W93" s="6">
        <v>0</v>
      </c>
      <c r="X93" s="6">
        <v>0</v>
      </c>
      <c r="Y93" t="s">
        <v>171</v>
      </c>
      <c r="Z93"/>
      <c r="AA93"/>
      <c r="AB93"/>
      <c r="AC93"/>
      <c r="AD93">
        <v>0.16700000000000001</v>
      </c>
      <c r="AE93">
        <v>65</v>
      </c>
      <c r="AF93">
        <v>1</v>
      </c>
      <c r="AG93" s="9">
        <v>7.9000000000000001E-2</v>
      </c>
      <c r="AH93" s="9">
        <v>1.33</v>
      </c>
      <c r="AI93" s="9">
        <v>0.56000000000000005</v>
      </c>
      <c r="AJ93" s="9">
        <v>2.7E-2</v>
      </c>
      <c r="AK93" s="9">
        <v>3.4000000000000002E-2</v>
      </c>
      <c r="AL93" s="9">
        <v>18.100000000000001</v>
      </c>
      <c r="AM93" s="9">
        <v>8.2200000000000006</v>
      </c>
      <c r="AN93" s="9">
        <v>0.36</v>
      </c>
    </row>
    <row r="94" spans="1:41" x14ac:dyDescent="0.3">
      <c r="A94">
        <v>6</v>
      </c>
      <c r="B94" t="s">
        <v>1710</v>
      </c>
      <c r="C94">
        <v>7</v>
      </c>
      <c r="D94"/>
      <c r="E94">
        <v>14000</v>
      </c>
      <c r="I94"/>
      <c r="J94"/>
      <c r="K94"/>
      <c r="N94">
        <v>1</v>
      </c>
      <c r="O94">
        <v>0</v>
      </c>
      <c r="P94">
        <v>45</v>
      </c>
      <c r="Q94">
        <v>7</v>
      </c>
      <c r="R94" t="s">
        <v>102</v>
      </c>
      <c r="T94" s="6">
        <f>10^-(14-Q94)</f>
        <v>9.9999999999999995E-8</v>
      </c>
      <c r="U94" s="6">
        <v>0</v>
      </c>
      <c r="V94" s="6">
        <v>0</v>
      </c>
      <c r="W94" s="6">
        <v>0</v>
      </c>
      <c r="X94" s="6">
        <v>0</v>
      </c>
      <c r="Y94" t="s">
        <v>171</v>
      </c>
      <c r="Z94"/>
      <c r="AA94"/>
      <c r="AB94"/>
      <c r="AC94"/>
      <c r="AD94">
        <v>0.55600000000000005</v>
      </c>
      <c r="AE94">
        <v>300</v>
      </c>
      <c r="AF94">
        <v>1</v>
      </c>
      <c r="AG94" s="9">
        <v>3.4000000000000002E-2</v>
      </c>
      <c r="AH94" s="9">
        <v>3.4000000000000002E-2</v>
      </c>
      <c r="AI94" s="9">
        <v>0.13</v>
      </c>
      <c r="AL94" s="9">
        <v>16.45</v>
      </c>
      <c r="AM94" s="9">
        <v>0.11</v>
      </c>
      <c r="AN94" s="9">
        <v>1.97</v>
      </c>
      <c r="AO94" s="9">
        <v>4.4999999999999998E-2</v>
      </c>
    </row>
    <row r="95" spans="1:41" x14ac:dyDescent="0.3">
      <c r="A95">
        <v>6</v>
      </c>
      <c r="B95" t="s">
        <v>1710</v>
      </c>
      <c r="C95">
        <v>7</v>
      </c>
      <c r="D95"/>
      <c r="E95">
        <v>14000</v>
      </c>
      <c r="I95"/>
      <c r="J95"/>
      <c r="K95"/>
      <c r="N95">
        <v>1</v>
      </c>
      <c r="O95">
        <v>0</v>
      </c>
      <c r="P95">
        <v>45</v>
      </c>
      <c r="Q95">
        <v>7</v>
      </c>
      <c r="R95" t="s">
        <v>102</v>
      </c>
      <c r="T95" s="6">
        <f>10^-(14-Q95)</f>
        <v>9.9999999999999995E-8</v>
      </c>
      <c r="U95" s="6">
        <v>0</v>
      </c>
      <c r="V95" s="6">
        <v>0</v>
      </c>
      <c r="W95" s="6">
        <v>0</v>
      </c>
      <c r="X95" s="6">
        <v>0</v>
      </c>
      <c r="Y95" t="s">
        <v>171</v>
      </c>
      <c r="Z95"/>
      <c r="AA95"/>
      <c r="AB95"/>
      <c r="AC95"/>
      <c r="AD95">
        <v>0.55600000000000005</v>
      </c>
      <c r="AE95">
        <v>300</v>
      </c>
      <c r="AF95">
        <v>1</v>
      </c>
      <c r="AG95" s="9">
        <v>3.4000000000000002E-2</v>
      </c>
      <c r="AH95" s="9">
        <v>3.4000000000000002E-2</v>
      </c>
      <c r="AI95" s="9">
        <v>0.13</v>
      </c>
      <c r="AL95" s="9">
        <v>16.45</v>
      </c>
      <c r="AM95" s="9">
        <v>0.11</v>
      </c>
      <c r="AN95" s="9">
        <v>1.97</v>
      </c>
      <c r="AO95" s="9">
        <v>4.4999999999999998E-2</v>
      </c>
    </row>
    <row r="96" spans="1:41" x14ac:dyDescent="0.3">
      <c r="A96">
        <v>6</v>
      </c>
      <c r="B96" t="s">
        <v>1710</v>
      </c>
      <c r="C96">
        <v>7</v>
      </c>
      <c r="D96"/>
      <c r="E96">
        <v>14000</v>
      </c>
      <c r="I96"/>
      <c r="J96"/>
      <c r="K96"/>
      <c r="N96">
        <v>1</v>
      </c>
      <c r="O96">
        <v>0</v>
      </c>
      <c r="P96">
        <v>45</v>
      </c>
      <c r="Q96">
        <v>7</v>
      </c>
      <c r="R96" t="s">
        <v>102</v>
      </c>
      <c r="T96" s="6">
        <f>10^-(14-Q96)</f>
        <v>9.9999999999999995E-8</v>
      </c>
      <c r="U96" s="6">
        <v>0</v>
      </c>
      <c r="V96" s="6">
        <v>0</v>
      </c>
      <c r="W96" s="6">
        <v>0</v>
      </c>
      <c r="X96" s="6">
        <v>0</v>
      </c>
      <c r="Y96" t="s">
        <v>171</v>
      </c>
      <c r="Z96"/>
      <c r="AA96"/>
      <c r="AB96"/>
      <c r="AC96"/>
      <c r="AD96">
        <v>0.55600000000000005</v>
      </c>
      <c r="AE96">
        <v>540</v>
      </c>
      <c r="AF96">
        <v>1</v>
      </c>
      <c r="AG96" s="9">
        <v>3.4000000000000002E-2</v>
      </c>
      <c r="AH96" s="9">
        <v>3.4000000000000002E-2</v>
      </c>
      <c r="AI96" s="9">
        <v>0.13</v>
      </c>
      <c r="AL96" s="9">
        <v>16.45</v>
      </c>
      <c r="AM96" s="9">
        <v>0.11</v>
      </c>
      <c r="AN96" s="9">
        <v>1.97</v>
      </c>
      <c r="AO96" s="9">
        <v>4.4999999999999998E-2</v>
      </c>
    </row>
    <row r="97" spans="1:41" x14ac:dyDescent="0.3">
      <c r="A97">
        <v>6</v>
      </c>
      <c r="B97" t="s">
        <v>1710</v>
      </c>
      <c r="C97">
        <v>7</v>
      </c>
      <c r="D97"/>
      <c r="E97">
        <v>14000</v>
      </c>
      <c r="I97"/>
      <c r="J97"/>
      <c r="K97"/>
      <c r="N97">
        <v>1</v>
      </c>
      <c r="O97">
        <v>0</v>
      </c>
      <c r="P97">
        <v>1</v>
      </c>
      <c r="Q97">
        <v>7</v>
      </c>
      <c r="R97" t="s">
        <v>102</v>
      </c>
      <c r="T97" s="6">
        <f>10^-(14-Q97)</f>
        <v>9.9999999999999995E-8</v>
      </c>
      <c r="U97" s="6">
        <v>0</v>
      </c>
      <c r="V97" s="6">
        <v>0</v>
      </c>
      <c r="W97" s="6">
        <v>0</v>
      </c>
      <c r="X97" s="6">
        <v>0</v>
      </c>
      <c r="Y97" t="s">
        <v>171</v>
      </c>
      <c r="Z97"/>
      <c r="AA97"/>
      <c r="AB97"/>
      <c r="AC97"/>
      <c r="AD97">
        <v>5.5599999999999997E-2</v>
      </c>
      <c r="AG97" s="9">
        <v>2.8000000000000001E-2</v>
      </c>
      <c r="AH97" s="9">
        <v>0.55000000000000004</v>
      </c>
      <c r="AI97" s="9">
        <v>0.22</v>
      </c>
      <c r="AL97" s="9">
        <v>17.61</v>
      </c>
      <c r="AM97" s="9">
        <v>9.0999999999999998E-2</v>
      </c>
      <c r="AN97" s="9">
        <v>3.5000000000000003E-2</v>
      </c>
      <c r="AO97" s="9">
        <v>3.2000000000000001E-2</v>
      </c>
    </row>
    <row r="98" spans="1:41" x14ac:dyDescent="0.3">
      <c r="A98">
        <v>6</v>
      </c>
      <c r="B98" t="s">
        <v>1710</v>
      </c>
      <c r="C98">
        <v>7</v>
      </c>
      <c r="D98"/>
      <c r="E98">
        <v>14000</v>
      </c>
      <c r="I98"/>
      <c r="J98"/>
      <c r="K98"/>
      <c r="N98">
        <v>1</v>
      </c>
      <c r="O98">
        <v>0</v>
      </c>
      <c r="P98">
        <v>25</v>
      </c>
      <c r="Q98">
        <v>7</v>
      </c>
      <c r="R98" t="s">
        <v>102</v>
      </c>
      <c r="T98" s="6">
        <f>10^-(14-Q98)</f>
        <v>9.9999999999999995E-8</v>
      </c>
      <c r="U98" s="6">
        <v>0</v>
      </c>
      <c r="V98" s="6">
        <v>0</v>
      </c>
      <c r="W98" s="6">
        <v>0</v>
      </c>
      <c r="X98" s="6">
        <v>0</v>
      </c>
      <c r="Y98" t="s">
        <v>171</v>
      </c>
      <c r="Z98"/>
      <c r="AA98"/>
      <c r="AB98"/>
      <c r="AC98"/>
      <c r="AD98">
        <v>5.5599999999999997E-2</v>
      </c>
      <c r="AG98" s="9">
        <v>2.8000000000000001E-2</v>
      </c>
      <c r="AH98" s="9">
        <v>0.55000000000000004</v>
      </c>
      <c r="AI98" s="9">
        <v>0.22</v>
      </c>
      <c r="AL98" s="9">
        <v>17.61</v>
      </c>
      <c r="AM98" s="9">
        <v>9.0999999999999998E-2</v>
      </c>
      <c r="AN98" s="9">
        <v>3.5000000000000003E-2</v>
      </c>
      <c r="AO98" s="9">
        <v>3.2000000000000001E-2</v>
      </c>
    </row>
    <row r="99" spans="1:41" x14ac:dyDescent="0.3">
      <c r="A99">
        <v>6</v>
      </c>
      <c r="B99" t="s">
        <v>1710</v>
      </c>
      <c r="C99">
        <v>7</v>
      </c>
      <c r="D99"/>
      <c r="E99">
        <v>14000</v>
      </c>
      <c r="I99"/>
      <c r="J99"/>
      <c r="K99"/>
      <c r="N99">
        <v>1</v>
      </c>
      <c r="O99">
        <v>0</v>
      </c>
      <c r="P99">
        <v>45</v>
      </c>
      <c r="Q99">
        <v>7</v>
      </c>
      <c r="R99" t="s">
        <v>102</v>
      </c>
      <c r="T99" s="6">
        <f>10^-(14-Q99)</f>
        <v>9.9999999999999995E-8</v>
      </c>
      <c r="U99" s="6">
        <v>0</v>
      </c>
      <c r="V99" s="6">
        <v>0</v>
      </c>
      <c r="W99" s="6">
        <v>0</v>
      </c>
      <c r="X99" s="6">
        <v>0</v>
      </c>
      <c r="Y99" t="s">
        <v>171</v>
      </c>
      <c r="Z99"/>
      <c r="AA99"/>
      <c r="AB99"/>
      <c r="AC99"/>
      <c r="AD99">
        <v>5.5599999999999997E-2</v>
      </c>
      <c r="AG99" s="9">
        <v>2.8000000000000001E-2</v>
      </c>
      <c r="AH99" s="9">
        <v>0.55000000000000004</v>
      </c>
      <c r="AI99" s="9">
        <v>0.22</v>
      </c>
      <c r="AL99" s="9">
        <v>17.61</v>
      </c>
      <c r="AM99" s="9">
        <v>9.0999999999999998E-2</v>
      </c>
      <c r="AN99" s="9">
        <v>3.5000000000000003E-2</v>
      </c>
      <c r="AO99" s="9">
        <v>3.2000000000000001E-2</v>
      </c>
    </row>
    <row r="100" spans="1:41" x14ac:dyDescent="0.3">
      <c r="A100">
        <v>6</v>
      </c>
      <c r="B100" t="s">
        <v>1710</v>
      </c>
      <c r="C100">
        <v>7</v>
      </c>
      <c r="D100"/>
      <c r="E100">
        <v>14000</v>
      </c>
      <c r="I100"/>
      <c r="J100"/>
      <c r="K100"/>
      <c r="N100">
        <v>1</v>
      </c>
      <c r="O100">
        <v>0</v>
      </c>
      <c r="P100">
        <v>70</v>
      </c>
      <c r="Q100">
        <v>7</v>
      </c>
      <c r="R100" t="s">
        <v>102</v>
      </c>
      <c r="T100" s="6">
        <f>10^-(14-Q100)</f>
        <v>9.9999999999999995E-8</v>
      </c>
      <c r="U100" s="6">
        <v>0</v>
      </c>
      <c r="V100" s="6">
        <v>0</v>
      </c>
      <c r="W100" s="6">
        <v>0</v>
      </c>
      <c r="X100" s="6">
        <v>0</v>
      </c>
      <c r="Y100" t="s">
        <v>171</v>
      </c>
      <c r="Z100"/>
      <c r="AA100"/>
      <c r="AB100"/>
      <c r="AC100"/>
      <c r="AD100">
        <v>5.5599999999999997E-2</v>
      </c>
      <c r="AG100" s="9">
        <v>2.8000000000000001E-2</v>
      </c>
      <c r="AH100" s="9">
        <v>0.55000000000000004</v>
      </c>
      <c r="AI100" s="9">
        <v>0.22</v>
      </c>
      <c r="AL100" s="9">
        <v>17.61</v>
      </c>
      <c r="AM100" s="9">
        <v>9.0999999999999998E-2</v>
      </c>
      <c r="AN100" s="9">
        <v>3.5000000000000003E-2</v>
      </c>
      <c r="AO100" s="9">
        <v>3.2000000000000001E-2</v>
      </c>
    </row>
    <row r="101" spans="1:41" x14ac:dyDescent="0.3">
      <c r="A101">
        <v>6</v>
      </c>
      <c r="B101" t="s">
        <v>1710</v>
      </c>
      <c r="C101">
        <v>7</v>
      </c>
      <c r="D101"/>
      <c r="E101">
        <v>14000</v>
      </c>
      <c r="I101"/>
      <c r="J101"/>
      <c r="K101"/>
      <c r="N101">
        <v>0</v>
      </c>
      <c r="O101">
        <v>1</v>
      </c>
      <c r="P101">
        <v>1</v>
      </c>
      <c r="Q101">
        <v>7</v>
      </c>
      <c r="R101" t="s">
        <v>102</v>
      </c>
      <c r="T101" s="6">
        <f>10^-(14-Q101)</f>
        <v>9.9999999999999995E-8</v>
      </c>
      <c r="U101" s="6">
        <v>0</v>
      </c>
      <c r="V101" s="6">
        <v>0</v>
      </c>
      <c r="W101" s="6">
        <v>0</v>
      </c>
      <c r="X101" s="6">
        <v>0</v>
      </c>
      <c r="Y101" t="s">
        <v>171</v>
      </c>
      <c r="Z101"/>
      <c r="AA101"/>
      <c r="AB101"/>
      <c r="AC101"/>
      <c r="AD101">
        <v>5.5599999999999997E-2</v>
      </c>
      <c r="AG101" s="9">
        <v>2.8000000000000001E-2</v>
      </c>
      <c r="AH101" s="9">
        <v>0.55000000000000004</v>
      </c>
      <c r="AI101" s="9">
        <v>0.22</v>
      </c>
      <c r="AL101" s="9">
        <v>17.61</v>
      </c>
      <c r="AM101" s="9">
        <v>9.0999999999999998E-2</v>
      </c>
      <c r="AN101" s="9">
        <v>3.5000000000000003E-2</v>
      </c>
      <c r="AO101" s="9">
        <v>3.2000000000000001E-2</v>
      </c>
    </row>
    <row r="102" spans="1:41" x14ac:dyDescent="0.3">
      <c r="A102">
        <v>6</v>
      </c>
      <c r="B102" t="s">
        <v>1710</v>
      </c>
      <c r="C102">
        <v>7</v>
      </c>
      <c r="D102"/>
      <c r="E102">
        <v>14000</v>
      </c>
      <c r="I102"/>
      <c r="J102"/>
      <c r="K102"/>
      <c r="N102">
        <v>0</v>
      </c>
      <c r="O102">
        <v>1</v>
      </c>
      <c r="P102">
        <v>25</v>
      </c>
      <c r="Q102">
        <v>7</v>
      </c>
      <c r="R102" t="s">
        <v>102</v>
      </c>
      <c r="T102" s="6">
        <f>10^-(14-Q102)</f>
        <v>9.9999999999999995E-8</v>
      </c>
      <c r="U102" s="6">
        <v>0</v>
      </c>
      <c r="V102" s="6">
        <v>0</v>
      </c>
      <c r="W102" s="6">
        <v>0</v>
      </c>
      <c r="X102" s="6">
        <v>0</v>
      </c>
      <c r="Y102" t="s">
        <v>171</v>
      </c>
      <c r="Z102"/>
      <c r="AA102"/>
      <c r="AB102"/>
      <c r="AC102"/>
      <c r="AD102">
        <v>5.5599999999999997E-2</v>
      </c>
      <c r="AG102" s="9">
        <v>2.8000000000000001E-2</v>
      </c>
      <c r="AH102" s="9">
        <v>0.55000000000000004</v>
      </c>
      <c r="AI102" s="9">
        <v>0.22</v>
      </c>
      <c r="AL102" s="9">
        <v>17.61</v>
      </c>
      <c r="AM102" s="9">
        <v>9.0999999999999998E-2</v>
      </c>
      <c r="AN102" s="9">
        <v>3.5000000000000003E-2</v>
      </c>
      <c r="AO102" s="9">
        <v>3.2000000000000001E-2</v>
      </c>
    </row>
    <row r="103" spans="1:41" x14ac:dyDescent="0.3">
      <c r="A103">
        <v>6</v>
      </c>
      <c r="B103" t="s">
        <v>1710</v>
      </c>
      <c r="C103">
        <v>7</v>
      </c>
      <c r="D103"/>
      <c r="E103">
        <v>14000</v>
      </c>
      <c r="I103"/>
      <c r="J103"/>
      <c r="K103"/>
      <c r="N103">
        <v>0</v>
      </c>
      <c r="O103">
        <v>1</v>
      </c>
      <c r="P103">
        <v>45</v>
      </c>
      <c r="Q103">
        <v>7</v>
      </c>
      <c r="R103" t="s">
        <v>102</v>
      </c>
      <c r="T103" s="6">
        <f>10^-(14-Q103)</f>
        <v>9.9999999999999995E-8</v>
      </c>
      <c r="U103" s="6">
        <v>0</v>
      </c>
      <c r="V103" s="6">
        <v>0</v>
      </c>
      <c r="W103" s="6">
        <v>0</v>
      </c>
      <c r="X103" s="6">
        <v>0</v>
      </c>
      <c r="Y103" t="s">
        <v>171</v>
      </c>
      <c r="Z103"/>
      <c r="AA103"/>
      <c r="AB103"/>
      <c r="AC103"/>
      <c r="AD103">
        <v>5.5599999999999997E-2</v>
      </c>
      <c r="AG103" s="9">
        <v>2.8000000000000001E-2</v>
      </c>
      <c r="AH103" s="9">
        <v>0.55000000000000004</v>
      </c>
      <c r="AI103" s="9">
        <v>0.22</v>
      </c>
      <c r="AL103" s="9">
        <v>17.61</v>
      </c>
      <c r="AM103" s="9">
        <v>9.0999999999999998E-2</v>
      </c>
      <c r="AN103" s="9">
        <v>3.5000000000000003E-2</v>
      </c>
      <c r="AO103" s="9">
        <v>3.2000000000000001E-2</v>
      </c>
    </row>
    <row r="104" spans="1:41" x14ac:dyDescent="0.3">
      <c r="A104">
        <v>47</v>
      </c>
      <c r="B104" t="s">
        <v>1668</v>
      </c>
      <c r="C104">
        <v>8</v>
      </c>
      <c r="D104"/>
      <c r="I104">
        <v>-0.2</v>
      </c>
      <c r="J104">
        <v>0.5</v>
      </c>
      <c r="K104"/>
      <c r="N104">
        <v>1.7111655261748435E-2</v>
      </c>
      <c r="O104" s="3">
        <v>0</v>
      </c>
      <c r="Q104">
        <v>5</v>
      </c>
      <c r="R104" t="s">
        <v>102</v>
      </c>
      <c r="T104" s="6">
        <f>10^-(14-Q104)</f>
        <v>1.0000000000000001E-9</v>
      </c>
      <c r="U104" s="6">
        <v>0</v>
      </c>
      <c r="V104" s="6">
        <v>0</v>
      </c>
      <c r="W104" s="6">
        <v>0</v>
      </c>
      <c r="X104" s="6">
        <v>0</v>
      </c>
      <c r="Y104" t="s">
        <v>171</v>
      </c>
      <c r="Z104"/>
      <c r="AA104"/>
      <c r="AB104"/>
      <c r="AC104"/>
      <c r="AD104">
        <v>0.19400000000000001</v>
      </c>
      <c r="AE104">
        <v>334.86</v>
      </c>
      <c r="AF104">
        <v>1</v>
      </c>
      <c r="AG104" s="9">
        <v>3.7999999999999999E-2</v>
      </c>
      <c r="AH104" s="9">
        <v>17.8</v>
      </c>
      <c r="AI104" s="9">
        <v>0.28999999999999998</v>
      </c>
      <c r="AJ104" s="9">
        <v>8.9999999999999993E-3</v>
      </c>
      <c r="AK104" s="9">
        <v>1.2E-2</v>
      </c>
      <c r="AL104" s="9">
        <v>17.829999999999998</v>
      </c>
      <c r="AM104" s="9">
        <v>0.08</v>
      </c>
      <c r="AN104" s="9">
        <v>0</v>
      </c>
      <c r="AO104" s="9">
        <v>0.52</v>
      </c>
    </row>
    <row r="105" spans="1:41" x14ac:dyDescent="0.3">
      <c r="A105">
        <v>47</v>
      </c>
      <c r="B105" t="s">
        <v>1668</v>
      </c>
      <c r="C105">
        <v>8</v>
      </c>
      <c r="D105"/>
      <c r="I105">
        <v>-0.2</v>
      </c>
      <c r="J105">
        <v>0.5</v>
      </c>
      <c r="K105"/>
      <c r="N105">
        <v>1.7111655261748435E-2</v>
      </c>
      <c r="O105" s="3">
        <v>0</v>
      </c>
      <c r="Q105">
        <v>5</v>
      </c>
      <c r="R105" t="s">
        <v>102</v>
      </c>
      <c r="T105" s="6">
        <f>10^-(14-Q105)</f>
        <v>1.0000000000000001E-9</v>
      </c>
      <c r="U105" s="6">
        <v>0</v>
      </c>
      <c r="V105" s="6">
        <v>0</v>
      </c>
      <c r="W105" s="6">
        <v>0</v>
      </c>
      <c r="X105" s="6">
        <v>0</v>
      </c>
      <c r="Y105" t="s">
        <v>171</v>
      </c>
      <c r="Z105"/>
      <c r="AA105"/>
      <c r="AB105"/>
      <c r="AC105"/>
      <c r="AD105">
        <v>0.19400000000000001</v>
      </c>
      <c r="AE105">
        <v>49.87</v>
      </c>
      <c r="AF105">
        <v>1</v>
      </c>
      <c r="AG105" s="9">
        <v>2.5999999999999999E-2</v>
      </c>
      <c r="AH105" s="9">
        <v>18.2</v>
      </c>
      <c r="AI105" s="9">
        <v>0.32</v>
      </c>
      <c r="AJ105" s="9">
        <v>6.0000000000000001E-3</v>
      </c>
      <c r="AK105" s="9">
        <v>1.4E-2</v>
      </c>
      <c r="AL105" s="9">
        <v>17.88</v>
      </c>
      <c r="AM105" s="9">
        <v>7.0000000000000007E-2</v>
      </c>
      <c r="AN105" s="9">
        <v>0</v>
      </c>
      <c r="AO105" s="9">
        <v>0.1</v>
      </c>
    </row>
    <row r="106" spans="1:41" x14ac:dyDescent="0.3">
      <c r="A106">
        <v>47</v>
      </c>
      <c r="B106" t="s">
        <v>1668</v>
      </c>
      <c r="C106">
        <v>8</v>
      </c>
      <c r="D106"/>
      <c r="I106">
        <v>-0.2</v>
      </c>
      <c r="J106">
        <v>0.5</v>
      </c>
      <c r="K106"/>
      <c r="N106">
        <v>1.7111655261748435E-2</v>
      </c>
      <c r="O106" s="3">
        <v>0</v>
      </c>
      <c r="Q106">
        <v>5</v>
      </c>
      <c r="R106" t="s">
        <v>102</v>
      </c>
      <c r="T106" s="6">
        <f>10^-(14-Q106)</f>
        <v>1.0000000000000001E-9</v>
      </c>
      <c r="U106" s="6">
        <v>0</v>
      </c>
      <c r="V106" s="6">
        <v>0</v>
      </c>
      <c r="W106" s="6">
        <v>0</v>
      </c>
      <c r="X106" s="6">
        <v>0</v>
      </c>
      <c r="Y106" t="s">
        <v>171</v>
      </c>
      <c r="Z106"/>
      <c r="AA106"/>
      <c r="AB106"/>
      <c r="AC106"/>
      <c r="AD106">
        <v>0.19400000000000001</v>
      </c>
      <c r="AE106">
        <v>107.73</v>
      </c>
      <c r="AF106">
        <v>1</v>
      </c>
      <c r="AG106" s="9">
        <v>2.7E-2</v>
      </c>
      <c r="AH106" s="9">
        <v>18.14</v>
      </c>
      <c r="AI106" s="9">
        <v>0.38</v>
      </c>
      <c r="AJ106" s="9">
        <v>6.0000000000000001E-3</v>
      </c>
      <c r="AK106" s="9">
        <v>1.7000000000000001E-2</v>
      </c>
      <c r="AL106" s="9">
        <v>17.88</v>
      </c>
      <c r="AM106" s="9">
        <v>7.0000000000000007E-2</v>
      </c>
      <c r="AN106" s="9">
        <v>0</v>
      </c>
      <c r="AO106" s="9">
        <v>0.18</v>
      </c>
    </row>
    <row r="107" spans="1:41" x14ac:dyDescent="0.3">
      <c r="A107">
        <v>47</v>
      </c>
      <c r="B107" t="s">
        <v>1668</v>
      </c>
      <c r="C107">
        <v>8</v>
      </c>
      <c r="D107"/>
      <c r="I107">
        <v>-0.2</v>
      </c>
      <c r="J107">
        <v>0.5</v>
      </c>
      <c r="K107"/>
      <c r="N107">
        <v>1.7111655261748435E-2</v>
      </c>
      <c r="O107" s="3">
        <v>0</v>
      </c>
      <c r="Q107">
        <v>5</v>
      </c>
      <c r="R107" t="s">
        <v>102</v>
      </c>
      <c r="T107" s="6">
        <f>10^-(14-Q107)</f>
        <v>1.0000000000000001E-9</v>
      </c>
      <c r="U107" s="6">
        <v>0</v>
      </c>
      <c r="V107" s="6">
        <v>0</v>
      </c>
      <c r="W107" s="6">
        <v>0</v>
      </c>
      <c r="X107" s="6">
        <v>0</v>
      </c>
      <c r="Y107" t="s">
        <v>171</v>
      </c>
      <c r="Z107"/>
      <c r="AA107"/>
      <c r="AB107"/>
      <c r="AC107"/>
      <c r="AD107">
        <v>0.19400000000000001</v>
      </c>
      <c r="AE107">
        <v>265.77</v>
      </c>
      <c r="AF107">
        <v>1</v>
      </c>
      <c r="AG107" s="9">
        <v>0.03</v>
      </c>
      <c r="AH107" s="9">
        <v>18.2</v>
      </c>
      <c r="AI107" s="9">
        <v>0.37</v>
      </c>
      <c r="AJ107" s="9">
        <v>8.9999999999999993E-3</v>
      </c>
      <c r="AK107" s="9">
        <v>0.01</v>
      </c>
      <c r="AL107" s="9">
        <v>17.88</v>
      </c>
      <c r="AM107" s="9">
        <v>0.08</v>
      </c>
      <c r="AN107" s="9">
        <v>0</v>
      </c>
      <c r="AO107" s="9">
        <v>0.33</v>
      </c>
    </row>
    <row r="108" spans="1:41" x14ac:dyDescent="0.3">
      <c r="A108">
        <v>47</v>
      </c>
      <c r="B108" t="s">
        <v>1668</v>
      </c>
      <c r="C108">
        <v>8</v>
      </c>
      <c r="D108"/>
      <c r="I108">
        <v>-0.2</v>
      </c>
      <c r="J108">
        <v>0.5</v>
      </c>
      <c r="K108"/>
      <c r="N108">
        <v>1.7111655261748435E-2</v>
      </c>
      <c r="O108" s="3">
        <v>0</v>
      </c>
      <c r="Q108">
        <v>5</v>
      </c>
      <c r="R108" t="s">
        <v>102</v>
      </c>
      <c r="T108" s="6">
        <f>10^-(14-Q108)</f>
        <v>1.0000000000000001E-9</v>
      </c>
      <c r="U108" s="6">
        <v>0</v>
      </c>
      <c r="V108" s="6">
        <v>0</v>
      </c>
      <c r="W108" s="6">
        <v>0</v>
      </c>
      <c r="X108" s="6">
        <v>0</v>
      </c>
      <c r="Y108" t="s">
        <v>171</v>
      </c>
      <c r="Z108"/>
      <c r="AA108"/>
      <c r="AB108"/>
      <c r="AC108"/>
      <c r="AD108">
        <v>0.19400000000000001</v>
      </c>
      <c r="AE108">
        <v>26.83</v>
      </c>
      <c r="AF108">
        <v>1</v>
      </c>
      <c r="AG108" s="9">
        <v>2.1999999999999999E-2</v>
      </c>
      <c r="AH108" s="9">
        <v>18.25</v>
      </c>
      <c r="AI108" s="9">
        <v>0.34</v>
      </c>
      <c r="AJ108" s="9">
        <v>1.2E-2</v>
      </c>
      <c r="AK108" s="9">
        <v>1.0999999999999999E-2</v>
      </c>
      <c r="AL108" s="9">
        <v>17.95</v>
      </c>
      <c r="AM108" s="9">
        <v>7.0000000000000007E-2</v>
      </c>
      <c r="AN108" s="9">
        <v>0</v>
      </c>
      <c r="AO108" s="9">
        <v>0.03</v>
      </c>
    </row>
    <row r="109" spans="1:41" x14ac:dyDescent="0.3">
      <c r="A109">
        <v>47</v>
      </c>
      <c r="B109" t="s">
        <v>1668</v>
      </c>
      <c r="C109">
        <v>8</v>
      </c>
      <c r="D109"/>
      <c r="I109">
        <v>-0.2</v>
      </c>
      <c r="J109">
        <v>0.5</v>
      </c>
      <c r="K109"/>
      <c r="N109">
        <v>1.7111655261748435E-2</v>
      </c>
      <c r="O109" s="3">
        <v>0</v>
      </c>
      <c r="Q109">
        <v>5</v>
      </c>
      <c r="R109" t="s">
        <v>102</v>
      </c>
      <c r="T109" s="6">
        <f>10^-(14-Q109)</f>
        <v>1.0000000000000001E-9</v>
      </c>
      <c r="U109" s="6">
        <v>0</v>
      </c>
      <c r="V109" s="6">
        <v>0</v>
      </c>
      <c r="W109" s="6">
        <v>0</v>
      </c>
      <c r="X109" s="6">
        <v>0</v>
      </c>
      <c r="Y109" t="s">
        <v>171</v>
      </c>
      <c r="Z109"/>
      <c r="AA109"/>
      <c r="AB109"/>
      <c r="AC109"/>
      <c r="AD109">
        <v>0.19400000000000001</v>
      </c>
      <c r="AE109">
        <v>306.39</v>
      </c>
      <c r="AF109">
        <v>1</v>
      </c>
      <c r="AG109" s="9">
        <v>3.2000000000000001E-2</v>
      </c>
      <c r="AH109" s="9">
        <v>18</v>
      </c>
      <c r="AI109" s="9">
        <v>0.37</v>
      </c>
      <c r="AJ109" s="9">
        <v>1.0999999999999999E-2</v>
      </c>
      <c r="AK109" s="9">
        <v>8.9999999999999993E-3</v>
      </c>
      <c r="AL109" s="9">
        <v>18.100000000000001</v>
      </c>
      <c r="AM109" s="9">
        <v>0.08</v>
      </c>
      <c r="AN109" s="9">
        <v>0</v>
      </c>
      <c r="AO109" s="9">
        <v>0.4</v>
      </c>
    </row>
    <row r="110" spans="1:41" x14ac:dyDescent="0.3">
      <c r="A110">
        <v>47</v>
      </c>
      <c r="B110" t="s">
        <v>1668</v>
      </c>
      <c r="C110">
        <v>8</v>
      </c>
      <c r="D110"/>
      <c r="I110">
        <v>-0.2</v>
      </c>
      <c r="J110">
        <v>0.5</v>
      </c>
      <c r="K110"/>
      <c r="N110">
        <v>1.7111655261748435E-2</v>
      </c>
      <c r="O110" s="3">
        <v>0</v>
      </c>
      <c r="Q110">
        <v>5</v>
      </c>
      <c r="R110" t="s">
        <v>102</v>
      </c>
      <c r="T110" s="6">
        <f>10^-(14-Q110)</f>
        <v>1.0000000000000001E-9</v>
      </c>
      <c r="U110" s="6">
        <v>0</v>
      </c>
      <c r="V110" s="6">
        <v>0</v>
      </c>
      <c r="W110" s="6">
        <v>0</v>
      </c>
      <c r="X110" s="6">
        <v>0</v>
      </c>
      <c r="Y110" t="s">
        <v>171</v>
      </c>
      <c r="Z110"/>
      <c r="AA110"/>
      <c r="AB110"/>
      <c r="AC110"/>
      <c r="AD110">
        <v>0.19400000000000001</v>
      </c>
      <c r="AE110">
        <v>398.91</v>
      </c>
      <c r="AF110">
        <v>1</v>
      </c>
      <c r="AG110" s="9">
        <v>3.6999999999999998E-2</v>
      </c>
      <c r="AH110" s="9">
        <v>18.25</v>
      </c>
      <c r="AI110" s="9">
        <v>0.4</v>
      </c>
      <c r="AJ110" s="9">
        <v>8.0000000000000002E-3</v>
      </c>
      <c r="AK110" s="9">
        <v>1.2999999999999999E-2</v>
      </c>
      <c r="AL110" s="9">
        <v>18.25</v>
      </c>
      <c r="AM110" s="9">
        <v>7.0000000000000007E-2</v>
      </c>
      <c r="AN110" s="9">
        <v>0</v>
      </c>
      <c r="AO110" s="9">
        <v>0.69</v>
      </c>
    </row>
    <row r="111" spans="1:41" x14ac:dyDescent="0.3">
      <c r="A111">
        <v>84</v>
      </c>
      <c r="B111" t="s">
        <v>1687</v>
      </c>
      <c r="C111">
        <v>9</v>
      </c>
      <c r="D111" t="s">
        <v>1689</v>
      </c>
      <c r="I111"/>
      <c r="J111"/>
      <c r="K111"/>
      <c r="L111" t="s">
        <v>172</v>
      </c>
      <c r="N111">
        <v>9.9999999999999995E-7</v>
      </c>
      <c r="O111">
        <v>0</v>
      </c>
      <c r="P111">
        <v>30</v>
      </c>
      <c r="Q111">
        <v>0</v>
      </c>
      <c r="T111" s="6">
        <f>10^-(14-Q111)</f>
        <v>1E-14</v>
      </c>
      <c r="U111" s="6">
        <v>1</v>
      </c>
      <c r="V111" s="6">
        <v>0</v>
      </c>
      <c r="W111" s="6">
        <v>0</v>
      </c>
      <c r="X111" s="6">
        <v>0</v>
      </c>
      <c r="Y111" t="s">
        <v>171</v>
      </c>
      <c r="Z111"/>
      <c r="AA111"/>
      <c r="AB111"/>
      <c r="AC111"/>
      <c r="AD111">
        <v>0.16600000000000001</v>
      </c>
      <c r="AE111">
        <v>600</v>
      </c>
      <c r="AF111">
        <v>1</v>
      </c>
      <c r="AG111" s="9">
        <v>7.0000000000000007E-2</v>
      </c>
      <c r="AL111" s="9">
        <v>17</v>
      </c>
      <c r="AM111" s="9">
        <v>0</v>
      </c>
      <c r="AN111" s="9">
        <v>0</v>
      </c>
    </row>
    <row r="112" spans="1:41" x14ac:dyDescent="0.3">
      <c r="A112">
        <v>84</v>
      </c>
      <c r="B112" t="s">
        <v>1687</v>
      </c>
      <c r="C112">
        <v>9</v>
      </c>
      <c r="D112" t="s">
        <v>1688</v>
      </c>
      <c r="I112"/>
      <c r="J112"/>
      <c r="K112"/>
      <c r="L112" t="s">
        <v>172</v>
      </c>
      <c r="N112">
        <v>9.9999999999999995E-7</v>
      </c>
      <c r="O112">
        <v>0</v>
      </c>
      <c r="P112">
        <v>30</v>
      </c>
      <c r="Q112">
        <v>0</v>
      </c>
      <c r="T112" s="6">
        <f>10^-(14-Q112)</f>
        <v>1E-14</v>
      </c>
      <c r="U112" s="6">
        <v>1</v>
      </c>
      <c r="V112" s="6">
        <v>0</v>
      </c>
      <c r="W112" s="6">
        <v>0</v>
      </c>
      <c r="X112" s="6">
        <v>0</v>
      </c>
      <c r="Y112" t="s">
        <v>171</v>
      </c>
      <c r="Z112"/>
      <c r="AA112"/>
      <c r="AB112"/>
      <c r="AC112"/>
      <c r="AD112">
        <v>0.16600000000000001</v>
      </c>
      <c r="AE112">
        <v>850</v>
      </c>
      <c r="AF112">
        <v>1</v>
      </c>
      <c r="AG112" s="9">
        <v>7.0000000000000007E-2</v>
      </c>
      <c r="AL112" s="9">
        <v>18</v>
      </c>
      <c r="AM112" s="9">
        <v>10</v>
      </c>
      <c r="AN112" s="9">
        <v>0</v>
      </c>
    </row>
    <row r="113" spans="1:40" x14ac:dyDescent="0.3">
      <c r="A113">
        <v>84</v>
      </c>
      <c r="B113" t="s">
        <v>1687</v>
      </c>
      <c r="C113">
        <v>9</v>
      </c>
      <c r="D113" t="s">
        <v>1690</v>
      </c>
      <c r="I113"/>
      <c r="J113"/>
      <c r="K113"/>
      <c r="L113" t="s">
        <v>172</v>
      </c>
      <c r="N113">
        <v>9.9999999999999995E-7</v>
      </c>
      <c r="O113">
        <v>0</v>
      </c>
      <c r="P113">
        <v>30</v>
      </c>
      <c r="Q113">
        <v>0</v>
      </c>
      <c r="T113" s="6">
        <f>10^-(14-Q113)</f>
        <v>1E-14</v>
      </c>
      <c r="U113" s="6">
        <v>1</v>
      </c>
      <c r="V113" s="6">
        <v>0</v>
      </c>
      <c r="W113" s="6">
        <v>0</v>
      </c>
      <c r="X113" s="6">
        <v>0</v>
      </c>
      <c r="Y113" t="s">
        <v>171</v>
      </c>
      <c r="Z113"/>
      <c r="AA113"/>
      <c r="AB113"/>
      <c r="AC113"/>
      <c r="AD113">
        <v>0.16600000000000001</v>
      </c>
      <c r="AE113">
        <v>815</v>
      </c>
      <c r="AF113">
        <v>1</v>
      </c>
      <c r="AG113" s="9">
        <v>7.0000000000000007E-2</v>
      </c>
      <c r="AL113" s="9">
        <v>18</v>
      </c>
      <c r="AM113" s="9">
        <v>10</v>
      </c>
      <c r="AN113" s="9">
        <v>3</v>
      </c>
    </row>
    <row r="114" spans="1:40" x14ac:dyDescent="0.3">
      <c r="A114">
        <v>84</v>
      </c>
      <c r="B114" t="s">
        <v>1687</v>
      </c>
      <c r="C114">
        <v>9</v>
      </c>
      <c r="D114" t="s">
        <v>1688</v>
      </c>
      <c r="I114"/>
      <c r="J114"/>
      <c r="K114"/>
      <c r="L114" t="s">
        <v>172</v>
      </c>
      <c r="N114">
        <v>9.9999999999999995E-7</v>
      </c>
      <c r="O114">
        <v>0</v>
      </c>
      <c r="P114">
        <v>30</v>
      </c>
      <c r="Q114">
        <v>0</v>
      </c>
      <c r="T114" s="6">
        <f>10^-(14-Q114)</f>
        <v>1E-14</v>
      </c>
      <c r="U114" s="6">
        <v>1</v>
      </c>
      <c r="V114" s="6">
        <v>0</v>
      </c>
      <c r="W114" s="6">
        <v>0</v>
      </c>
      <c r="X114" s="6">
        <v>0</v>
      </c>
      <c r="Y114" t="s">
        <v>171</v>
      </c>
      <c r="Z114"/>
      <c r="AA114"/>
      <c r="AB114"/>
      <c r="AC114"/>
      <c r="AD114">
        <v>0.16600000000000001</v>
      </c>
      <c r="AE114">
        <v>800</v>
      </c>
      <c r="AF114">
        <v>1</v>
      </c>
      <c r="AG114" s="9">
        <v>7.0000000000000007E-2</v>
      </c>
      <c r="AL114" s="9">
        <v>18</v>
      </c>
      <c r="AM114" s="9">
        <v>10</v>
      </c>
      <c r="AN114" s="9">
        <v>0</v>
      </c>
    </row>
    <row r="115" spans="1:40" x14ac:dyDescent="0.3">
      <c r="A115">
        <v>84</v>
      </c>
      <c r="B115" t="s">
        <v>1687</v>
      </c>
      <c r="C115">
        <v>9</v>
      </c>
      <c r="D115" t="s">
        <v>1690</v>
      </c>
      <c r="I115"/>
      <c r="J115"/>
      <c r="K115"/>
      <c r="L115" t="s">
        <v>172</v>
      </c>
      <c r="N115">
        <v>9.9999999999999995E-7</v>
      </c>
      <c r="O115">
        <v>0</v>
      </c>
      <c r="P115">
        <v>30</v>
      </c>
      <c r="Q115">
        <v>0</v>
      </c>
      <c r="T115" s="6">
        <f>10^-(14-Q115)</f>
        <v>1E-14</v>
      </c>
      <c r="U115" s="6">
        <v>1</v>
      </c>
      <c r="V115" s="6">
        <v>0</v>
      </c>
      <c r="W115" s="6">
        <v>0</v>
      </c>
      <c r="X115" s="6">
        <v>0</v>
      </c>
      <c r="Y115" t="s">
        <v>171</v>
      </c>
      <c r="Z115"/>
      <c r="AA115"/>
      <c r="AB115"/>
      <c r="AC115"/>
      <c r="AD115">
        <v>0.16600000000000001</v>
      </c>
      <c r="AE115">
        <v>870</v>
      </c>
      <c r="AF115">
        <v>1</v>
      </c>
      <c r="AG115" s="9">
        <v>7.0000000000000007E-2</v>
      </c>
      <c r="AL115" s="9">
        <v>18</v>
      </c>
      <c r="AM115" s="9">
        <v>10</v>
      </c>
      <c r="AN115" s="9">
        <v>3</v>
      </c>
    </row>
    <row r="116" spans="1:40" x14ac:dyDescent="0.3">
      <c r="A116">
        <v>84</v>
      </c>
      <c r="B116" t="s">
        <v>1687</v>
      </c>
      <c r="C116">
        <v>9</v>
      </c>
      <c r="D116" t="s">
        <v>1690</v>
      </c>
      <c r="I116"/>
      <c r="J116"/>
      <c r="K116"/>
      <c r="L116" t="s">
        <v>172</v>
      </c>
      <c r="N116">
        <v>9.9999999999999995E-7</v>
      </c>
      <c r="O116">
        <v>0</v>
      </c>
      <c r="P116">
        <v>30</v>
      </c>
      <c r="Q116">
        <v>0</v>
      </c>
      <c r="T116" s="6">
        <f>10^-(14-Q116)</f>
        <v>1E-14</v>
      </c>
      <c r="U116" s="6">
        <v>1</v>
      </c>
      <c r="V116" s="6">
        <v>0</v>
      </c>
      <c r="W116" s="6">
        <v>0</v>
      </c>
      <c r="X116" s="6">
        <v>0</v>
      </c>
      <c r="Y116" t="s">
        <v>171</v>
      </c>
      <c r="Z116"/>
      <c r="AA116"/>
      <c r="AB116"/>
      <c r="AC116"/>
      <c r="AD116">
        <v>0.16600000000000001</v>
      </c>
      <c r="AE116">
        <v>880</v>
      </c>
      <c r="AF116">
        <v>1</v>
      </c>
      <c r="AG116" s="9">
        <v>3.5000000000000003E-2</v>
      </c>
      <c r="AL116" s="9">
        <v>18</v>
      </c>
      <c r="AM116" s="9">
        <v>10</v>
      </c>
      <c r="AN116" s="9">
        <v>3</v>
      </c>
    </row>
    <row r="117" spans="1:40" x14ac:dyDescent="0.3">
      <c r="A117">
        <v>84</v>
      </c>
      <c r="B117" t="s">
        <v>1687</v>
      </c>
      <c r="C117">
        <v>9</v>
      </c>
      <c r="D117" t="s">
        <v>1692</v>
      </c>
      <c r="I117"/>
      <c r="J117"/>
      <c r="K117"/>
      <c r="L117" t="s">
        <v>172</v>
      </c>
      <c r="N117">
        <v>9.9999999999999995E-7</v>
      </c>
      <c r="O117">
        <v>0</v>
      </c>
      <c r="P117">
        <v>30</v>
      </c>
      <c r="Q117">
        <v>0</v>
      </c>
      <c r="T117" s="6">
        <f>10^-(14-Q117)</f>
        <v>1E-14</v>
      </c>
      <c r="U117" s="6">
        <v>1</v>
      </c>
      <c r="V117" s="6">
        <v>0</v>
      </c>
      <c r="W117" s="6">
        <v>0</v>
      </c>
      <c r="X117" s="6">
        <v>0</v>
      </c>
      <c r="Y117" t="s">
        <v>171</v>
      </c>
      <c r="Z117"/>
      <c r="AA117"/>
      <c r="AB117"/>
      <c r="AC117"/>
      <c r="AD117">
        <v>0.16600000000000001</v>
      </c>
      <c r="AE117">
        <v>810</v>
      </c>
      <c r="AF117">
        <v>1</v>
      </c>
      <c r="AG117" s="9">
        <v>7.0000000000000007E-2</v>
      </c>
      <c r="AL117" s="9">
        <v>18</v>
      </c>
      <c r="AM117" s="9">
        <v>10</v>
      </c>
      <c r="AN117" s="9">
        <v>3</v>
      </c>
    </row>
    <row r="118" spans="1:40" x14ac:dyDescent="0.3">
      <c r="A118">
        <v>84</v>
      </c>
      <c r="B118" t="s">
        <v>1687</v>
      </c>
      <c r="C118">
        <v>9</v>
      </c>
      <c r="D118" t="s">
        <v>1688</v>
      </c>
      <c r="I118"/>
      <c r="J118"/>
      <c r="K118"/>
      <c r="L118" t="s">
        <v>172</v>
      </c>
      <c r="N118">
        <v>0.53</v>
      </c>
      <c r="O118">
        <v>0</v>
      </c>
      <c r="P118">
        <v>30</v>
      </c>
      <c r="R118" t="s">
        <v>102</v>
      </c>
      <c r="T118" s="6">
        <f>10^-(14-Q118)</f>
        <v>1E-14</v>
      </c>
      <c r="U118" s="6">
        <v>0</v>
      </c>
      <c r="V118" s="6">
        <v>0</v>
      </c>
      <c r="W118" s="6">
        <v>0</v>
      </c>
      <c r="X118" s="6">
        <v>0</v>
      </c>
      <c r="Y118" t="s">
        <v>171</v>
      </c>
      <c r="Z118"/>
      <c r="AA118"/>
      <c r="AB118"/>
      <c r="AC118"/>
      <c r="AD118">
        <v>0.16600000000000001</v>
      </c>
      <c r="AE118">
        <v>-50</v>
      </c>
      <c r="AF118">
        <v>1</v>
      </c>
      <c r="AL118" s="9">
        <v>18</v>
      </c>
      <c r="AM118" s="9">
        <v>10</v>
      </c>
      <c r="AN118" s="9">
        <v>0</v>
      </c>
    </row>
    <row r="119" spans="1:40" x14ac:dyDescent="0.3">
      <c r="A119">
        <v>84</v>
      </c>
      <c r="B119" t="s">
        <v>1687</v>
      </c>
      <c r="C119">
        <v>9</v>
      </c>
      <c r="D119" t="s">
        <v>1690</v>
      </c>
      <c r="I119"/>
      <c r="J119"/>
      <c r="K119"/>
      <c r="L119" t="s">
        <v>172</v>
      </c>
      <c r="N119">
        <v>0.53</v>
      </c>
      <c r="O119">
        <v>0</v>
      </c>
      <c r="P119">
        <v>30</v>
      </c>
      <c r="R119" t="s">
        <v>102</v>
      </c>
      <c r="T119" s="6">
        <f>10^-(14-Q119)</f>
        <v>1E-14</v>
      </c>
      <c r="U119" s="6">
        <v>0</v>
      </c>
      <c r="V119" s="6">
        <v>0</v>
      </c>
      <c r="W119" s="6">
        <v>0</v>
      </c>
      <c r="X119" s="6">
        <v>0</v>
      </c>
      <c r="Y119" t="s">
        <v>171</v>
      </c>
      <c r="Z119"/>
      <c r="AA119"/>
      <c r="AB119"/>
      <c r="AC119"/>
      <c r="AD119">
        <v>0.16600000000000001</v>
      </c>
      <c r="AE119">
        <v>200</v>
      </c>
      <c r="AF119">
        <v>1</v>
      </c>
      <c r="AL119" s="9">
        <v>18</v>
      </c>
      <c r="AM119" s="9">
        <v>10</v>
      </c>
      <c r="AN119" s="9">
        <v>3</v>
      </c>
    </row>
    <row r="120" spans="1:40" x14ac:dyDescent="0.3">
      <c r="A120">
        <v>84</v>
      </c>
      <c r="B120" t="s">
        <v>1687</v>
      </c>
      <c r="C120">
        <v>9</v>
      </c>
      <c r="D120" t="s">
        <v>1691</v>
      </c>
      <c r="I120"/>
      <c r="J120"/>
      <c r="K120"/>
      <c r="L120" t="s">
        <v>172</v>
      </c>
      <c r="N120">
        <v>9.9999999999999995E-7</v>
      </c>
      <c r="O120">
        <v>0</v>
      </c>
      <c r="P120">
        <v>30</v>
      </c>
      <c r="Q120">
        <v>0</v>
      </c>
      <c r="T120" s="6">
        <f>10^-(14-Q120)</f>
        <v>1E-14</v>
      </c>
      <c r="U120" s="6">
        <v>1</v>
      </c>
      <c r="V120" s="6">
        <v>0</v>
      </c>
      <c r="W120" s="6">
        <v>0</v>
      </c>
      <c r="X120" s="6">
        <v>0</v>
      </c>
      <c r="Y120" t="s">
        <v>171</v>
      </c>
      <c r="Z120"/>
      <c r="AA120"/>
      <c r="AB120"/>
      <c r="AC120"/>
      <c r="AD120">
        <v>0.16600000000000001</v>
      </c>
      <c r="AE120">
        <v>830</v>
      </c>
      <c r="AF120">
        <v>1</v>
      </c>
      <c r="AG120" s="9">
        <v>0.06</v>
      </c>
      <c r="AL120" s="9">
        <v>20</v>
      </c>
      <c r="AM120" s="9">
        <v>29</v>
      </c>
      <c r="AN120" s="9">
        <v>3</v>
      </c>
    </row>
    <row r="121" spans="1:40" x14ac:dyDescent="0.3">
      <c r="A121">
        <v>84</v>
      </c>
      <c r="B121" t="s">
        <v>1687</v>
      </c>
      <c r="C121">
        <v>9</v>
      </c>
      <c r="D121" t="s">
        <v>1693</v>
      </c>
      <c r="I121"/>
      <c r="J121"/>
      <c r="K121"/>
      <c r="L121" t="s">
        <v>172</v>
      </c>
      <c r="N121">
        <v>0.53</v>
      </c>
      <c r="O121">
        <v>0</v>
      </c>
      <c r="P121">
        <v>30</v>
      </c>
      <c r="R121" t="s">
        <v>102</v>
      </c>
      <c r="T121" s="6">
        <f>10^-(14-Q121)</f>
        <v>1E-14</v>
      </c>
      <c r="U121" s="6">
        <v>0</v>
      </c>
      <c r="V121" s="6">
        <v>0</v>
      </c>
      <c r="W121" s="6">
        <v>0</v>
      </c>
      <c r="X121" s="6">
        <v>0</v>
      </c>
      <c r="Y121" t="s">
        <v>171</v>
      </c>
      <c r="Z121"/>
      <c r="AA121"/>
      <c r="AB121"/>
      <c r="AC121"/>
      <c r="AD121">
        <v>0.16600000000000001</v>
      </c>
      <c r="AE121">
        <v>850</v>
      </c>
      <c r="AF121">
        <v>1</v>
      </c>
      <c r="AL121" s="9">
        <v>25</v>
      </c>
      <c r="AM121" s="9">
        <v>5.5</v>
      </c>
      <c r="AN121" s="9">
        <v>2.5</v>
      </c>
    </row>
    <row r="122" spans="1:40" x14ac:dyDescent="0.3">
      <c r="A122">
        <v>84</v>
      </c>
      <c r="B122" t="s">
        <v>1687</v>
      </c>
      <c r="C122">
        <v>9</v>
      </c>
      <c r="D122" t="s">
        <v>1693</v>
      </c>
      <c r="I122"/>
      <c r="J122"/>
      <c r="K122"/>
      <c r="L122" t="s">
        <v>172</v>
      </c>
      <c r="N122">
        <v>9.9999999999999995E-7</v>
      </c>
      <c r="O122">
        <v>0</v>
      </c>
      <c r="P122">
        <v>30</v>
      </c>
      <c r="Q122">
        <v>-1</v>
      </c>
      <c r="T122" s="6">
        <f>10^-(14-Q122)</f>
        <v>1.0000000000000001E-15</v>
      </c>
      <c r="U122" s="6">
        <v>10</v>
      </c>
      <c r="V122" s="6">
        <v>0</v>
      </c>
      <c r="W122" s="6">
        <v>0</v>
      </c>
      <c r="X122" s="6">
        <v>0</v>
      </c>
      <c r="Y122" t="s">
        <v>171</v>
      </c>
      <c r="Z122"/>
      <c r="AA122"/>
      <c r="AB122"/>
      <c r="AC122"/>
      <c r="AD122">
        <v>0.16600000000000001</v>
      </c>
      <c r="AE122">
        <v>940</v>
      </c>
      <c r="AF122">
        <v>1</v>
      </c>
      <c r="AL122" s="9">
        <v>25</v>
      </c>
      <c r="AM122" s="9">
        <v>5.5</v>
      </c>
      <c r="AN122" s="9">
        <v>2.5</v>
      </c>
    </row>
    <row r="123" spans="1:40" x14ac:dyDescent="0.3">
      <c r="A123">
        <v>84</v>
      </c>
      <c r="B123" t="s">
        <v>1687</v>
      </c>
      <c r="C123">
        <v>9</v>
      </c>
      <c r="D123" t="s">
        <v>1693</v>
      </c>
      <c r="I123"/>
      <c r="J123"/>
      <c r="K123"/>
      <c r="L123" t="s">
        <v>172</v>
      </c>
      <c r="N123">
        <v>0.53</v>
      </c>
      <c r="O123">
        <v>0</v>
      </c>
      <c r="P123">
        <v>30</v>
      </c>
      <c r="R123" t="s">
        <v>102</v>
      </c>
      <c r="T123" s="6">
        <f>10^-(14-Q123)</f>
        <v>1E-14</v>
      </c>
      <c r="U123" s="6">
        <v>0</v>
      </c>
      <c r="V123" s="6">
        <v>0</v>
      </c>
      <c r="W123" s="6">
        <v>0</v>
      </c>
      <c r="X123" s="6">
        <v>0</v>
      </c>
      <c r="Y123" t="s">
        <v>171</v>
      </c>
      <c r="Z123"/>
      <c r="AA123"/>
      <c r="AB123"/>
      <c r="AC123"/>
      <c r="AD123">
        <v>0.16600000000000001</v>
      </c>
      <c r="AE123">
        <v>920</v>
      </c>
      <c r="AF123">
        <v>1</v>
      </c>
      <c r="AL123" s="9">
        <v>25</v>
      </c>
      <c r="AM123" s="9">
        <v>5.5</v>
      </c>
      <c r="AN123" s="9">
        <v>2.5</v>
      </c>
    </row>
    <row r="124" spans="1:40" x14ac:dyDescent="0.3">
      <c r="A124">
        <v>84</v>
      </c>
      <c r="B124" t="s">
        <v>1687</v>
      </c>
      <c r="C124">
        <v>9</v>
      </c>
      <c r="D124" t="s">
        <v>1693</v>
      </c>
      <c r="I124"/>
      <c r="J124"/>
      <c r="K124"/>
      <c r="L124" t="s">
        <v>172</v>
      </c>
      <c r="N124">
        <v>0.53</v>
      </c>
      <c r="O124">
        <v>0</v>
      </c>
      <c r="P124">
        <v>30</v>
      </c>
      <c r="R124" t="s">
        <v>102</v>
      </c>
      <c r="T124" s="6">
        <f>10^-(14-Q124)</f>
        <v>1E-14</v>
      </c>
      <c r="U124" s="6">
        <v>0</v>
      </c>
      <c r="V124" s="6">
        <v>0</v>
      </c>
      <c r="W124" s="6">
        <v>0</v>
      </c>
      <c r="X124" s="6">
        <v>0</v>
      </c>
      <c r="Y124" t="s">
        <v>171</v>
      </c>
      <c r="Z124"/>
      <c r="AA124"/>
      <c r="AB124"/>
      <c r="AC124"/>
      <c r="AD124">
        <v>0.16600000000000001</v>
      </c>
      <c r="AE124">
        <v>80</v>
      </c>
      <c r="AF124">
        <v>1</v>
      </c>
      <c r="AL124" s="9">
        <v>25</v>
      </c>
      <c r="AM124" s="9">
        <v>5.5</v>
      </c>
      <c r="AN124" s="9">
        <v>2.5</v>
      </c>
    </row>
    <row r="125" spans="1:40" x14ac:dyDescent="0.3">
      <c r="A125">
        <v>84</v>
      </c>
      <c r="B125" t="s">
        <v>1687</v>
      </c>
      <c r="C125">
        <v>9</v>
      </c>
      <c r="D125" t="s">
        <v>1693</v>
      </c>
      <c r="I125"/>
      <c r="J125"/>
      <c r="K125"/>
      <c r="L125" t="s">
        <v>172</v>
      </c>
      <c r="N125">
        <v>0.53</v>
      </c>
      <c r="O125">
        <v>0</v>
      </c>
      <c r="P125">
        <v>30</v>
      </c>
      <c r="R125" t="s">
        <v>102</v>
      </c>
      <c r="T125" s="6">
        <f>10^-(14-Q125)</f>
        <v>1E-14</v>
      </c>
      <c r="U125" s="6">
        <v>0</v>
      </c>
      <c r="V125" s="6">
        <v>0</v>
      </c>
      <c r="W125" s="6">
        <v>0</v>
      </c>
      <c r="X125" s="6">
        <v>0</v>
      </c>
      <c r="Y125" t="s">
        <v>171</v>
      </c>
      <c r="Z125"/>
      <c r="AA125"/>
      <c r="AB125"/>
      <c r="AC125"/>
      <c r="AD125">
        <v>0.16600000000000001</v>
      </c>
      <c r="AE125">
        <v>40</v>
      </c>
      <c r="AF125">
        <v>1</v>
      </c>
      <c r="AL125" s="9">
        <v>25</v>
      </c>
      <c r="AM125" s="9">
        <v>5.5</v>
      </c>
      <c r="AN125" s="9">
        <v>2.5</v>
      </c>
    </row>
    <row r="126" spans="1:40" x14ac:dyDescent="0.3">
      <c r="A126">
        <v>3</v>
      </c>
      <c r="B126" t="s">
        <v>1709</v>
      </c>
      <c r="C126">
        <v>10</v>
      </c>
      <c r="D126"/>
      <c r="I126"/>
      <c r="J126"/>
      <c r="K126"/>
      <c r="L126" t="s">
        <v>172</v>
      </c>
      <c r="N126">
        <v>0.54600000000000004</v>
      </c>
      <c r="O126">
        <v>0</v>
      </c>
      <c r="P126">
        <v>90</v>
      </c>
      <c r="Q126">
        <v>7.2</v>
      </c>
      <c r="R126" t="s">
        <v>102</v>
      </c>
      <c r="T126" s="6">
        <f>10^-(14-Q126)</f>
        <v>1.5848931924611122E-7</v>
      </c>
      <c r="U126" s="6">
        <v>0</v>
      </c>
      <c r="V126" s="6">
        <v>0</v>
      </c>
      <c r="W126" s="6">
        <v>0</v>
      </c>
      <c r="X126" s="6">
        <v>0</v>
      </c>
      <c r="Y126" t="s">
        <v>171</v>
      </c>
      <c r="Z126"/>
      <c r="AA126"/>
      <c r="AB126"/>
      <c r="AC126"/>
      <c r="AD126">
        <v>0.16700000000000001</v>
      </c>
      <c r="AE126">
        <v>230</v>
      </c>
      <c r="AF126">
        <v>1</v>
      </c>
      <c r="AI126" s="9">
        <v>2.0499999999999998</v>
      </c>
      <c r="AL126" s="9">
        <v>19.690000000000001</v>
      </c>
      <c r="AM126" s="9">
        <v>2.14</v>
      </c>
      <c r="AN126" s="9">
        <v>3.02</v>
      </c>
    </row>
    <row r="127" spans="1:40" x14ac:dyDescent="0.3">
      <c r="A127">
        <v>3</v>
      </c>
      <c r="B127" t="s">
        <v>1709</v>
      </c>
      <c r="C127">
        <v>10</v>
      </c>
      <c r="D127"/>
      <c r="I127"/>
      <c r="J127"/>
      <c r="K127"/>
      <c r="L127" t="s">
        <v>172</v>
      </c>
      <c r="N127">
        <v>0.54600000000000004</v>
      </c>
      <c r="O127">
        <v>0</v>
      </c>
      <c r="P127">
        <v>90</v>
      </c>
      <c r="Q127">
        <v>7.2</v>
      </c>
      <c r="R127" t="s">
        <v>102</v>
      </c>
      <c r="T127" s="6">
        <f>10^-(14-Q127)</f>
        <v>1.5848931924611122E-7</v>
      </c>
      <c r="U127" s="6">
        <v>0</v>
      </c>
      <c r="V127" s="6">
        <v>0</v>
      </c>
      <c r="W127" s="6">
        <v>0</v>
      </c>
      <c r="X127" s="6">
        <v>0</v>
      </c>
      <c r="Y127" t="s">
        <v>171</v>
      </c>
      <c r="Z127"/>
      <c r="AA127"/>
      <c r="AB127"/>
      <c r="AC127"/>
      <c r="AE127">
        <v>222</v>
      </c>
      <c r="AF127">
        <v>1</v>
      </c>
      <c r="AI127" s="9">
        <v>2.0499999999999998</v>
      </c>
      <c r="AL127" s="9">
        <v>19.690000000000001</v>
      </c>
      <c r="AM127" s="9">
        <v>2.14</v>
      </c>
      <c r="AN127" s="9">
        <v>3.02</v>
      </c>
    </row>
    <row r="128" spans="1:40" x14ac:dyDescent="0.3">
      <c r="A128">
        <v>3</v>
      </c>
      <c r="B128" t="s">
        <v>1709</v>
      </c>
      <c r="C128">
        <v>10</v>
      </c>
      <c r="D128"/>
      <c r="I128"/>
      <c r="J128"/>
      <c r="K128"/>
      <c r="L128" t="s">
        <v>172</v>
      </c>
      <c r="N128">
        <v>0.54600000000000004</v>
      </c>
      <c r="O128">
        <v>0</v>
      </c>
      <c r="P128">
        <v>90</v>
      </c>
      <c r="Q128">
        <v>7.2</v>
      </c>
      <c r="R128" t="s">
        <v>102</v>
      </c>
      <c r="T128" s="6">
        <f>10^-(14-Q128)</f>
        <v>1.5848931924611122E-7</v>
      </c>
      <c r="U128" s="6">
        <v>0</v>
      </c>
      <c r="V128" s="6">
        <v>0</v>
      </c>
      <c r="W128" s="6">
        <v>0</v>
      </c>
      <c r="X128" s="6">
        <v>0</v>
      </c>
      <c r="Y128" t="s">
        <v>171</v>
      </c>
      <c r="Z128"/>
      <c r="AA128"/>
      <c r="AB128"/>
      <c r="AC128"/>
      <c r="AD128">
        <v>0.16700000000000001</v>
      </c>
      <c r="AE128">
        <v>182</v>
      </c>
      <c r="AF128">
        <v>1</v>
      </c>
      <c r="AH128" s="9">
        <v>0.09</v>
      </c>
      <c r="AI128" s="9">
        <v>2.06</v>
      </c>
      <c r="AL128" s="9">
        <v>19.7</v>
      </c>
      <c r="AM128" s="9">
        <v>2.15</v>
      </c>
      <c r="AN128" s="9">
        <v>2.64</v>
      </c>
    </row>
    <row r="129" spans="1:40" x14ac:dyDescent="0.3">
      <c r="A129">
        <v>3</v>
      </c>
      <c r="B129" t="s">
        <v>1709</v>
      </c>
      <c r="C129">
        <v>10</v>
      </c>
      <c r="D129"/>
      <c r="I129"/>
      <c r="J129"/>
      <c r="K129"/>
      <c r="L129" t="s">
        <v>172</v>
      </c>
      <c r="N129">
        <v>0.54600000000000004</v>
      </c>
      <c r="O129">
        <v>0</v>
      </c>
      <c r="P129">
        <v>90</v>
      </c>
      <c r="Q129">
        <v>7.2</v>
      </c>
      <c r="R129" t="s">
        <v>102</v>
      </c>
      <c r="T129" s="6">
        <f>10^-(14-Q129)</f>
        <v>1.5848931924611122E-7</v>
      </c>
      <c r="U129" s="6">
        <v>0</v>
      </c>
      <c r="V129" s="6">
        <v>0</v>
      </c>
      <c r="W129" s="6">
        <v>0</v>
      </c>
      <c r="X129" s="6">
        <v>0</v>
      </c>
      <c r="Y129" t="s">
        <v>171</v>
      </c>
      <c r="Z129"/>
      <c r="AA129"/>
      <c r="AB129"/>
      <c r="AC129"/>
      <c r="AE129">
        <v>165</v>
      </c>
      <c r="AF129">
        <v>1</v>
      </c>
      <c r="AH129" s="9">
        <v>0.09</v>
      </c>
      <c r="AI129" s="9">
        <v>2.06</v>
      </c>
      <c r="AL129" s="9">
        <v>19.7</v>
      </c>
      <c r="AM129" s="9">
        <v>2.15</v>
      </c>
      <c r="AN129" s="9">
        <v>2.64</v>
      </c>
    </row>
    <row r="130" spans="1:40" x14ac:dyDescent="0.3">
      <c r="A130">
        <v>3</v>
      </c>
      <c r="B130" t="s">
        <v>1709</v>
      </c>
      <c r="C130">
        <v>10</v>
      </c>
      <c r="D130"/>
      <c r="I130"/>
      <c r="J130"/>
      <c r="K130"/>
      <c r="L130" t="s">
        <v>172</v>
      </c>
      <c r="N130">
        <v>0.54600000000000004</v>
      </c>
      <c r="O130">
        <v>0</v>
      </c>
      <c r="P130">
        <v>90</v>
      </c>
      <c r="Q130">
        <v>7.2</v>
      </c>
      <c r="R130" t="s">
        <v>102</v>
      </c>
      <c r="T130" s="6">
        <f>10^-(14-Q130)</f>
        <v>1.5848931924611122E-7</v>
      </c>
      <c r="U130" s="6">
        <v>0</v>
      </c>
      <c r="V130" s="6">
        <v>0</v>
      </c>
      <c r="W130" s="6">
        <v>0</v>
      </c>
      <c r="X130" s="6">
        <v>0</v>
      </c>
      <c r="Y130" t="s">
        <v>171</v>
      </c>
      <c r="Z130"/>
      <c r="AA130"/>
      <c r="AB130"/>
      <c r="AC130"/>
      <c r="AD130">
        <v>0.16700000000000001</v>
      </c>
      <c r="AE130">
        <v>240</v>
      </c>
      <c r="AF130">
        <v>1</v>
      </c>
      <c r="AH130" s="9">
        <v>0.09</v>
      </c>
      <c r="AI130" s="9">
        <v>2.06</v>
      </c>
      <c r="AL130" s="9">
        <v>19.7</v>
      </c>
      <c r="AM130" s="9">
        <v>2.15</v>
      </c>
      <c r="AN130" s="9">
        <v>2.64</v>
      </c>
    </row>
    <row r="131" spans="1:40" x14ac:dyDescent="0.3">
      <c r="A131">
        <v>3</v>
      </c>
      <c r="B131" t="s">
        <v>1709</v>
      </c>
      <c r="C131">
        <v>10</v>
      </c>
      <c r="D131"/>
      <c r="I131"/>
      <c r="J131"/>
      <c r="K131"/>
      <c r="L131" t="s">
        <v>172</v>
      </c>
      <c r="N131">
        <v>0.54600000000000004</v>
      </c>
      <c r="O131">
        <v>0</v>
      </c>
      <c r="P131">
        <v>90</v>
      </c>
      <c r="Q131">
        <v>7.2</v>
      </c>
      <c r="R131" t="s">
        <v>102</v>
      </c>
      <c r="T131" s="6">
        <f>10^-(14-Q131)</f>
        <v>1.5848931924611122E-7</v>
      </c>
      <c r="U131" s="6">
        <v>0</v>
      </c>
      <c r="V131" s="6">
        <v>0</v>
      </c>
      <c r="W131" s="6">
        <v>0</v>
      </c>
      <c r="X131" s="6">
        <v>0</v>
      </c>
      <c r="Y131" t="s">
        <v>171</v>
      </c>
      <c r="Z131"/>
      <c r="AA131"/>
      <c r="AB131"/>
      <c r="AC131"/>
      <c r="AE131">
        <v>235</v>
      </c>
      <c r="AF131">
        <v>1</v>
      </c>
      <c r="AH131" s="9">
        <v>0.09</v>
      </c>
      <c r="AI131" s="9">
        <v>2.06</v>
      </c>
      <c r="AL131" s="9">
        <v>19.7</v>
      </c>
      <c r="AM131" s="9">
        <v>2.15</v>
      </c>
      <c r="AN131" s="9">
        <v>2.64</v>
      </c>
    </row>
    <row r="132" spans="1:40" x14ac:dyDescent="0.3">
      <c r="A132">
        <v>3</v>
      </c>
      <c r="B132" t="s">
        <v>1709</v>
      </c>
      <c r="C132">
        <v>10</v>
      </c>
      <c r="D132"/>
      <c r="I132"/>
      <c r="J132"/>
      <c r="K132"/>
      <c r="L132" t="s">
        <v>172</v>
      </c>
      <c r="N132">
        <v>0.54600000000000004</v>
      </c>
      <c r="O132">
        <v>0</v>
      </c>
      <c r="P132">
        <v>90</v>
      </c>
      <c r="Q132">
        <v>7.2</v>
      </c>
      <c r="R132" t="s">
        <v>102</v>
      </c>
      <c r="T132" s="6">
        <f>10^-(14-Q132)</f>
        <v>1.5848931924611122E-7</v>
      </c>
      <c r="U132" s="6">
        <v>0</v>
      </c>
      <c r="V132" s="6">
        <v>0</v>
      </c>
      <c r="W132" s="6">
        <v>0</v>
      </c>
      <c r="X132" s="6">
        <v>0</v>
      </c>
      <c r="Y132" t="s">
        <v>171</v>
      </c>
      <c r="Z132"/>
      <c r="AA132"/>
      <c r="AB132"/>
      <c r="AC132"/>
      <c r="AD132">
        <v>0.16700000000000001</v>
      </c>
      <c r="AE132">
        <v>218</v>
      </c>
      <c r="AF132">
        <v>1</v>
      </c>
      <c r="AI132" s="9">
        <v>2.06</v>
      </c>
      <c r="AL132" s="9">
        <v>19.71</v>
      </c>
      <c r="AM132" s="9">
        <v>2.16</v>
      </c>
      <c r="AN132" s="9">
        <v>2.04</v>
      </c>
    </row>
    <row r="133" spans="1:40" x14ac:dyDescent="0.3">
      <c r="A133">
        <v>3</v>
      </c>
      <c r="B133" t="s">
        <v>1709</v>
      </c>
      <c r="C133">
        <v>10</v>
      </c>
      <c r="D133"/>
      <c r="I133"/>
      <c r="J133"/>
      <c r="K133"/>
      <c r="L133" t="s">
        <v>172</v>
      </c>
      <c r="N133">
        <v>0.54600000000000004</v>
      </c>
      <c r="O133">
        <v>0</v>
      </c>
      <c r="P133">
        <v>90</v>
      </c>
      <c r="Q133">
        <v>7.2</v>
      </c>
      <c r="R133" t="s">
        <v>102</v>
      </c>
      <c r="T133" s="6">
        <f>10^-(14-Q133)</f>
        <v>1.5848931924611122E-7</v>
      </c>
      <c r="U133" s="6">
        <v>0</v>
      </c>
      <c r="V133" s="6">
        <v>0</v>
      </c>
      <c r="W133" s="6">
        <v>0</v>
      </c>
      <c r="X133" s="6">
        <v>0</v>
      </c>
      <c r="Y133" t="s">
        <v>171</v>
      </c>
      <c r="Z133"/>
      <c r="AA133"/>
      <c r="AB133"/>
      <c r="AC133"/>
      <c r="AE133">
        <v>185</v>
      </c>
      <c r="AF133">
        <v>1</v>
      </c>
      <c r="AI133" s="9">
        <v>2.06</v>
      </c>
      <c r="AL133" s="9">
        <v>19.71</v>
      </c>
      <c r="AM133" s="9">
        <v>2.16</v>
      </c>
      <c r="AN133" s="9">
        <v>2.04</v>
      </c>
    </row>
    <row r="134" spans="1:40" x14ac:dyDescent="0.3">
      <c r="A134">
        <v>3</v>
      </c>
      <c r="B134" t="s">
        <v>1709</v>
      </c>
      <c r="C134">
        <v>10</v>
      </c>
      <c r="D134"/>
      <c r="I134"/>
      <c r="J134"/>
      <c r="K134"/>
      <c r="L134" t="s">
        <v>172</v>
      </c>
      <c r="N134">
        <v>0.54600000000000004</v>
      </c>
      <c r="O134">
        <v>0</v>
      </c>
      <c r="P134">
        <v>90</v>
      </c>
      <c r="Q134">
        <v>7.2</v>
      </c>
      <c r="R134" t="s">
        <v>102</v>
      </c>
      <c r="T134" s="6">
        <f>10^-(14-Q134)</f>
        <v>1.5848931924611122E-7</v>
      </c>
      <c r="U134" s="6">
        <v>0</v>
      </c>
      <c r="V134" s="6">
        <v>0</v>
      </c>
      <c r="W134" s="6">
        <v>0</v>
      </c>
      <c r="X134" s="6">
        <v>0</v>
      </c>
      <c r="Y134" t="s">
        <v>171</v>
      </c>
      <c r="Z134"/>
      <c r="AA134"/>
      <c r="AB134"/>
      <c r="AC134"/>
      <c r="AD134">
        <v>0.16700000000000001</v>
      </c>
      <c r="AE134">
        <v>226</v>
      </c>
      <c r="AF134">
        <v>1</v>
      </c>
      <c r="AI134" s="9">
        <v>2.06</v>
      </c>
      <c r="AL134" s="9">
        <v>19.71</v>
      </c>
      <c r="AM134" s="9">
        <v>2.16</v>
      </c>
      <c r="AN134" s="9">
        <v>2.04</v>
      </c>
    </row>
    <row r="135" spans="1:40" x14ac:dyDescent="0.3">
      <c r="A135">
        <v>3</v>
      </c>
      <c r="B135" t="s">
        <v>1709</v>
      </c>
      <c r="C135">
        <v>10</v>
      </c>
      <c r="D135"/>
      <c r="I135"/>
      <c r="J135"/>
      <c r="K135"/>
      <c r="L135" t="s">
        <v>172</v>
      </c>
      <c r="N135">
        <v>0.54600000000000004</v>
      </c>
      <c r="O135">
        <v>0</v>
      </c>
      <c r="P135">
        <v>90</v>
      </c>
      <c r="Q135">
        <v>7.2</v>
      </c>
      <c r="R135" t="s">
        <v>102</v>
      </c>
      <c r="T135" s="6">
        <f>10^-(14-Q135)</f>
        <v>1.5848931924611122E-7</v>
      </c>
      <c r="U135" s="6">
        <v>0</v>
      </c>
      <c r="V135" s="6">
        <v>0</v>
      </c>
      <c r="W135" s="6">
        <v>0</v>
      </c>
      <c r="X135" s="6">
        <v>0</v>
      </c>
      <c r="Y135" t="s">
        <v>171</v>
      </c>
      <c r="Z135"/>
      <c r="AA135"/>
      <c r="AB135"/>
      <c r="AC135"/>
      <c r="AE135">
        <v>215</v>
      </c>
      <c r="AF135">
        <v>1</v>
      </c>
      <c r="AI135" s="9">
        <v>2.06</v>
      </c>
      <c r="AL135" s="9">
        <v>19.71</v>
      </c>
      <c r="AM135" s="9">
        <v>2.16</v>
      </c>
      <c r="AN135" s="9">
        <v>2.04</v>
      </c>
    </row>
    <row r="136" spans="1:40" x14ac:dyDescent="0.3">
      <c r="A136">
        <v>3</v>
      </c>
      <c r="B136" t="s">
        <v>1709</v>
      </c>
      <c r="C136">
        <v>10</v>
      </c>
      <c r="D136"/>
      <c r="I136"/>
      <c r="J136"/>
      <c r="K136"/>
      <c r="L136" t="s">
        <v>172</v>
      </c>
      <c r="N136">
        <v>0.54600000000000004</v>
      </c>
      <c r="O136">
        <v>0</v>
      </c>
      <c r="P136">
        <v>90</v>
      </c>
      <c r="Q136">
        <v>7.2</v>
      </c>
      <c r="R136" t="s">
        <v>102</v>
      </c>
      <c r="T136" s="6">
        <f>10^-(14-Q136)</f>
        <v>1.5848931924611122E-7</v>
      </c>
      <c r="U136" s="6">
        <v>0</v>
      </c>
      <c r="V136" s="6">
        <v>0</v>
      </c>
      <c r="W136" s="6">
        <v>0</v>
      </c>
      <c r="X136" s="6">
        <v>0</v>
      </c>
      <c r="Y136" t="s">
        <v>171</v>
      </c>
      <c r="Z136"/>
      <c r="AA136"/>
      <c r="AB136"/>
      <c r="AC136"/>
      <c r="AD136">
        <v>0.16700000000000001</v>
      </c>
      <c r="AE136">
        <v>238</v>
      </c>
      <c r="AF136">
        <v>1</v>
      </c>
      <c r="AH136" s="9">
        <v>0.09</v>
      </c>
      <c r="AI136" s="9">
        <v>2.04</v>
      </c>
      <c r="AL136" s="9">
        <v>19.73</v>
      </c>
      <c r="AM136" s="9">
        <v>2.13</v>
      </c>
      <c r="AN136" s="9">
        <v>4.7</v>
      </c>
    </row>
    <row r="137" spans="1:40" x14ac:dyDescent="0.3">
      <c r="A137">
        <v>3</v>
      </c>
      <c r="B137" t="s">
        <v>1709</v>
      </c>
      <c r="C137">
        <v>10</v>
      </c>
      <c r="D137"/>
      <c r="I137"/>
      <c r="J137"/>
      <c r="K137"/>
      <c r="L137" t="s">
        <v>172</v>
      </c>
      <c r="N137">
        <v>0.54600000000000004</v>
      </c>
      <c r="O137">
        <v>0</v>
      </c>
      <c r="P137">
        <v>90</v>
      </c>
      <c r="Q137">
        <v>7.2</v>
      </c>
      <c r="R137" t="s">
        <v>102</v>
      </c>
      <c r="T137" s="6">
        <f>10^-(14-Q137)</f>
        <v>1.5848931924611122E-7</v>
      </c>
      <c r="U137" s="6">
        <v>0</v>
      </c>
      <c r="V137" s="6">
        <v>0</v>
      </c>
      <c r="W137" s="6">
        <v>0</v>
      </c>
      <c r="X137" s="6">
        <v>0</v>
      </c>
      <c r="Y137" t="s">
        <v>171</v>
      </c>
      <c r="Z137"/>
      <c r="AA137"/>
      <c r="AB137"/>
      <c r="AC137"/>
      <c r="AE137">
        <v>152</v>
      </c>
      <c r="AF137">
        <v>1</v>
      </c>
      <c r="AH137" s="9">
        <v>0.09</v>
      </c>
      <c r="AI137" s="9">
        <v>2.04</v>
      </c>
      <c r="AL137" s="9">
        <v>19.73</v>
      </c>
      <c r="AM137" s="9">
        <v>2.13</v>
      </c>
      <c r="AN137" s="9">
        <v>4.7</v>
      </c>
    </row>
    <row r="138" spans="1:40" x14ac:dyDescent="0.3">
      <c r="A138">
        <v>3</v>
      </c>
      <c r="B138" t="s">
        <v>1709</v>
      </c>
      <c r="C138">
        <v>10</v>
      </c>
      <c r="D138"/>
      <c r="I138"/>
      <c r="J138"/>
      <c r="K138"/>
      <c r="L138" t="s">
        <v>172</v>
      </c>
      <c r="N138">
        <v>0.54600000000000004</v>
      </c>
      <c r="O138">
        <v>0</v>
      </c>
      <c r="P138">
        <v>90</v>
      </c>
      <c r="Q138">
        <v>7.2</v>
      </c>
      <c r="R138" t="s">
        <v>102</v>
      </c>
      <c r="T138" s="6">
        <f>10^-(14-Q138)</f>
        <v>1.5848931924611122E-7</v>
      </c>
      <c r="U138" s="6">
        <v>0</v>
      </c>
      <c r="V138" s="6">
        <v>0</v>
      </c>
      <c r="W138" s="6">
        <v>0</v>
      </c>
      <c r="X138" s="6">
        <v>0</v>
      </c>
      <c r="Y138" t="s">
        <v>171</v>
      </c>
      <c r="Z138"/>
      <c r="AA138"/>
      <c r="AB138"/>
      <c r="AC138"/>
      <c r="AD138">
        <v>0.16700000000000001</v>
      </c>
      <c r="AE138">
        <v>310</v>
      </c>
      <c r="AF138">
        <v>1</v>
      </c>
      <c r="AH138" s="9">
        <v>0.09</v>
      </c>
      <c r="AI138" s="9">
        <v>2.04</v>
      </c>
      <c r="AL138" s="9">
        <v>19.73</v>
      </c>
      <c r="AM138" s="9">
        <v>2.13</v>
      </c>
      <c r="AN138" s="9">
        <v>4.7</v>
      </c>
    </row>
    <row r="139" spans="1:40" x14ac:dyDescent="0.3">
      <c r="A139">
        <v>3</v>
      </c>
      <c r="B139" t="s">
        <v>1709</v>
      </c>
      <c r="C139">
        <v>10</v>
      </c>
      <c r="D139"/>
      <c r="I139"/>
      <c r="J139"/>
      <c r="K139"/>
      <c r="L139" t="s">
        <v>172</v>
      </c>
      <c r="N139">
        <v>0.54600000000000004</v>
      </c>
      <c r="O139">
        <v>0</v>
      </c>
      <c r="P139">
        <v>90</v>
      </c>
      <c r="Q139">
        <v>7.2</v>
      </c>
      <c r="R139" t="s">
        <v>102</v>
      </c>
      <c r="T139" s="6">
        <f>10^-(14-Q139)</f>
        <v>1.5848931924611122E-7</v>
      </c>
      <c r="U139" s="6">
        <v>0</v>
      </c>
      <c r="V139" s="6">
        <v>0</v>
      </c>
      <c r="W139" s="6">
        <v>0</v>
      </c>
      <c r="X139" s="6">
        <v>0</v>
      </c>
      <c r="Y139" t="s">
        <v>171</v>
      </c>
      <c r="Z139"/>
      <c r="AA139"/>
      <c r="AB139"/>
      <c r="AC139"/>
      <c r="AE139">
        <v>298</v>
      </c>
      <c r="AF139">
        <v>1</v>
      </c>
      <c r="AH139" s="9">
        <v>0.09</v>
      </c>
      <c r="AI139" s="9">
        <v>2.04</v>
      </c>
      <c r="AL139" s="9">
        <v>19.73</v>
      </c>
      <c r="AM139" s="9">
        <v>2.13</v>
      </c>
      <c r="AN139" s="9">
        <v>4.7</v>
      </c>
    </row>
    <row r="140" spans="1:40" x14ac:dyDescent="0.3">
      <c r="A140">
        <v>3</v>
      </c>
      <c r="B140" t="s">
        <v>1709</v>
      </c>
      <c r="C140">
        <v>10</v>
      </c>
      <c r="D140"/>
      <c r="I140"/>
      <c r="J140"/>
      <c r="K140"/>
      <c r="L140" t="s">
        <v>172</v>
      </c>
      <c r="N140">
        <v>0.54600000000000004</v>
      </c>
      <c r="O140">
        <v>0</v>
      </c>
      <c r="P140">
        <v>90</v>
      </c>
      <c r="Q140">
        <v>7.2</v>
      </c>
      <c r="R140" t="s">
        <v>102</v>
      </c>
      <c r="T140" s="6">
        <f>10^-(14-Q140)</f>
        <v>1.5848931924611122E-7</v>
      </c>
      <c r="U140" s="6">
        <v>0</v>
      </c>
      <c r="V140" s="6">
        <v>0</v>
      </c>
      <c r="W140" s="6">
        <v>0</v>
      </c>
      <c r="X140" s="6">
        <v>0</v>
      </c>
      <c r="Y140" t="s">
        <v>171</v>
      </c>
      <c r="Z140"/>
      <c r="AA140"/>
      <c r="AB140"/>
      <c r="AC140"/>
      <c r="AD140">
        <v>0.16700000000000001</v>
      </c>
      <c r="AE140">
        <v>220</v>
      </c>
      <c r="AF140">
        <v>1</v>
      </c>
      <c r="AH140" s="9">
        <v>0.13</v>
      </c>
      <c r="AI140" s="9">
        <v>2.0499999999999998</v>
      </c>
      <c r="AL140" s="9">
        <v>19.739999999999998</v>
      </c>
      <c r="AM140" s="9">
        <v>2.14</v>
      </c>
      <c r="AN140" s="9">
        <v>3.5</v>
      </c>
    </row>
    <row r="141" spans="1:40" x14ac:dyDescent="0.3">
      <c r="A141">
        <v>3</v>
      </c>
      <c r="B141" t="s">
        <v>1709</v>
      </c>
      <c r="C141">
        <v>10</v>
      </c>
      <c r="D141"/>
      <c r="I141"/>
      <c r="J141"/>
      <c r="K141"/>
      <c r="L141" t="s">
        <v>172</v>
      </c>
      <c r="N141">
        <v>0.54600000000000004</v>
      </c>
      <c r="O141">
        <v>0</v>
      </c>
      <c r="P141">
        <v>90</v>
      </c>
      <c r="Q141">
        <v>7.2</v>
      </c>
      <c r="R141" t="s">
        <v>102</v>
      </c>
      <c r="T141" s="6">
        <f>10^-(14-Q141)</f>
        <v>1.5848931924611122E-7</v>
      </c>
      <c r="U141" s="6">
        <v>0</v>
      </c>
      <c r="V141" s="6">
        <v>0</v>
      </c>
      <c r="W141" s="6">
        <v>0</v>
      </c>
      <c r="X141" s="6">
        <v>0</v>
      </c>
      <c r="Y141" t="s">
        <v>171</v>
      </c>
      <c r="Z141"/>
      <c r="AA141"/>
      <c r="AB141"/>
      <c r="AC141"/>
      <c r="AE141">
        <v>205</v>
      </c>
      <c r="AF141">
        <v>1</v>
      </c>
      <c r="AH141" s="9">
        <v>0.13</v>
      </c>
      <c r="AI141" s="9">
        <v>2.0499999999999998</v>
      </c>
      <c r="AL141" s="9">
        <v>19.739999999999998</v>
      </c>
      <c r="AM141" s="9">
        <v>2.14</v>
      </c>
      <c r="AN141" s="9">
        <v>3.5</v>
      </c>
    </row>
    <row r="142" spans="1:40" x14ac:dyDescent="0.3">
      <c r="A142">
        <v>3</v>
      </c>
      <c r="B142" t="s">
        <v>1709</v>
      </c>
      <c r="C142">
        <v>10</v>
      </c>
      <c r="D142"/>
      <c r="I142"/>
      <c r="J142"/>
      <c r="K142"/>
      <c r="L142" t="s">
        <v>172</v>
      </c>
      <c r="N142">
        <v>0.54600000000000004</v>
      </c>
      <c r="O142">
        <v>0</v>
      </c>
      <c r="P142">
        <v>90</v>
      </c>
      <c r="Q142">
        <v>7.2</v>
      </c>
      <c r="R142" t="s">
        <v>102</v>
      </c>
      <c r="T142" s="6">
        <f>10^-(14-Q142)</f>
        <v>1.5848931924611122E-7</v>
      </c>
      <c r="U142" s="6">
        <v>0</v>
      </c>
      <c r="V142" s="6">
        <v>0</v>
      </c>
      <c r="W142" s="6">
        <v>0</v>
      </c>
      <c r="X142" s="6">
        <v>0</v>
      </c>
      <c r="Y142" t="s">
        <v>171</v>
      </c>
      <c r="Z142"/>
      <c r="AA142"/>
      <c r="AB142"/>
      <c r="AC142"/>
      <c r="AD142">
        <v>0.16700000000000001</v>
      </c>
      <c r="AE142">
        <v>342</v>
      </c>
      <c r="AF142">
        <v>1</v>
      </c>
      <c r="AH142" s="9">
        <v>0.13</v>
      </c>
      <c r="AI142" s="9">
        <v>2.0499999999999998</v>
      </c>
      <c r="AL142" s="9">
        <v>19.739999999999998</v>
      </c>
      <c r="AM142" s="9">
        <v>2.14</v>
      </c>
      <c r="AN142" s="9">
        <v>3.5</v>
      </c>
    </row>
    <row r="143" spans="1:40" x14ac:dyDescent="0.3">
      <c r="A143">
        <v>3</v>
      </c>
      <c r="B143" t="s">
        <v>1709</v>
      </c>
      <c r="C143">
        <v>10</v>
      </c>
      <c r="D143"/>
      <c r="I143"/>
      <c r="J143"/>
      <c r="K143"/>
      <c r="L143" t="s">
        <v>172</v>
      </c>
      <c r="N143">
        <v>0.54600000000000004</v>
      </c>
      <c r="O143">
        <v>0</v>
      </c>
      <c r="P143">
        <v>90</v>
      </c>
      <c r="Q143">
        <v>7.2</v>
      </c>
      <c r="R143" t="s">
        <v>102</v>
      </c>
      <c r="T143" s="6">
        <f>10^-(14-Q143)</f>
        <v>1.5848931924611122E-7</v>
      </c>
      <c r="U143" s="6">
        <v>0</v>
      </c>
      <c r="V143" s="6">
        <v>0</v>
      </c>
      <c r="W143" s="6">
        <v>0</v>
      </c>
      <c r="X143" s="6">
        <v>0</v>
      </c>
      <c r="Y143" t="s">
        <v>171</v>
      </c>
      <c r="Z143"/>
      <c r="AA143"/>
      <c r="AB143"/>
      <c r="AC143"/>
      <c r="AE143">
        <v>268</v>
      </c>
      <c r="AF143">
        <v>1</v>
      </c>
      <c r="AH143" s="9">
        <v>0.13</v>
      </c>
      <c r="AI143" s="9">
        <v>2.0499999999999998</v>
      </c>
      <c r="AL143" s="9">
        <v>19.739999999999998</v>
      </c>
      <c r="AM143" s="9">
        <v>2.14</v>
      </c>
      <c r="AN143" s="9">
        <v>3.5</v>
      </c>
    </row>
    <row r="144" spans="1:40" x14ac:dyDescent="0.3">
      <c r="A144">
        <v>3</v>
      </c>
      <c r="B144" t="s">
        <v>1709</v>
      </c>
      <c r="C144">
        <v>10</v>
      </c>
      <c r="D144"/>
      <c r="I144"/>
      <c r="J144"/>
      <c r="K144"/>
      <c r="L144" t="s">
        <v>172</v>
      </c>
      <c r="N144">
        <v>0.54600000000000004</v>
      </c>
      <c r="O144">
        <v>0</v>
      </c>
      <c r="P144">
        <v>90</v>
      </c>
      <c r="Q144">
        <v>7.2</v>
      </c>
      <c r="R144" t="s">
        <v>102</v>
      </c>
      <c r="T144" s="6">
        <f>10^-(14-Q144)</f>
        <v>1.5848931924611122E-7</v>
      </c>
      <c r="U144" s="6">
        <v>0</v>
      </c>
      <c r="V144" s="6">
        <v>0</v>
      </c>
      <c r="W144" s="6">
        <v>0</v>
      </c>
      <c r="X144" s="6">
        <v>0</v>
      </c>
      <c r="Y144" t="s">
        <v>171</v>
      </c>
      <c r="Z144"/>
      <c r="AA144"/>
      <c r="AB144"/>
      <c r="AC144"/>
      <c r="AD144">
        <v>0.16700000000000001</v>
      </c>
      <c r="AE144">
        <v>190</v>
      </c>
      <c r="AF144">
        <v>1</v>
      </c>
      <c r="AI144" s="9">
        <v>2.0699999999999998</v>
      </c>
      <c r="AL144" s="9">
        <v>20.73</v>
      </c>
      <c r="AM144" s="9">
        <v>2.17</v>
      </c>
      <c r="AN144" s="9">
        <v>1.03</v>
      </c>
    </row>
    <row r="145" spans="1:40" x14ac:dyDescent="0.3">
      <c r="A145">
        <v>3</v>
      </c>
      <c r="B145" t="s">
        <v>1709</v>
      </c>
      <c r="C145">
        <v>10</v>
      </c>
      <c r="D145"/>
      <c r="I145"/>
      <c r="J145"/>
      <c r="K145"/>
      <c r="L145" t="s">
        <v>172</v>
      </c>
      <c r="N145">
        <v>0.54600000000000004</v>
      </c>
      <c r="O145">
        <v>0</v>
      </c>
      <c r="P145">
        <v>90</v>
      </c>
      <c r="Q145">
        <v>7.2</v>
      </c>
      <c r="R145" t="s">
        <v>102</v>
      </c>
      <c r="T145" s="6">
        <f>10^-(14-Q145)</f>
        <v>1.5848931924611122E-7</v>
      </c>
      <c r="U145" s="6">
        <v>0</v>
      </c>
      <c r="V145" s="6">
        <v>0</v>
      </c>
      <c r="W145" s="6">
        <v>0</v>
      </c>
      <c r="X145" s="6">
        <v>0</v>
      </c>
      <c r="Y145" t="s">
        <v>171</v>
      </c>
      <c r="Z145"/>
      <c r="AA145"/>
      <c r="AB145"/>
      <c r="AC145"/>
      <c r="AE145">
        <v>165</v>
      </c>
      <c r="AF145">
        <v>1</v>
      </c>
      <c r="AI145" s="9">
        <v>2.0699999999999998</v>
      </c>
      <c r="AL145" s="9">
        <v>20.73</v>
      </c>
      <c r="AM145" s="9">
        <v>2.17</v>
      </c>
      <c r="AN145" s="9">
        <v>1.03</v>
      </c>
    </row>
    <row r="146" spans="1:40" x14ac:dyDescent="0.3">
      <c r="A146">
        <v>3</v>
      </c>
      <c r="B146" t="s">
        <v>1709</v>
      </c>
      <c r="C146">
        <v>10</v>
      </c>
      <c r="D146"/>
      <c r="I146"/>
      <c r="J146"/>
      <c r="K146"/>
      <c r="L146" t="s">
        <v>172</v>
      </c>
      <c r="N146">
        <v>0.54600000000000004</v>
      </c>
      <c r="O146">
        <v>0</v>
      </c>
      <c r="P146">
        <v>90</v>
      </c>
      <c r="Q146">
        <v>7.2</v>
      </c>
      <c r="R146" t="s">
        <v>102</v>
      </c>
      <c r="T146" s="6">
        <f>10^-(14-Q146)</f>
        <v>1.5848931924611122E-7</v>
      </c>
      <c r="U146" s="6">
        <v>0</v>
      </c>
      <c r="V146" s="6">
        <v>0</v>
      </c>
      <c r="W146" s="6">
        <v>0</v>
      </c>
      <c r="X146" s="6">
        <v>0</v>
      </c>
      <c r="Y146" t="s">
        <v>171</v>
      </c>
      <c r="Z146"/>
      <c r="AA146"/>
      <c r="AB146"/>
      <c r="AC146"/>
      <c r="AD146">
        <v>0.16700000000000001</v>
      </c>
      <c r="AE146">
        <v>184</v>
      </c>
      <c r="AF146">
        <v>1</v>
      </c>
      <c r="AI146" s="9">
        <v>2.0699999999999998</v>
      </c>
      <c r="AL146" s="9">
        <v>20.73</v>
      </c>
      <c r="AM146" s="9">
        <v>2.17</v>
      </c>
      <c r="AN146" s="9">
        <v>1.03</v>
      </c>
    </row>
    <row r="147" spans="1:40" x14ac:dyDescent="0.3">
      <c r="A147">
        <v>3</v>
      </c>
      <c r="B147" t="s">
        <v>1709</v>
      </c>
      <c r="C147">
        <v>10</v>
      </c>
      <c r="D147"/>
      <c r="I147"/>
      <c r="J147"/>
      <c r="K147"/>
      <c r="L147" t="s">
        <v>172</v>
      </c>
      <c r="N147">
        <v>0.54600000000000004</v>
      </c>
      <c r="O147">
        <v>0</v>
      </c>
      <c r="P147">
        <v>90</v>
      </c>
      <c r="Q147">
        <v>7.2</v>
      </c>
      <c r="R147" t="s">
        <v>102</v>
      </c>
      <c r="T147" s="6">
        <f>10^-(14-Q147)</f>
        <v>1.5848931924611122E-7</v>
      </c>
      <c r="U147" s="6">
        <v>0</v>
      </c>
      <c r="V147" s="6">
        <v>0</v>
      </c>
      <c r="W147" s="6">
        <v>0</v>
      </c>
      <c r="X147" s="6">
        <v>0</v>
      </c>
      <c r="Y147" t="s">
        <v>171</v>
      </c>
      <c r="Z147"/>
      <c r="AA147"/>
      <c r="AB147"/>
      <c r="AC147"/>
      <c r="AE147">
        <v>178</v>
      </c>
      <c r="AF147">
        <v>1</v>
      </c>
      <c r="AI147" s="9">
        <v>2.0699999999999998</v>
      </c>
      <c r="AL147" s="9">
        <v>20.73</v>
      </c>
      <c r="AM147" s="9">
        <v>2.17</v>
      </c>
      <c r="AN147" s="9">
        <v>1.03</v>
      </c>
    </row>
    <row r="148" spans="1:40" x14ac:dyDescent="0.3">
      <c r="A148">
        <v>3</v>
      </c>
      <c r="B148" t="s">
        <v>1709</v>
      </c>
      <c r="C148">
        <v>10</v>
      </c>
      <c r="D148"/>
      <c r="I148"/>
      <c r="J148"/>
      <c r="K148"/>
      <c r="L148" t="s">
        <v>172</v>
      </c>
      <c r="N148">
        <v>0.54600000000000004</v>
      </c>
      <c r="O148">
        <v>0</v>
      </c>
      <c r="P148">
        <v>90</v>
      </c>
      <c r="Q148">
        <v>7.2</v>
      </c>
      <c r="R148" t="s">
        <v>102</v>
      </c>
      <c r="T148" s="6">
        <f>10^-(14-Q148)</f>
        <v>1.5848931924611122E-7</v>
      </c>
      <c r="U148" s="6">
        <v>0</v>
      </c>
      <c r="V148" s="6">
        <v>0</v>
      </c>
      <c r="W148" s="6">
        <v>0</v>
      </c>
      <c r="X148" s="6">
        <v>0</v>
      </c>
      <c r="Y148" t="s">
        <v>171</v>
      </c>
      <c r="Z148"/>
      <c r="AA148"/>
      <c r="AB148"/>
      <c r="AC148"/>
      <c r="AD148">
        <v>0.16700000000000001</v>
      </c>
      <c r="AE148">
        <v>256</v>
      </c>
      <c r="AF148">
        <v>1</v>
      </c>
      <c r="AI148" s="9">
        <v>1.36</v>
      </c>
      <c r="AL148" s="9">
        <v>21.48</v>
      </c>
      <c r="AM148" s="9">
        <v>1.43</v>
      </c>
      <c r="AN148" s="9">
        <v>3</v>
      </c>
    </row>
    <row r="149" spans="1:40" x14ac:dyDescent="0.3">
      <c r="A149">
        <v>3</v>
      </c>
      <c r="B149" t="s">
        <v>1709</v>
      </c>
      <c r="C149">
        <v>10</v>
      </c>
      <c r="D149"/>
      <c r="I149"/>
      <c r="J149"/>
      <c r="K149"/>
      <c r="L149" t="s">
        <v>172</v>
      </c>
      <c r="N149">
        <v>0.54600000000000004</v>
      </c>
      <c r="O149">
        <v>0</v>
      </c>
      <c r="P149">
        <v>90</v>
      </c>
      <c r="Q149">
        <v>7.2</v>
      </c>
      <c r="R149" t="s">
        <v>102</v>
      </c>
      <c r="T149" s="6">
        <f>10^-(14-Q149)</f>
        <v>1.5848931924611122E-7</v>
      </c>
      <c r="U149" s="6">
        <v>0</v>
      </c>
      <c r="V149" s="6">
        <v>0</v>
      </c>
      <c r="W149" s="6">
        <v>0</v>
      </c>
      <c r="X149" s="6">
        <v>0</v>
      </c>
      <c r="Y149" t="s">
        <v>171</v>
      </c>
      <c r="Z149"/>
      <c r="AA149"/>
      <c r="AB149"/>
      <c r="AC149"/>
      <c r="AE149">
        <v>248</v>
      </c>
      <c r="AF149">
        <v>1</v>
      </c>
      <c r="AI149" s="9">
        <v>1.36</v>
      </c>
      <c r="AL149" s="9">
        <v>21.48</v>
      </c>
      <c r="AM149" s="9">
        <v>1.43</v>
      </c>
      <c r="AN149" s="9">
        <v>3</v>
      </c>
    </row>
    <row r="150" spans="1:40" x14ac:dyDescent="0.3">
      <c r="A150">
        <v>3</v>
      </c>
      <c r="B150" t="s">
        <v>1709</v>
      </c>
      <c r="C150">
        <v>10</v>
      </c>
      <c r="D150"/>
      <c r="I150"/>
      <c r="J150"/>
      <c r="K150"/>
      <c r="L150" t="s">
        <v>172</v>
      </c>
      <c r="N150">
        <v>0.54600000000000004</v>
      </c>
      <c r="O150">
        <v>0</v>
      </c>
      <c r="P150">
        <v>90</v>
      </c>
      <c r="Q150">
        <v>7.2</v>
      </c>
      <c r="R150" t="s">
        <v>102</v>
      </c>
      <c r="T150" s="6">
        <f>10^-(14-Q150)</f>
        <v>1.5848931924611122E-7</v>
      </c>
      <c r="U150" s="6">
        <v>0</v>
      </c>
      <c r="V150" s="6">
        <v>0</v>
      </c>
      <c r="W150" s="6">
        <v>0</v>
      </c>
      <c r="X150" s="6">
        <v>0</v>
      </c>
      <c r="Y150" t="s">
        <v>171</v>
      </c>
      <c r="Z150"/>
      <c r="AA150"/>
      <c r="AB150"/>
      <c r="AC150"/>
      <c r="AD150">
        <v>0.16700000000000001</v>
      </c>
      <c r="AE150">
        <v>306</v>
      </c>
      <c r="AF150">
        <v>1</v>
      </c>
      <c r="AI150" s="9">
        <v>1.36</v>
      </c>
      <c r="AL150" s="9">
        <v>21.48</v>
      </c>
      <c r="AM150" s="9">
        <v>1.43</v>
      </c>
      <c r="AN150" s="9">
        <v>3</v>
      </c>
    </row>
    <row r="151" spans="1:40" x14ac:dyDescent="0.3">
      <c r="A151">
        <v>3</v>
      </c>
      <c r="B151" t="s">
        <v>1709</v>
      </c>
      <c r="C151">
        <v>10</v>
      </c>
      <c r="D151"/>
      <c r="I151"/>
      <c r="J151"/>
      <c r="K151"/>
      <c r="L151" t="s">
        <v>172</v>
      </c>
      <c r="N151">
        <v>0.54600000000000004</v>
      </c>
      <c r="O151">
        <v>0</v>
      </c>
      <c r="P151">
        <v>90</v>
      </c>
      <c r="Q151">
        <v>7.2</v>
      </c>
      <c r="R151" t="s">
        <v>102</v>
      </c>
      <c r="T151" s="6">
        <f>10^-(14-Q151)</f>
        <v>1.5848931924611122E-7</v>
      </c>
      <c r="U151" s="6">
        <v>0</v>
      </c>
      <c r="V151" s="6">
        <v>0</v>
      </c>
      <c r="W151" s="6">
        <v>0</v>
      </c>
      <c r="X151" s="6">
        <v>0</v>
      </c>
      <c r="Y151" t="s">
        <v>171</v>
      </c>
      <c r="Z151"/>
      <c r="AA151"/>
      <c r="AB151"/>
      <c r="AC151"/>
      <c r="AE151">
        <v>272</v>
      </c>
      <c r="AF151">
        <v>1</v>
      </c>
      <c r="AI151" s="9">
        <v>1.36</v>
      </c>
      <c r="AL151" s="9">
        <v>21.48</v>
      </c>
      <c r="AM151" s="9">
        <v>1.43</v>
      </c>
      <c r="AN151" s="9">
        <v>3</v>
      </c>
    </row>
    <row r="152" spans="1:40" x14ac:dyDescent="0.3">
      <c r="A152">
        <v>3</v>
      </c>
      <c r="B152" t="s">
        <v>1709</v>
      </c>
      <c r="C152">
        <v>10</v>
      </c>
      <c r="D152"/>
      <c r="I152"/>
      <c r="J152"/>
      <c r="K152"/>
      <c r="L152" t="s">
        <v>172</v>
      </c>
      <c r="N152">
        <v>0.54600000000000004</v>
      </c>
      <c r="O152">
        <v>0</v>
      </c>
      <c r="P152">
        <v>90</v>
      </c>
      <c r="Q152">
        <v>7.2</v>
      </c>
      <c r="R152" t="s">
        <v>102</v>
      </c>
      <c r="T152" s="6">
        <f>10^-(14-Q152)</f>
        <v>1.5848931924611122E-7</v>
      </c>
      <c r="U152" s="6">
        <v>0</v>
      </c>
      <c r="V152" s="6">
        <v>0</v>
      </c>
      <c r="W152" s="6">
        <v>0</v>
      </c>
      <c r="X152" s="6">
        <v>0</v>
      </c>
      <c r="Y152" t="s">
        <v>171</v>
      </c>
      <c r="Z152"/>
      <c r="AA152"/>
      <c r="AB152"/>
      <c r="AC152"/>
      <c r="AD152">
        <v>0.16700000000000001</v>
      </c>
      <c r="AE152">
        <v>276</v>
      </c>
      <c r="AF152">
        <v>1</v>
      </c>
      <c r="AH152" s="9">
        <v>0.09</v>
      </c>
      <c r="AL152" s="9">
        <v>21.49</v>
      </c>
      <c r="AM152" s="9">
        <v>1.84</v>
      </c>
      <c r="AN152" s="9">
        <v>1.75</v>
      </c>
    </row>
    <row r="153" spans="1:40" x14ac:dyDescent="0.3">
      <c r="A153">
        <v>3</v>
      </c>
      <c r="B153" t="s">
        <v>1709</v>
      </c>
      <c r="C153">
        <v>10</v>
      </c>
      <c r="D153"/>
      <c r="I153"/>
      <c r="J153"/>
      <c r="K153"/>
      <c r="L153" t="s">
        <v>172</v>
      </c>
      <c r="N153">
        <v>0.54600000000000004</v>
      </c>
      <c r="O153">
        <v>0</v>
      </c>
      <c r="P153">
        <v>90</v>
      </c>
      <c r="Q153">
        <v>7.2</v>
      </c>
      <c r="R153" t="s">
        <v>102</v>
      </c>
      <c r="T153" s="6">
        <f>10^-(14-Q153)</f>
        <v>1.5848931924611122E-7</v>
      </c>
      <c r="U153" s="6">
        <v>0</v>
      </c>
      <c r="V153" s="6">
        <v>0</v>
      </c>
      <c r="W153" s="6">
        <v>0</v>
      </c>
      <c r="X153" s="6">
        <v>0</v>
      </c>
      <c r="Y153" t="s">
        <v>171</v>
      </c>
      <c r="Z153"/>
      <c r="AA153"/>
      <c r="AB153"/>
      <c r="AC153"/>
      <c r="AE153">
        <v>270</v>
      </c>
      <c r="AF153">
        <v>1</v>
      </c>
      <c r="AH153" s="9">
        <v>0.09</v>
      </c>
      <c r="AL153" s="9">
        <v>21.49</v>
      </c>
      <c r="AM153" s="9">
        <v>1.84</v>
      </c>
      <c r="AN153" s="9">
        <v>1.75</v>
      </c>
    </row>
    <row r="154" spans="1:40" x14ac:dyDescent="0.3">
      <c r="A154">
        <v>3</v>
      </c>
      <c r="B154" t="s">
        <v>1709</v>
      </c>
      <c r="C154">
        <v>10</v>
      </c>
      <c r="D154"/>
      <c r="I154"/>
      <c r="J154"/>
      <c r="K154"/>
      <c r="L154" t="s">
        <v>172</v>
      </c>
      <c r="N154">
        <v>0.54600000000000004</v>
      </c>
      <c r="O154">
        <v>0</v>
      </c>
      <c r="P154">
        <v>90</v>
      </c>
      <c r="Q154">
        <v>7.2</v>
      </c>
      <c r="R154" t="s">
        <v>102</v>
      </c>
      <c r="T154" s="6">
        <f>10^-(14-Q154)</f>
        <v>1.5848931924611122E-7</v>
      </c>
      <c r="U154" s="6">
        <v>0</v>
      </c>
      <c r="V154" s="6">
        <v>0</v>
      </c>
      <c r="W154" s="6">
        <v>0</v>
      </c>
      <c r="X154" s="6">
        <v>0</v>
      </c>
      <c r="Y154" t="s">
        <v>171</v>
      </c>
      <c r="Z154"/>
      <c r="AA154"/>
      <c r="AB154"/>
      <c r="AC154"/>
      <c r="AD154">
        <v>0.16700000000000001</v>
      </c>
      <c r="AE154">
        <v>284</v>
      </c>
      <c r="AF154">
        <v>1</v>
      </c>
      <c r="AH154" s="9">
        <v>0.09</v>
      </c>
      <c r="AL154" s="9">
        <v>21.49</v>
      </c>
      <c r="AM154" s="9">
        <v>1.84</v>
      </c>
      <c r="AN154" s="9">
        <v>1.75</v>
      </c>
    </row>
    <row r="155" spans="1:40" x14ac:dyDescent="0.3">
      <c r="A155">
        <v>3</v>
      </c>
      <c r="B155" t="s">
        <v>1709</v>
      </c>
      <c r="C155">
        <v>10</v>
      </c>
      <c r="D155"/>
      <c r="I155"/>
      <c r="J155"/>
      <c r="K155"/>
      <c r="L155" t="s">
        <v>172</v>
      </c>
      <c r="N155">
        <v>0.54600000000000004</v>
      </c>
      <c r="O155">
        <v>0</v>
      </c>
      <c r="P155">
        <v>90</v>
      </c>
      <c r="Q155">
        <v>7.2</v>
      </c>
      <c r="R155" t="s">
        <v>102</v>
      </c>
      <c r="T155" s="6">
        <f>10^-(14-Q155)</f>
        <v>1.5848931924611122E-7</v>
      </c>
      <c r="U155" s="6">
        <v>0</v>
      </c>
      <c r="V155" s="6">
        <v>0</v>
      </c>
      <c r="W155" s="6">
        <v>0</v>
      </c>
      <c r="X155" s="6">
        <v>0</v>
      </c>
      <c r="Y155" t="s">
        <v>171</v>
      </c>
      <c r="Z155"/>
      <c r="AA155"/>
      <c r="AB155"/>
      <c r="AC155"/>
      <c r="AE155">
        <v>165</v>
      </c>
      <c r="AF155">
        <v>1</v>
      </c>
      <c r="AH155" s="9">
        <v>0.09</v>
      </c>
      <c r="AL155" s="9">
        <v>21.49</v>
      </c>
      <c r="AM155" s="9">
        <v>1.84</v>
      </c>
      <c r="AN155" s="9">
        <v>1.75</v>
      </c>
    </row>
    <row r="156" spans="1:40" x14ac:dyDescent="0.3">
      <c r="A156">
        <v>3</v>
      </c>
      <c r="B156" t="s">
        <v>1709</v>
      </c>
      <c r="C156">
        <v>10</v>
      </c>
      <c r="D156"/>
      <c r="I156"/>
      <c r="J156"/>
      <c r="K156"/>
      <c r="L156" t="s">
        <v>172</v>
      </c>
      <c r="N156">
        <v>0.54600000000000004</v>
      </c>
      <c r="O156">
        <v>0</v>
      </c>
      <c r="P156">
        <v>90</v>
      </c>
      <c r="Q156">
        <v>7.2</v>
      </c>
      <c r="R156" t="s">
        <v>102</v>
      </c>
      <c r="T156" s="6">
        <f>10^-(14-Q156)</f>
        <v>1.5848931924611122E-7</v>
      </c>
      <c r="U156" s="6">
        <v>0</v>
      </c>
      <c r="V156" s="6">
        <v>0</v>
      </c>
      <c r="W156" s="6">
        <v>0</v>
      </c>
      <c r="X156" s="6">
        <v>0</v>
      </c>
      <c r="Y156" t="s">
        <v>171</v>
      </c>
      <c r="Z156"/>
      <c r="AA156"/>
      <c r="AB156"/>
      <c r="AC156"/>
      <c r="AD156">
        <v>0.16700000000000001</v>
      </c>
      <c r="AE156">
        <v>238</v>
      </c>
      <c r="AF156">
        <v>1</v>
      </c>
      <c r="AI156" s="9">
        <v>1.36</v>
      </c>
      <c r="AL156" s="9">
        <v>21.51</v>
      </c>
      <c r="AM156" s="9">
        <v>1.44</v>
      </c>
      <c r="AN156" s="9">
        <v>2.0299999999999998</v>
      </c>
    </row>
    <row r="157" spans="1:40" x14ac:dyDescent="0.3">
      <c r="A157">
        <v>3</v>
      </c>
      <c r="B157" t="s">
        <v>1709</v>
      </c>
      <c r="C157">
        <v>10</v>
      </c>
      <c r="D157"/>
      <c r="I157"/>
      <c r="J157"/>
      <c r="K157"/>
      <c r="L157" t="s">
        <v>172</v>
      </c>
      <c r="N157">
        <v>0.54600000000000004</v>
      </c>
      <c r="O157">
        <v>0</v>
      </c>
      <c r="P157">
        <v>90</v>
      </c>
      <c r="Q157">
        <v>7.2</v>
      </c>
      <c r="R157" t="s">
        <v>102</v>
      </c>
      <c r="T157" s="6">
        <f>10^-(14-Q157)</f>
        <v>1.5848931924611122E-7</v>
      </c>
      <c r="U157" s="6">
        <v>0</v>
      </c>
      <c r="V157" s="6">
        <v>0</v>
      </c>
      <c r="W157" s="6">
        <v>0</v>
      </c>
      <c r="X157" s="6">
        <v>0</v>
      </c>
      <c r="Y157" t="s">
        <v>171</v>
      </c>
      <c r="Z157"/>
      <c r="AA157"/>
      <c r="AB157"/>
      <c r="AC157"/>
      <c r="AE157">
        <v>230</v>
      </c>
      <c r="AF157">
        <v>1</v>
      </c>
      <c r="AI157" s="9">
        <v>1.36</v>
      </c>
      <c r="AL157" s="9">
        <v>21.51</v>
      </c>
      <c r="AM157" s="9">
        <v>1.44</v>
      </c>
      <c r="AN157" s="9">
        <v>2.0299999999999998</v>
      </c>
    </row>
    <row r="158" spans="1:40" x14ac:dyDescent="0.3">
      <c r="A158">
        <v>3</v>
      </c>
      <c r="B158" t="s">
        <v>1709</v>
      </c>
      <c r="C158">
        <v>10</v>
      </c>
      <c r="D158"/>
      <c r="I158"/>
      <c r="J158"/>
      <c r="K158"/>
      <c r="L158" t="s">
        <v>172</v>
      </c>
      <c r="N158">
        <v>0.54600000000000004</v>
      </c>
      <c r="O158">
        <v>0</v>
      </c>
      <c r="P158">
        <v>90</v>
      </c>
      <c r="Q158">
        <v>7.2</v>
      </c>
      <c r="R158" t="s">
        <v>102</v>
      </c>
      <c r="T158" s="6">
        <f>10^-(14-Q158)</f>
        <v>1.5848931924611122E-7</v>
      </c>
      <c r="U158" s="6">
        <v>0</v>
      </c>
      <c r="V158" s="6">
        <v>0</v>
      </c>
      <c r="W158" s="6">
        <v>0</v>
      </c>
      <c r="X158" s="6">
        <v>0</v>
      </c>
      <c r="Y158" t="s">
        <v>171</v>
      </c>
      <c r="Z158"/>
      <c r="AA158"/>
      <c r="AB158"/>
      <c r="AC158"/>
      <c r="AD158">
        <v>0.16700000000000001</v>
      </c>
      <c r="AE158">
        <v>262</v>
      </c>
      <c r="AF158">
        <v>1</v>
      </c>
      <c r="AI158" s="9">
        <v>1.36</v>
      </c>
      <c r="AL158" s="9">
        <v>21.51</v>
      </c>
      <c r="AM158" s="9">
        <v>1.44</v>
      </c>
      <c r="AN158" s="9">
        <v>2.0299999999999998</v>
      </c>
    </row>
    <row r="159" spans="1:40" x14ac:dyDescent="0.3">
      <c r="A159">
        <v>3</v>
      </c>
      <c r="B159" t="s">
        <v>1709</v>
      </c>
      <c r="C159">
        <v>10</v>
      </c>
      <c r="D159"/>
      <c r="I159"/>
      <c r="J159"/>
      <c r="K159"/>
      <c r="L159" t="s">
        <v>172</v>
      </c>
      <c r="N159">
        <v>0.54600000000000004</v>
      </c>
      <c r="O159">
        <v>0</v>
      </c>
      <c r="P159">
        <v>90</v>
      </c>
      <c r="Q159">
        <v>7.2</v>
      </c>
      <c r="R159" t="s">
        <v>102</v>
      </c>
      <c r="T159" s="6">
        <f>10^-(14-Q159)</f>
        <v>1.5848931924611122E-7</v>
      </c>
      <c r="U159" s="6">
        <v>0</v>
      </c>
      <c r="V159" s="6">
        <v>0</v>
      </c>
      <c r="W159" s="6">
        <v>0</v>
      </c>
      <c r="X159" s="6">
        <v>0</v>
      </c>
      <c r="Y159" t="s">
        <v>171</v>
      </c>
      <c r="Z159"/>
      <c r="AA159"/>
      <c r="AB159"/>
      <c r="AC159"/>
      <c r="AD159">
        <v>0.16700000000000001</v>
      </c>
      <c r="AE159">
        <v>225</v>
      </c>
      <c r="AF159">
        <v>1</v>
      </c>
      <c r="AH159" s="9">
        <v>0.09</v>
      </c>
      <c r="AI159" s="9">
        <v>1.36</v>
      </c>
      <c r="AL159" s="9">
        <v>21.51</v>
      </c>
      <c r="AM159" s="9">
        <v>1.43</v>
      </c>
      <c r="AN159" s="9">
        <v>2.62</v>
      </c>
    </row>
    <row r="160" spans="1:40" x14ac:dyDescent="0.3">
      <c r="A160">
        <v>3</v>
      </c>
      <c r="B160" t="s">
        <v>1709</v>
      </c>
      <c r="C160">
        <v>10</v>
      </c>
      <c r="D160"/>
      <c r="I160"/>
      <c r="J160"/>
      <c r="K160"/>
      <c r="L160" t="s">
        <v>172</v>
      </c>
      <c r="N160">
        <v>0.54600000000000004</v>
      </c>
      <c r="O160">
        <v>0</v>
      </c>
      <c r="P160">
        <v>90</v>
      </c>
      <c r="Q160">
        <v>7.2</v>
      </c>
      <c r="R160" t="s">
        <v>102</v>
      </c>
      <c r="T160" s="6">
        <f>10^-(14-Q160)</f>
        <v>1.5848931924611122E-7</v>
      </c>
      <c r="U160" s="6">
        <v>0</v>
      </c>
      <c r="V160" s="6">
        <v>0</v>
      </c>
      <c r="W160" s="6">
        <v>0</v>
      </c>
      <c r="X160" s="6">
        <v>0</v>
      </c>
      <c r="Y160" t="s">
        <v>171</v>
      </c>
      <c r="Z160"/>
      <c r="AA160"/>
      <c r="AB160"/>
      <c r="AC160"/>
      <c r="AE160">
        <v>232</v>
      </c>
      <c r="AF160">
        <v>1</v>
      </c>
      <c r="AI160" s="9">
        <v>1.36</v>
      </c>
      <c r="AL160" s="9">
        <v>21.51</v>
      </c>
      <c r="AM160" s="9">
        <v>1.44</v>
      </c>
      <c r="AN160" s="9">
        <v>2.0299999999999998</v>
      </c>
    </row>
    <row r="161" spans="1:40" x14ac:dyDescent="0.3">
      <c r="A161">
        <v>3</v>
      </c>
      <c r="B161" t="s">
        <v>1709</v>
      </c>
      <c r="C161">
        <v>10</v>
      </c>
      <c r="D161"/>
      <c r="I161"/>
      <c r="J161"/>
      <c r="K161"/>
      <c r="L161" t="s">
        <v>172</v>
      </c>
      <c r="N161">
        <v>0.54600000000000004</v>
      </c>
      <c r="O161">
        <v>0</v>
      </c>
      <c r="P161">
        <v>90</v>
      </c>
      <c r="Q161">
        <v>7.2</v>
      </c>
      <c r="R161" t="s">
        <v>102</v>
      </c>
      <c r="T161" s="6">
        <f>10^-(14-Q161)</f>
        <v>1.5848931924611122E-7</v>
      </c>
      <c r="U161" s="6">
        <v>0</v>
      </c>
      <c r="V161" s="6">
        <v>0</v>
      </c>
      <c r="W161" s="6">
        <v>0</v>
      </c>
      <c r="X161" s="6">
        <v>0</v>
      </c>
      <c r="Y161" t="s">
        <v>171</v>
      </c>
      <c r="Z161"/>
      <c r="AA161"/>
      <c r="AB161"/>
      <c r="AC161"/>
      <c r="AE161">
        <v>174</v>
      </c>
      <c r="AF161">
        <v>1</v>
      </c>
      <c r="AH161" s="9">
        <v>0.09</v>
      </c>
      <c r="AI161" s="9">
        <v>1.36</v>
      </c>
      <c r="AL161" s="9">
        <v>21.51</v>
      </c>
      <c r="AM161" s="9">
        <v>1.43</v>
      </c>
      <c r="AN161" s="9">
        <v>2.62</v>
      </c>
    </row>
    <row r="162" spans="1:40" x14ac:dyDescent="0.3">
      <c r="A162">
        <v>3</v>
      </c>
      <c r="B162" t="s">
        <v>1709</v>
      </c>
      <c r="C162">
        <v>10</v>
      </c>
      <c r="D162"/>
      <c r="I162"/>
      <c r="J162"/>
      <c r="K162"/>
      <c r="L162" t="s">
        <v>172</v>
      </c>
      <c r="N162">
        <v>0.54600000000000004</v>
      </c>
      <c r="O162">
        <v>0</v>
      </c>
      <c r="P162">
        <v>90</v>
      </c>
      <c r="Q162">
        <v>7.2</v>
      </c>
      <c r="R162" t="s">
        <v>102</v>
      </c>
      <c r="T162" s="6">
        <f>10^-(14-Q162)</f>
        <v>1.5848931924611122E-7</v>
      </c>
      <c r="U162" s="6">
        <v>0</v>
      </c>
      <c r="V162" s="6">
        <v>0</v>
      </c>
      <c r="W162" s="6">
        <v>0</v>
      </c>
      <c r="X162" s="6">
        <v>0</v>
      </c>
      <c r="Y162" t="s">
        <v>171</v>
      </c>
      <c r="Z162"/>
      <c r="AA162"/>
      <c r="AB162"/>
      <c r="AC162"/>
      <c r="AD162">
        <v>0.16700000000000001</v>
      </c>
      <c r="AE162">
        <v>194</v>
      </c>
      <c r="AF162">
        <v>1</v>
      </c>
      <c r="AH162" s="9">
        <v>0.09</v>
      </c>
      <c r="AI162" s="9">
        <v>1.37</v>
      </c>
      <c r="AL162" s="9">
        <v>21.53</v>
      </c>
      <c r="AM162" s="9">
        <v>1.44</v>
      </c>
      <c r="AN162" s="9">
        <v>1.75</v>
      </c>
    </row>
    <row r="163" spans="1:40" x14ac:dyDescent="0.3">
      <c r="A163">
        <v>3</v>
      </c>
      <c r="B163" t="s">
        <v>1709</v>
      </c>
      <c r="C163">
        <v>10</v>
      </c>
      <c r="D163"/>
      <c r="I163"/>
      <c r="J163"/>
      <c r="K163"/>
      <c r="L163" t="s">
        <v>172</v>
      </c>
      <c r="N163">
        <v>0.54600000000000004</v>
      </c>
      <c r="O163">
        <v>0</v>
      </c>
      <c r="P163">
        <v>90</v>
      </c>
      <c r="Q163">
        <v>7.2</v>
      </c>
      <c r="R163" t="s">
        <v>102</v>
      </c>
      <c r="T163" s="6">
        <f>10^-(14-Q163)</f>
        <v>1.5848931924611122E-7</v>
      </c>
      <c r="U163" s="6">
        <v>0</v>
      </c>
      <c r="V163" s="6">
        <v>0</v>
      </c>
      <c r="W163" s="6">
        <v>0</v>
      </c>
      <c r="X163" s="6">
        <v>0</v>
      </c>
      <c r="Y163" t="s">
        <v>171</v>
      </c>
      <c r="Z163"/>
      <c r="AA163"/>
      <c r="AB163"/>
      <c r="AC163"/>
      <c r="AE163">
        <v>192</v>
      </c>
      <c r="AF163">
        <v>1</v>
      </c>
      <c r="AH163" s="9">
        <v>0.09</v>
      </c>
      <c r="AI163" s="9">
        <v>1.37</v>
      </c>
      <c r="AL163" s="9">
        <v>21.53</v>
      </c>
      <c r="AM163" s="9">
        <v>1.44</v>
      </c>
      <c r="AN163" s="9">
        <v>1.75</v>
      </c>
    </row>
    <row r="164" spans="1:40" x14ac:dyDescent="0.3">
      <c r="A164">
        <v>3</v>
      </c>
      <c r="B164" t="s">
        <v>1709</v>
      </c>
      <c r="C164">
        <v>10</v>
      </c>
      <c r="D164"/>
      <c r="I164"/>
      <c r="J164"/>
      <c r="K164"/>
      <c r="L164" t="s">
        <v>172</v>
      </c>
      <c r="N164">
        <v>0.54600000000000004</v>
      </c>
      <c r="O164">
        <v>0</v>
      </c>
      <c r="P164">
        <v>90</v>
      </c>
      <c r="Q164">
        <v>7.2</v>
      </c>
      <c r="R164" t="s">
        <v>102</v>
      </c>
      <c r="T164" s="6">
        <f>10^-(14-Q164)</f>
        <v>1.5848931924611122E-7</v>
      </c>
      <c r="U164" s="6">
        <v>0</v>
      </c>
      <c r="V164" s="6">
        <v>0</v>
      </c>
      <c r="W164" s="6">
        <v>0</v>
      </c>
      <c r="X164" s="6">
        <v>0</v>
      </c>
      <c r="Y164" t="s">
        <v>171</v>
      </c>
      <c r="Z164"/>
      <c r="AA164"/>
      <c r="AB164"/>
      <c r="AC164"/>
      <c r="AD164">
        <v>0.16700000000000001</v>
      </c>
      <c r="AE164">
        <v>140</v>
      </c>
      <c r="AF164">
        <v>1</v>
      </c>
      <c r="AH164" s="9">
        <v>0.08</v>
      </c>
      <c r="AL164" s="9">
        <v>22.52</v>
      </c>
      <c r="AM164" s="9">
        <v>1.85</v>
      </c>
      <c r="AN164" s="9">
        <v>0.7</v>
      </c>
    </row>
    <row r="165" spans="1:40" x14ac:dyDescent="0.3">
      <c r="A165">
        <v>3</v>
      </c>
      <c r="B165" t="s">
        <v>1709</v>
      </c>
      <c r="C165">
        <v>10</v>
      </c>
      <c r="D165"/>
      <c r="I165"/>
      <c r="J165"/>
      <c r="K165"/>
      <c r="L165" t="s">
        <v>172</v>
      </c>
      <c r="N165">
        <v>0.54600000000000004</v>
      </c>
      <c r="O165">
        <v>0</v>
      </c>
      <c r="P165">
        <v>90</v>
      </c>
      <c r="Q165">
        <v>7.2</v>
      </c>
      <c r="R165" t="s">
        <v>102</v>
      </c>
      <c r="T165" s="6">
        <f>10^-(14-Q165)</f>
        <v>1.5848931924611122E-7</v>
      </c>
      <c r="U165" s="6">
        <v>0</v>
      </c>
      <c r="V165" s="6">
        <v>0</v>
      </c>
      <c r="W165" s="6">
        <v>0</v>
      </c>
      <c r="X165" s="6">
        <v>0</v>
      </c>
      <c r="Y165" t="s">
        <v>171</v>
      </c>
      <c r="Z165"/>
      <c r="AA165"/>
      <c r="AB165"/>
      <c r="AC165"/>
      <c r="AE165">
        <v>95</v>
      </c>
      <c r="AF165">
        <v>1</v>
      </c>
      <c r="AH165" s="9">
        <v>0.08</v>
      </c>
      <c r="AL165" s="9">
        <v>22.52</v>
      </c>
      <c r="AM165" s="9">
        <v>1.85</v>
      </c>
      <c r="AN165" s="9">
        <v>0.7</v>
      </c>
    </row>
    <row r="166" spans="1:40" x14ac:dyDescent="0.3">
      <c r="A166">
        <v>3</v>
      </c>
      <c r="B166" t="s">
        <v>1709</v>
      </c>
      <c r="C166">
        <v>10</v>
      </c>
      <c r="D166"/>
      <c r="I166"/>
      <c r="J166"/>
      <c r="K166"/>
      <c r="L166" t="s">
        <v>172</v>
      </c>
      <c r="N166">
        <v>0.54600000000000004</v>
      </c>
      <c r="O166">
        <v>0</v>
      </c>
      <c r="P166">
        <v>90</v>
      </c>
      <c r="Q166">
        <v>7.2</v>
      </c>
      <c r="R166" t="s">
        <v>102</v>
      </c>
      <c r="T166" s="6">
        <f>10^-(14-Q166)</f>
        <v>1.5848931924611122E-7</v>
      </c>
      <c r="U166" s="6">
        <v>0</v>
      </c>
      <c r="V166" s="6">
        <v>0</v>
      </c>
      <c r="W166" s="6">
        <v>0</v>
      </c>
      <c r="X166" s="6">
        <v>0</v>
      </c>
      <c r="Y166" t="s">
        <v>171</v>
      </c>
      <c r="Z166"/>
      <c r="AA166"/>
      <c r="AB166"/>
      <c r="AC166"/>
      <c r="AD166">
        <v>0.16700000000000001</v>
      </c>
      <c r="AH166" s="9">
        <v>0.08</v>
      </c>
      <c r="AL166" s="9">
        <v>22.52</v>
      </c>
      <c r="AM166" s="9">
        <v>1.85</v>
      </c>
      <c r="AN166" s="9">
        <v>0.7</v>
      </c>
    </row>
    <row r="167" spans="1:40" x14ac:dyDescent="0.3">
      <c r="A167">
        <v>3</v>
      </c>
      <c r="B167" t="s">
        <v>1709</v>
      </c>
      <c r="C167">
        <v>10</v>
      </c>
      <c r="D167"/>
      <c r="I167"/>
      <c r="J167"/>
      <c r="K167"/>
      <c r="L167" t="s">
        <v>172</v>
      </c>
      <c r="N167">
        <v>0.54600000000000004</v>
      </c>
      <c r="O167">
        <v>0</v>
      </c>
      <c r="P167">
        <v>90</v>
      </c>
      <c r="Q167">
        <v>7.2</v>
      </c>
      <c r="R167" t="s">
        <v>102</v>
      </c>
      <c r="T167" s="6">
        <f>10^-(14-Q167)</f>
        <v>1.5848931924611122E-7</v>
      </c>
      <c r="U167" s="6">
        <v>0</v>
      </c>
      <c r="V167" s="6">
        <v>0</v>
      </c>
      <c r="W167" s="6">
        <v>0</v>
      </c>
      <c r="X167" s="6">
        <v>0</v>
      </c>
      <c r="Y167" t="s">
        <v>171</v>
      </c>
      <c r="Z167"/>
      <c r="AA167"/>
      <c r="AB167"/>
      <c r="AC167"/>
      <c r="AE167">
        <v>98</v>
      </c>
      <c r="AF167">
        <v>1</v>
      </c>
      <c r="AH167" s="9">
        <v>0.08</v>
      </c>
      <c r="AL167" s="9">
        <v>22.52</v>
      </c>
      <c r="AM167" s="9">
        <v>1.85</v>
      </c>
      <c r="AN167" s="9">
        <v>0.7</v>
      </c>
    </row>
    <row r="168" spans="1:40" x14ac:dyDescent="0.3">
      <c r="A168">
        <v>3</v>
      </c>
      <c r="B168" t="s">
        <v>1709</v>
      </c>
      <c r="C168">
        <v>10</v>
      </c>
      <c r="D168"/>
      <c r="I168"/>
      <c r="J168"/>
      <c r="K168"/>
      <c r="L168" t="s">
        <v>172</v>
      </c>
      <c r="N168">
        <v>0.54600000000000004</v>
      </c>
      <c r="O168">
        <v>0</v>
      </c>
      <c r="P168">
        <v>90</v>
      </c>
      <c r="Q168">
        <v>7.2</v>
      </c>
      <c r="R168" t="s">
        <v>102</v>
      </c>
      <c r="T168" s="6">
        <f>10^-(14-Q168)</f>
        <v>1.5848931924611122E-7</v>
      </c>
      <c r="U168" s="6">
        <v>0</v>
      </c>
      <c r="V168" s="6">
        <v>0</v>
      </c>
      <c r="W168" s="6">
        <v>0</v>
      </c>
      <c r="X168" s="6">
        <v>0</v>
      </c>
      <c r="Y168" t="s">
        <v>171</v>
      </c>
      <c r="Z168"/>
      <c r="AA168"/>
      <c r="AB168"/>
      <c r="AC168"/>
      <c r="AD168">
        <v>0.16700000000000001</v>
      </c>
      <c r="AE168">
        <v>152</v>
      </c>
      <c r="AF168">
        <v>1</v>
      </c>
      <c r="AI168" s="9">
        <v>1.37</v>
      </c>
      <c r="AL168" s="9">
        <v>22.53</v>
      </c>
      <c r="AM168" s="9">
        <v>1.45</v>
      </c>
      <c r="AN168" s="9">
        <v>1.02</v>
      </c>
    </row>
    <row r="169" spans="1:40" x14ac:dyDescent="0.3">
      <c r="A169">
        <v>3</v>
      </c>
      <c r="B169" t="s">
        <v>1709</v>
      </c>
      <c r="C169">
        <v>10</v>
      </c>
      <c r="D169"/>
      <c r="I169"/>
      <c r="J169"/>
      <c r="K169"/>
      <c r="L169" t="s">
        <v>172</v>
      </c>
      <c r="N169">
        <v>0.54600000000000004</v>
      </c>
      <c r="O169">
        <v>0</v>
      </c>
      <c r="P169">
        <v>90</v>
      </c>
      <c r="Q169">
        <v>7.2</v>
      </c>
      <c r="R169" t="s">
        <v>102</v>
      </c>
      <c r="T169" s="6">
        <f>10^-(14-Q169)</f>
        <v>1.5848931924611122E-7</v>
      </c>
      <c r="U169" s="6">
        <v>0</v>
      </c>
      <c r="V169" s="6">
        <v>0</v>
      </c>
      <c r="W169" s="6">
        <v>0</v>
      </c>
      <c r="X169" s="6">
        <v>0</v>
      </c>
      <c r="Y169" t="s">
        <v>171</v>
      </c>
      <c r="Z169"/>
      <c r="AA169"/>
      <c r="AB169"/>
      <c r="AC169"/>
      <c r="AE169">
        <v>142</v>
      </c>
      <c r="AF169">
        <v>1</v>
      </c>
      <c r="AI169" s="9">
        <v>1.37</v>
      </c>
      <c r="AL169" s="9">
        <v>22.53</v>
      </c>
      <c r="AM169" s="9">
        <v>1.45</v>
      </c>
      <c r="AN169" s="9">
        <v>1.02</v>
      </c>
    </row>
    <row r="170" spans="1:40" x14ac:dyDescent="0.3">
      <c r="A170">
        <v>3</v>
      </c>
      <c r="B170" t="s">
        <v>1709</v>
      </c>
      <c r="C170">
        <v>10</v>
      </c>
      <c r="D170"/>
      <c r="I170"/>
      <c r="J170"/>
      <c r="K170"/>
      <c r="L170" t="s">
        <v>172</v>
      </c>
      <c r="N170">
        <v>0.54600000000000004</v>
      </c>
      <c r="O170">
        <v>0</v>
      </c>
      <c r="P170">
        <v>90</v>
      </c>
      <c r="Q170">
        <v>7.2</v>
      </c>
      <c r="R170" t="s">
        <v>102</v>
      </c>
      <c r="T170" s="6">
        <f>10^-(14-Q170)</f>
        <v>1.5848931924611122E-7</v>
      </c>
      <c r="U170" s="6">
        <v>0</v>
      </c>
      <c r="V170" s="6">
        <v>0</v>
      </c>
      <c r="W170" s="6">
        <v>0</v>
      </c>
      <c r="X170" s="6">
        <v>0</v>
      </c>
      <c r="Y170" t="s">
        <v>171</v>
      </c>
      <c r="Z170"/>
      <c r="AA170"/>
      <c r="AB170"/>
      <c r="AC170"/>
      <c r="AD170">
        <v>0.16700000000000001</v>
      </c>
      <c r="AE170">
        <v>136</v>
      </c>
      <c r="AF170">
        <v>1</v>
      </c>
      <c r="AI170" s="9">
        <v>1.37</v>
      </c>
      <c r="AL170" s="9">
        <v>22.53</v>
      </c>
      <c r="AM170" s="9">
        <v>1.45</v>
      </c>
      <c r="AN170" s="9">
        <v>1.02</v>
      </c>
    </row>
    <row r="171" spans="1:40" x14ac:dyDescent="0.3">
      <c r="A171">
        <v>3</v>
      </c>
      <c r="B171" t="s">
        <v>1709</v>
      </c>
      <c r="C171">
        <v>10</v>
      </c>
      <c r="D171"/>
      <c r="I171"/>
      <c r="J171"/>
      <c r="K171"/>
      <c r="L171" t="s">
        <v>172</v>
      </c>
      <c r="N171">
        <v>0.54600000000000004</v>
      </c>
      <c r="O171">
        <v>0</v>
      </c>
      <c r="P171">
        <v>90</v>
      </c>
      <c r="Q171">
        <v>7.2</v>
      </c>
      <c r="R171" t="s">
        <v>102</v>
      </c>
      <c r="T171" s="6">
        <f>10^-(14-Q171)</f>
        <v>1.5848931924611122E-7</v>
      </c>
      <c r="U171" s="6">
        <v>0</v>
      </c>
      <c r="V171" s="6">
        <v>0</v>
      </c>
      <c r="W171" s="6">
        <v>0</v>
      </c>
      <c r="X171" s="6">
        <v>0</v>
      </c>
      <c r="Y171" t="s">
        <v>171</v>
      </c>
      <c r="Z171"/>
      <c r="AA171"/>
      <c r="AB171"/>
      <c r="AC171"/>
      <c r="AE171">
        <v>108</v>
      </c>
      <c r="AF171">
        <v>1</v>
      </c>
      <c r="AI171" s="9">
        <v>1.37</v>
      </c>
      <c r="AL171" s="9">
        <v>22.53</v>
      </c>
      <c r="AM171" s="9">
        <v>1.45</v>
      </c>
      <c r="AN171" s="9">
        <v>1.02</v>
      </c>
    </row>
    <row r="172" spans="1:40" x14ac:dyDescent="0.3">
      <c r="A172">
        <v>3</v>
      </c>
      <c r="B172" t="s">
        <v>1709</v>
      </c>
      <c r="C172">
        <v>10</v>
      </c>
      <c r="D172"/>
      <c r="I172"/>
      <c r="J172"/>
      <c r="K172"/>
      <c r="L172" t="s">
        <v>172</v>
      </c>
      <c r="N172">
        <v>0.54600000000000004</v>
      </c>
      <c r="O172">
        <v>0</v>
      </c>
      <c r="P172">
        <v>90</v>
      </c>
      <c r="Q172">
        <v>7.2</v>
      </c>
      <c r="R172" t="s">
        <v>102</v>
      </c>
      <c r="T172" s="6">
        <f>10^-(14-Q172)</f>
        <v>1.5848931924611122E-7</v>
      </c>
      <c r="U172" s="6">
        <v>0</v>
      </c>
      <c r="V172" s="6">
        <v>0</v>
      </c>
      <c r="W172" s="6">
        <v>0</v>
      </c>
      <c r="X172" s="6">
        <v>0</v>
      </c>
      <c r="Y172" t="s">
        <v>171</v>
      </c>
      <c r="Z172"/>
      <c r="AA172"/>
      <c r="AB172"/>
      <c r="AC172"/>
      <c r="AD172">
        <v>0.16700000000000001</v>
      </c>
      <c r="AE172">
        <v>286</v>
      </c>
      <c r="AF172">
        <v>1</v>
      </c>
      <c r="AH172" s="9">
        <v>0.09</v>
      </c>
      <c r="AI172" s="9">
        <v>1.37</v>
      </c>
      <c r="AL172" s="9">
        <v>22.56</v>
      </c>
      <c r="AM172" s="9">
        <v>1.44</v>
      </c>
      <c r="AN172" s="9">
        <v>0.71</v>
      </c>
    </row>
    <row r="173" spans="1:40" x14ac:dyDescent="0.3">
      <c r="A173">
        <v>3</v>
      </c>
      <c r="B173" t="s">
        <v>1709</v>
      </c>
      <c r="C173">
        <v>10</v>
      </c>
      <c r="D173"/>
      <c r="I173"/>
      <c r="J173"/>
      <c r="K173"/>
      <c r="L173" t="s">
        <v>172</v>
      </c>
      <c r="N173">
        <v>0.54600000000000004</v>
      </c>
      <c r="O173">
        <v>0</v>
      </c>
      <c r="P173">
        <v>90</v>
      </c>
      <c r="Q173">
        <v>7.2</v>
      </c>
      <c r="R173" t="s">
        <v>102</v>
      </c>
      <c r="T173" s="6">
        <f>10^-(14-Q173)</f>
        <v>1.5848931924611122E-7</v>
      </c>
      <c r="U173" s="6">
        <v>0</v>
      </c>
      <c r="V173" s="6">
        <v>0</v>
      </c>
      <c r="W173" s="6">
        <v>0</v>
      </c>
      <c r="X173" s="6">
        <v>0</v>
      </c>
      <c r="Y173" t="s">
        <v>171</v>
      </c>
      <c r="Z173"/>
      <c r="AA173"/>
      <c r="AB173"/>
      <c r="AC173"/>
      <c r="AE173">
        <v>174</v>
      </c>
      <c r="AF173">
        <v>1</v>
      </c>
      <c r="AH173" s="9">
        <v>0.09</v>
      </c>
      <c r="AI173" s="9">
        <v>1.37</v>
      </c>
      <c r="AL173" s="9">
        <v>22.56</v>
      </c>
      <c r="AM173" s="9">
        <v>1.44</v>
      </c>
      <c r="AN173" s="9">
        <v>0.71</v>
      </c>
    </row>
    <row r="174" spans="1:40" x14ac:dyDescent="0.3">
      <c r="A174">
        <v>3</v>
      </c>
      <c r="B174" t="s">
        <v>1709</v>
      </c>
      <c r="C174">
        <v>10</v>
      </c>
      <c r="D174"/>
      <c r="I174"/>
      <c r="J174"/>
      <c r="K174"/>
      <c r="L174" t="s">
        <v>172</v>
      </c>
      <c r="N174">
        <v>0.54600000000000004</v>
      </c>
      <c r="O174">
        <v>0</v>
      </c>
      <c r="P174">
        <v>90</v>
      </c>
      <c r="Q174">
        <v>7.2</v>
      </c>
      <c r="R174" t="s">
        <v>102</v>
      </c>
      <c r="T174" s="6">
        <f>10^-(14-Q174)</f>
        <v>1.5848931924611122E-7</v>
      </c>
      <c r="U174" s="6">
        <v>0</v>
      </c>
      <c r="V174" s="6">
        <v>0</v>
      </c>
      <c r="W174" s="6">
        <v>0</v>
      </c>
      <c r="X174" s="6">
        <v>0</v>
      </c>
      <c r="Y174" t="s">
        <v>171</v>
      </c>
      <c r="Z174"/>
      <c r="AA174"/>
      <c r="AB174"/>
      <c r="AC174"/>
      <c r="AD174">
        <v>0.16700000000000001</v>
      </c>
      <c r="AE174">
        <v>194</v>
      </c>
      <c r="AF174">
        <v>1</v>
      </c>
      <c r="AH174" s="9">
        <v>0.09</v>
      </c>
      <c r="AI174" s="9">
        <v>1.37</v>
      </c>
      <c r="AL174" s="9">
        <v>22.56</v>
      </c>
      <c r="AM174" s="9">
        <v>1.44</v>
      </c>
      <c r="AN174" s="9">
        <v>0.71</v>
      </c>
    </row>
    <row r="175" spans="1:40" x14ac:dyDescent="0.3">
      <c r="A175">
        <v>3</v>
      </c>
      <c r="B175" t="s">
        <v>1709</v>
      </c>
      <c r="C175">
        <v>10</v>
      </c>
      <c r="D175"/>
      <c r="I175"/>
      <c r="J175"/>
      <c r="K175"/>
      <c r="L175" t="s">
        <v>172</v>
      </c>
      <c r="N175">
        <v>0.54600000000000004</v>
      </c>
      <c r="O175">
        <v>0</v>
      </c>
      <c r="P175">
        <v>90</v>
      </c>
      <c r="Q175">
        <v>7.2</v>
      </c>
      <c r="R175" t="s">
        <v>102</v>
      </c>
      <c r="T175" s="6">
        <f>10^-(14-Q175)</f>
        <v>1.5848931924611122E-7</v>
      </c>
      <c r="U175" s="6">
        <v>0</v>
      </c>
      <c r="V175" s="6">
        <v>0</v>
      </c>
      <c r="W175" s="6">
        <v>0</v>
      </c>
      <c r="X175" s="6">
        <v>0</v>
      </c>
      <c r="Y175" t="s">
        <v>171</v>
      </c>
      <c r="Z175"/>
      <c r="AA175"/>
      <c r="AB175"/>
      <c r="AC175"/>
      <c r="AE175">
        <v>186</v>
      </c>
      <c r="AF175">
        <v>1</v>
      </c>
      <c r="AH175" s="9">
        <v>0.09</v>
      </c>
      <c r="AI175" s="9">
        <v>1.37</v>
      </c>
      <c r="AL175" s="9">
        <v>22.56</v>
      </c>
      <c r="AM175" s="9">
        <v>1.44</v>
      </c>
      <c r="AN175" s="9">
        <v>0.71</v>
      </c>
    </row>
    <row r="176" spans="1:40" x14ac:dyDescent="0.3">
      <c r="A176">
        <v>3</v>
      </c>
      <c r="B176" t="s">
        <v>1709</v>
      </c>
      <c r="C176">
        <v>10</v>
      </c>
      <c r="D176"/>
      <c r="I176"/>
      <c r="J176"/>
      <c r="K176"/>
      <c r="L176" t="s">
        <v>172</v>
      </c>
      <c r="N176">
        <v>0.54600000000000004</v>
      </c>
      <c r="O176">
        <v>0</v>
      </c>
      <c r="P176">
        <v>90</v>
      </c>
      <c r="Q176">
        <v>7.2</v>
      </c>
      <c r="R176" t="s">
        <v>102</v>
      </c>
      <c r="T176" s="6">
        <f>10^-(14-Q176)</f>
        <v>1.5848931924611122E-7</v>
      </c>
      <c r="U176" s="6">
        <v>0</v>
      </c>
      <c r="V176" s="6">
        <v>0</v>
      </c>
      <c r="W176" s="6">
        <v>0</v>
      </c>
      <c r="X176" s="6">
        <v>0</v>
      </c>
      <c r="Y176" t="s">
        <v>171</v>
      </c>
      <c r="Z176"/>
      <c r="AA176"/>
      <c r="AB176"/>
      <c r="AC176"/>
      <c r="AD176">
        <v>0.16700000000000001</v>
      </c>
      <c r="AE176">
        <v>192</v>
      </c>
      <c r="AF176">
        <v>1</v>
      </c>
      <c r="AI176" s="9">
        <v>0.68</v>
      </c>
      <c r="AL176" s="9">
        <v>23.29</v>
      </c>
      <c r="AM176" s="9">
        <v>0.71</v>
      </c>
      <c r="AN176" s="9">
        <v>2.02</v>
      </c>
    </row>
    <row r="177" spans="1:41" x14ac:dyDescent="0.3">
      <c r="A177">
        <v>3</v>
      </c>
      <c r="B177" t="s">
        <v>1709</v>
      </c>
      <c r="C177">
        <v>10</v>
      </c>
      <c r="D177"/>
      <c r="I177"/>
      <c r="J177"/>
      <c r="K177"/>
      <c r="L177" t="s">
        <v>172</v>
      </c>
      <c r="N177">
        <v>0.54600000000000004</v>
      </c>
      <c r="O177">
        <v>0</v>
      </c>
      <c r="P177">
        <v>90</v>
      </c>
      <c r="Q177">
        <v>7.2</v>
      </c>
      <c r="R177" t="s">
        <v>102</v>
      </c>
      <c r="T177" s="6">
        <f>10^-(14-Q177)</f>
        <v>1.5848931924611122E-7</v>
      </c>
      <c r="U177" s="6">
        <v>0</v>
      </c>
      <c r="V177" s="6">
        <v>0</v>
      </c>
      <c r="W177" s="6">
        <v>0</v>
      </c>
      <c r="X177" s="6">
        <v>0</v>
      </c>
      <c r="Y177" t="s">
        <v>171</v>
      </c>
      <c r="Z177"/>
      <c r="AA177"/>
      <c r="AB177"/>
      <c r="AC177"/>
      <c r="AE177">
        <v>170</v>
      </c>
      <c r="AF177">
        <v>1</v>
      </c>
      <c r="AI177" s="9">
        <v>0.68</v>
      </c>
      <c r="AL177" s="9">
        <v>23.29</v>
      </c>
      <c r="AM177" s="9">
        <v>0.71</v>
      </c>
      <c r="AN177" s="9">
        <v>2.02</v>
      </c>
    </row>
    <row r="178" spans="1:41" x14ac:dyDescent="0.3">
      <c r="A178">
        <v>3</v>
      </c>
      <c r="B178" t="s">
        <v>1709</v>
      </c>
      <c r="C178">
        <v>10</v>
      </c>
      <c r="D178"/>
      <c r="I178"/>
      <c r="J178"/>
      <c r="K178"/>
      <c r="L178" t="s">
        <v>172</v>
      </c>
      <c r="N178">
        <v>0.54600000000000004</v>
      </c>
      <c r="O178">
        <v>0</v>
      </c>
      <c r="P178">
        <v>90</v>
      </c>
      <c r="Q178">
        <v>7.2</v>
      </c>
      <c r="R178" t="s">
        <v>102</v>
      </c>
      <c r="T178" s="6">
        <f>10^-(14-Q178)</f>
        <v>1.5848931924611122E-7</v>
      </c>
      <c r="U178" s="6">
        <v>0</v>
      </c>
      <c r="V178" s="6">
        <v>0</v>
      </c>
      <c r="W178" s="6">
        <v>0</v>
      </c>
      <c r="X178" s="6">
        <v>0</v>
      </c>
      <c r="Y178" t="s">
        <v>171</v>
      </c>
      <c r="Z178"/>
      <c r="AA178"/>
      <c r="AB178"/>
      <c r="AC178"/>
      <c r="AD178">
        <v>0.16700000000000001</v>
      </c>
      <c r="AE178">
        <v>174</v>
      </c>
      <c r="AF178">
        <v>1</v>
      </c>
      <c r="AI178" s="9">
        <v>0.68</v>
      </c>
      <c r="AL178" s="9">
        <v>24.32</v>
      </c>
      <c r="AM178" s="9">
        <v>0.72</v>
      </c>
      <c r="AN178" s="9">
        <v>1.02</v>
      </c>
    </row>
    <row r="179" spans="1:41" x14ac:dyDescent="0.3">
      <c r="A179">
        <v>3</v>
      </c>
      <c r="B179" t="s">
        <v>1709</v>
      </c>
      <c r="C179">
        <v>10</v>
      </c>
      <c r="D179"/>
      <c r="I179"/>
      <c r="J179"/>
      <c r="K179"/>
      <c r="L179" t="s">
        <v>172</v>
      </c>
      <c r="N179">
        <v>0.54600000000000004</v>
      </c>
      <c r="O179">
        <v>0</v>
      </c>
      <c r="P179">
        <v>90</v>
      </c>
      <c r="Q179">
        <v>7.2</v>
      </c>
      <c r="R179" t="s">
        <v>102</v>
      </c>
      <c r="T179" s="6">
        <f>10^-(14-Q179)</f>
        <v>1.5848931924611122E-7</v>
      </c>
      <c r="U179" s="6">
        <v>0</v>
      </c>
      <c r="V179" s="6">
        <v>0</v>
      </c>
      <c r="W179" s="6">
        <v>0</v>
      </c>
      <c r="X179" s="6">
        <v>0</v>
      </c>
      <c r="Y179" t="s">
        <v>171</v>
      </c>
      <c r="Z179"/>
      <c r="AA179"/>
      <c r="AB179"/>
      <c r="AC179"/>
      <c r="AE179">
        <v>145</v>
      </c>
      <c r="AF179">
        <v>1</v>
      </c>
      <c r="AI179" s="9">
        <v>0.68</v>
      </c>
      <c r="AL179" s="9">
        <v>24.32</v>
      </c>
      <c r="AM179" s="9">
        <v>0.72</v>
      </c>
      <c r="AN179" s="9">
        <v>1.02</v>
      </c>
    </row>
    <row r="180" spans="1:41" x14ac:dyDescent="0.3">
      <c r="A180">
        <v>76</v>
      </c>
      <c r="B180" t="s">
        <v>1678</v>
      </c>
      <c r="C180">
        <v>11</v>
      </c>
      <c r="D180" t="s">
        <v>1679</v>
      </c>
      <c r="E180">
        <v>14000</v>
      </c>
      <c r="I180"/>
      <c r="J180"/>
      <c r="K180"/>
      <c r="N180">
        <v>0.1</v>
      </c>
      <c r="O180">
        <v>0</v>
      </c>
      <c r="P180">
        <v>25</v>
      </c>
      <c r="Q180">
        <v>1</v>
      </c>
      <c r="T180" s="6">
        <f>10^-(14-Q180)</f>
        <v>1E-13</v>
      </c>
      <c r="U180" s="6">
        <v>0.1</v>
      </c>
      <c r="V180" s="6">
        <v>0</v>
      </c>
      <c r="W180" s="6">
        <v>0</v>
      </c>
      <c r="X180" s="6">
        <v>0</v>
      </c>
      <c r="Y180" t="s">
        <v>171</v>
      </c>
      <c r="Z180"/>
      <c r="AA180"/>
      <c r="AB180"/>
      <c r="AC180"/>
      <c r="AD180">
        <v>1.66</v>
      </c>
      <c r="AE180">
        <v>108.473988826067</v>
      </c>
      <c r="AF180">
        <v>1</v>
      </c>
      <c r="AG180" s="9">
        <v>2.4E-2</v>
      </c>
      <c r="AH180" s="9">
        <v>10.4</v>
      </c>
      <c r="AI180" s="9">
        <v>0.22</v>
      </c>
      <c r="AJ180" s="9">
        <v>2.7E-2</v>
      </c>
      <c r="AK180" s="9">
        <v>2.1999999999999999E-2</v>
      </c>
      <c r="AL180" s="9">
        <v>17.399999999999999</v>
      </c>
      <c r="AM180" s="9">
        <v>5.5</v>
      </c>
      <c r="AN180" s="9">
        <v>0</v>
      </c>
      <c r="AO180" s="9">
        <v>7.0000000000000007E-2</v>
      </c>
    </row>
    <row r="181" spans="1:41" x14ac:dyDescent="0.3">
      <c r="A181">
        <v>76</v>
      </c>
      <c r="B181" t="s">
        <v>1678</v>
      </c>
      <c r="C181">
        <v>11</v>
      </c>
      <c r="D181" t="s">
        <v>1679</v>
      </c>
      <c r="E181">
        <v>14000</v>
      </c>
      <c r="I181"/>
      <c r="J181"/>
      <c r="K181"/>
      <c r="N181">
        <v>0.05</v>
      </c>
      <c r="O181">
        <v>0</v>
      </c>
      <c r="P181">
        <v>25</v>
      </c>
      <c r="Q181">
        <v>1</v>
      </c>
      <c r="T181" s="6">
        <f>10^-(14-Q181)</f>
        <v>1E-13</v>
      </c>
      <c r="U181" s="6">
        <v>0.1</v>
      </c>
      <c r="V181" s="6">
        <v>0</v>
      </c>
      <c r="W181" s="6">
        <v>0</v>
      </c>
      <c r="X181" s="6">
        <v>0</v>
      </c>
      <c r="Y181" t="s">
        <v>171</v>
      </c>
      <c r="Z181"/>
      <c r="AA181"/>
      <c r="AB181"/>
      <c r="AC181"/>
      <c r="AD181">
        <v>1.66</v>
      </c>
      <c r="AE181">
        <v>336.98424274865295</v>
      </c>
      <c r="AF181">
        <v>1</v>
      </c>
      <c r="AG181" s="9">
        <v>2.4E-2</v>
      </c>
      <c r="AH181" s="9">
        <v>10.4</v>
      </c>
      <c r="AI181" s="9">
        <v>0.22</v>
      </c>
      <c r="AJ181" s="9">
        <v>2.7E-2</v>
      </c>
      <c r="AK181" s="9">
        <v>2.1999999999999999E-2</v>
      </c>
      <c r="AL181" s="9">
        <v>17.399999999999999</v>
      </c>
      <c r="AM181" s="9">
        <v>5.5</v>
      </c>
      <c r="AN181" s="9">
        <v>0</v>
      </c>
      <c r="AO181" s="9">
        <v>7.0000000000000007E-2</v>
      </c>
    </row>
    <row r="182" spans="1:41" x14ac:dyDescent="0.3">
      <c r="A182">
        <v>76</v>
      </c>
      <c r="B182" t="s">
        <v>1678</v>
      </c>
      <c r="C182">
        <v>11</v>
      </c>
      <c r="D182" t="s">
        <v>1679</v>
      </c>
      <c r="E182">
        <v>14000</v>
      </c>
      <c r="I182"/>
      <c r="J182"/>
      <c r="K182"/>
      <c r="N182">
        <v>0.1</v>
      </c>
      <c r="O182">
        <v>0</v>
      </c>
      <c r="P182">
        <v>25</v>
      </c>
      <c r="Q182">
        <v>1</v>
      </c>
      <c r="T182" s="6">
        <f>10^-(14-Q182)</f>
        <v>1E-13</v>
      </c>
      <c r="U182" s="6">
        <v>0.1</v>
      </c>
      <c r="V182" s="6">
        <v>0</v>
      </c>
      <c r="W182" s="6">
        <v>0</v>
      </c>
      <c r="X182" s="6">
        <v>0</v>
      </c>
      <c r="Y182" t="s">
        <v>171</v>
      </c>
      <c r="Z182"/>
      <c r="AA182"/>
      <c r="AB182"/>
      <c r="AC182"/>
      <c r="AD182">
        <v>1.66</v>
      </c>
      <c r="AE182">
        <v>260.30564383928203</v>
      </c>
      <c r="AF182">
        <v>1</v>
      </c>
      <c r="AG182" s="9">
        <v>2.5000000000000001E-2</v>
      </c>
      <c r="AH182" s="9">
        <v>9.6</v>
      </c>
      <c r="AI182" s="9">
        <v>0.23</v>
      </c>
      <c r="AJ182" s="9">
        <v>0.03</v>
      </c>
      <c r="AK182" s="9">
        <v>1.7999999999999999E-2</v>
      </c>
      <c r="AL182" s="9">
        <v>17.7</v>
      </c>
      <c r="AM182" s="9">
        <v>5.6</v>
      </c>
      <c r="AN182" s="9">
        <v>0</v>
      </c>
      <c r="AO182" s="9">
        <v>0.12</v>
      </c>
    </row>
    <row r="183" spans="1:41" x14ac:dyDescent="0.3">
      <c r="A183">
        <v>76</v>
      </c>
      <c r="B183" t="s">
        <v>1678</v>
      </c>
      <c r="C183">
        <v>11</v>
      </c>
      <c r="D183" t="s">
        <v>1679</v>
      </c>
      <c r="E183">
        <v>14000</v>
      </c>
      <c r="I183"/>
      <c r="J183"/>
      <c r="K183"/>
      <c r="N183">
        <v>0.05</v>
      </c>
      <c r="O183">
        <v>0</v>
      </c>
      <c r="P183">
        <v>25</v>
      </c>
      <c r="Q183">
        <v>1</v>
      </c>
      <c r="T183" s="6">
        <f>10^-(14-Q183)</f>
        <v>1E-13</v>
      </c>
      <c r="U183" s="6">
        <v>0.1</v>
      </c>
      <c r="V183" s="6">
        <v>0</v>
      </c>
      <c r="W183" s="6">
        <v>0</v>
      </c>
      <c r="X183" s="6">
        <v>0</v>
      </c>
      <c r="Y183" t="s">
        <v>171</v>
      </c>
      <c r="Z183"/>
      <c r="AA183"/>
      <c r="AB183"/>
      <c r="AC183"/>
      <c r="AD183">
        <v>1.66</v>
      </c>
      <c r="AE183">
        <v>410.53146432036306</v>
      </c>
      <c r="AF183">
        <v>1</v>
      </c>
      <c r="AG183" s="9">
        <v>2.5000000000000001E-2</v>
      </c>
      <c r="AH183" s="9">
        <v>9.6</v>
      </c>
      <c r="AI183" s="9">
        <v>0.23</v>
      </c>
      <c r="AJ183" s="9">
        <v>0.03</v>
      </c>
      <c r="AK183" s="9">
        <v>1.7999999999999999E-2</v>
      </c>
      <c r="AL183" s="9">
        <v>17.7</v>
      </c>
      <c r="AM183" s="9">
        <v>5.6</v>
      </c>
      <c r="AN183" s="9">
        <v>0</v>
      </c>
      <c r="AO183" s="9">
        <v>0.12</v>
      </c>
    </row>
    <row r="184" spans="1:41" x14ac:dyDescent="0.3">
      <c r="A184">
        <v>76</v>
      </c>
      <c r="B184" t="s">
        <v>1678</v>
      </c>
      <c r="C184">
        <v>11</v>
      </c>
      <c r="D184" t="s">
        <v>1679</v>
      </c>
      <c r="E184">
        <v>14000</v>
      </c>
      <c r="I184"/>
      <c r="J184"/>
      <c r="K184"/>
      <c r="N184">
        <v>0.1</v>
      </c>
      <c r="O184">
        <v>0</v>
      </c>
      <c r="P184">
        <v>25</v>
      </c>
      <c r="Q184">
        <v>1</v>
      </c>
      <c r="T184" s="6">
        <f>10^-(14-Q184)</f>
        <v>1E-13</v>
      </c>
      <c r="U184" s="6">
        <v>0.1</v>
      </c>
      <c r="V184" s="6">
        <v>0</v>
      </c>
      <c r="W184" s="6">
        <v>0</v>
      </c>
      <c r="X184" s="6">
        <v>0</v>
      </c>
      <c r="Y184" t="s">
        <v>171</v>
      </c>
      <c r="Z184"/>
      <c r="AA184"/>
      <c r="AB184"/>
      <c r="AC184"/>
      <c r="AD184">
        <v>1.66</v>
      </c>
      <c r="AE184">
        <v>342.95259442641498</v>
      </c>
      <c r="AF184">
        <v>1</v>
      </c>
      <c r="AG184" s="9">
        <v>0.02</v>
      </c>
      <c r="AH184" s="9">
        <v>10.199999999999999</v>
      </c>
      <c r="AI184" s="9">
        <v>0.31</v>
      </c>
      <c r="AJ184" s="9">
        <v>2.5999999999999999E-2</v>
      </c>
      <c r="AK184" s="9">
        <v>2.4E-2</v>
      </c>
      <c r="AL184" s="9">
        <v>17.8</v>
      </c>
      <c r="AM184" s="9">
        <v>5.2</v>
      </c>
      <c r="AN184" s="9">
        <v>0</v>
      </c>
      <c r="AO184" s="9">
        <v>0.25</v>
      </c>
    </row>
    <row r="185" spans="1:41" x14ac:dyDescent="0.3">
      <c r="A185">
        <v>76</v>
      </c>
      <c r="B185" t="s">
        <v>1678</v>
      </c>
      <c r="C185">
        <v>11</v>
      </c>
      <c r="D185" t="s">
        <v>1679</v>
      </c>
      <c r="E185">
        <v>14000</v>
      </c>
      <c r="I185"/>
      <c r="J185"/>
      <c r="K185"/>
      <c r="N185">
        <v>0.05</v>
      </c>
      <c r="O185">
        <v>0</v>
      </c>
      <c r="P185">
        <v>25</v>
      </c>
      <c r="Q185">
        <v>1</v>
      </c>
      <c r="T185" s="6">
        <f>10^-(14-Q185)</f>
        <v>1E-13</v>
      </c>
      <c r="U185" s="6">
        <v>0.1</v>
      </c>
      <c r="V185" s="6">
        <v>0</v>
      </c>
      <c r="W185" s="6">
        <v>0</v>
      </c>
      <c r="X185" s="6">
        <v>0</v>
      </c>
      <c r="Y185" t="s">
        <v>171</v>
      </c>
      <c r="Z185"/>
      <c r="AA185"/>
      <c r="AB185"/>
      <c r="AC185"/>
      <c r="AD185">
        <v>1.66</v>
      </c>
      <c r="AE185">
        <v>698.85905456491798</v>
      </c>
      <c r="AF185">
        <v>1</v>
      </c>
      <c r="AG185" s="9">
        <v>0.02</v>
      </c>
      <c r="AH185" s="9">
        <v>10.199999999999999</v>
      </c>
      <c r="AI185" s="9">
        <v>0.31</v>
      </c>
      <c r="AJ185" s="9">
        <v>2.5999999999999999E-2</v>
      </c>
      <c r="AK185" s="9">
        <v>2.4E-2</v>
      </c>
      <c r="AL185" s="9">
        <v>17.8</v>
      </c>
      <c r="AM185" s="9">
        <v>5.2</v>
      </c>
      <c r="AN185" s="9">
        <v>0</v>
      </c>
      <c r="AO185" s="9">
        <v>0.25</v>
      </c>
    </row>
    <row r="186" spans="1:41" x14ac:dyDescent="0.3">
      <c r="A186">
        <v>76</v>
      </c>
      <c r="B186" t="s">
        <v>1678</v>
      </c>
      <c r="C186">
        <v>11</v>
      </c>
      <c r="D186" t="s">
        <v>1679</v>
      </c>
      <c r="E186">
        <v>14000</v>
      </c>
      <c r="I186"/>
      <c r="J186"/>
      <c r="K186"/>
      <c r="N186">
        <v>0.1</v>
      </c>
      <c r="O186">
        <v>0</v>
      </c>
      <c r="P186">
        <v>25</v>
      </c>
      <c r="Q186">
        <v>1</v>
      </c>
      <c r="T186" s="6">
        <f>10^-(14-Q186)</f>
        <v>1E-13</v>
      </c>
      <c r="U186" s="6">
        <v>0.1</v>
      </c>
      <c r="V186" s="6">
        <v>0</v>
      </c>
      <c r="W186" s="6">
        <v>0</v>
      </c>
      <c r="X186" s="6">
        <v>0</v>
      </c>
      <c r="Y186" t="s">
        <v>171</v>
      </c>
      <c r="Z186"/>
      <c r="AA186"/>
      <c r="AB186"/>
      <c r="AC186"/>
      <c r="AD186">
        <v>1.66</v>
      </c>
      <c r="AE186">
        <v>245.47843829999999</v>
      </c>
      <c r="AF186">
        <v>1</v>
      </c>
      <c r="AG186" s="9">
        <v>1.8499999999999999E-2</v>
      </c>
      <c r="AH186" s="9">
        <v>9.9</v>
      </c>
      <c r="AI186" s="9">
        <v>0.44</v>
      </c>
      <c r="AJ186" s="9">
        <v>2.7E-2</v>
      </c>
      <c r="AK186" s="9">
        <v>1.7999999999999999E-2</v>
      </c>
      <c r="AL186" s="9">
        <v>18.100000000000001</v>
      </c>
      <c r="AM186" s="9">
        <v>5.7</v>
      </c>
      <c r="AN186" s="9">
        <v>0</v>
      </c>
      <c r="AO186" s="9">
        <v>0.17</v>
      </c>
    </row>
    <row r="187" spans="1:41" x14ac:dyDescent="0.3">
      <c r="A187">
        <v>76</v>
      </c>
      <c r="B187" t="s">
        <v>1678</v>
      </c>
      <c r="C187">
        <v>11</v>
      </c>
      <c r="D187" t="s">
        <v>1679</v>
      </c>
      <c r="E187">
        <v>14000</v>
      </c>
      <c r="I187"/>
      <c r="J187"/>
      <c r="K187"/>
      <c r="N187">
        <v>0.05</v>
      </c>
      <c r="O187">
        <v>0</v>
      </c>
      <c r="P187">
        <v>25</v>
      </c>
      <c r="Q187">
        <v>1</v>
      </c>
      <c r="T187" s="6">
        <f>10^-(14-Q187)</f>
        <v>1E-13</v>
      </c>
      <c r="U187" s="6">
        <v>0.1</v>
      </c>
      <c r="V187" s="6">
        <v>0</v>
      </c>
      <c r="W187" s="6">
        <v>0</v>
      </c>
      <c r="X187" s="6">
        <v>0</v>
      </c>
      <c r="Y187" t="s">
        <v>171</v>
      </c>
      <c r="Z187"/>
      <c r="AA187"/>
      <c r="AB187"/>
      <c r="AC187"/>
      <c r="AD187">
        <v>1.66</v>
      </c>
      <c r="AE187">
        <v>454.47780268308099</v>
      </c>
      <c r="AF187">
        <v>1</v>
      </c>
      <c r="AG187" s="9">
        <v>1.8499999999999999E-2</v>
      </c>
      <c r="AH187" s="9">
        <v>9.9</v>
      </c>
      <c r="AI187" s="9">
        <v>0.44</v>
      </c>
      <c r="AJ187" s="9">
        <v>2.7E-2</v>
      </c>
      <c r="AK187" s="9">
        <v>1.7999999999999999E-2</v>
      </c>
      <c r="AL187" s="9">
        <v>18.100000000000001</v>
      </c>
      <c r="AM187" s="9">
        <v>5.7</v>
      </c>
      <c r="AN187" s="9">
        <v>0</v>
      </c>
      <c r="AO187" s="9">
        <v>0.17</v>
      </c>
    </row>
    <row r="188" spans="1:41" x14ac:dyDescent="0.3">
      <c r="A188">
        <v>76</v>
      </c>
      <c r="B188" t="s">
        <v>1678</v>
      </c>
      <c r="C188">
        <v>11</v>
      </c>
      <c r="D188" t="s">
        <v>1679</v>
      </c>
      <c r="E188">
        <v>14000</v>
      </c>
      <c r="I188"/>
      <c r="J188"/>
      <c r="K188"/>
      <c r="N188">
        <v>0.1</v>
      </c>
      <c r="O188">
        <v>0</v>
      </c>
      <c r="P188">
        <v>25</v>
      </c>
      <c r="Q188">
        <v>1</v>
      </c>
      <c r="T188" s="6">
        <f>10^-(14-Q188)</f>
        <v>1E-13</v>
      </c>
      <c r="U188" s="6">
        <v>0.1</v>
      </c>
      <c r="V188" s="6">
        <v>0</v>
      </c>
      <c r="W188" s="6">
        <v>0</v>
      </c>
      <c r="X188" s="6">
        <v>0</v>
      </c>
      <c r="Y188" t="s">
        <v>171</v>
      </c>
      <c r="Z188"/>
      <c r="AA188"/>
      <c r="AB188"/>
      <c r="AC188"/>
      <c r="AD188">
        <v>1.66</v>
      </c>
      <c r="AE188">
        <v>453.80870496135901</v>
      </c>
      <c r="AF188">
        <v>1</v>
      </c>
      <c r="AG188" s="9">
        <v>0.02</v>
      </c>
      <c r="AH188" s="9">
        <v>10.7</v>
      </c>
      <c r="AI188" s="9">
        <v>0.32</v>
      </c>
      <c r="AJ188" s="9">
        <v>2.9000000000000001E-2</v>
      </c>
      <c r="AK188" s="9">
        <v>2.1999999999999999E-2</v>
      </c>
      <c r="AL188" s="9">
        <v>18.2</v>
      </c>
      <c r="AM188" s="9">
        <v>5.4</v>
      </c>
      <c r="AN188" s="9">
        <v>0</v>
      </c>
      <c r="AO188" s="9">
        <v>0.35</v>
      </c>
    </row>
    <row r="189" spans="1:41" x14ac:dyDescent="0.3">
      <c r="A189">
        <v>76</v>
      </c>
      <c r="B189" t="s">
        <v>1678</v>
      </c>
      <c r="C189">
        <v>11</v>
      </c>
      <c r="D189" t="s">
        <v>1679</v>
      </c>
      <c r="E189">
        <v>14000</v>
      </c>
      <c r="I189"/>
      <c r="J189"/>
      <c r="K189"/>
      <c r="N189">
        <v>0.05</v>
      </c>
      <c r="O189">
        <v>0</v>
      </c>
      <c r="P189">
        <v>25</v>
      </c>
      <c r="Q189">
        <v>1</v>
      </c>
      <c r="T189" s="6">
        <f>10^-(14-Q189)</f>
        <v>1E-13</v>
      </c>
      <c r="U189" s="6">
        <v>0.1</v>
      </c>
      <c r="V189" s="6">
        <v>0</v>
      </c>
      <c r="W189" s="6">
        <v>0</v>
      </c>
      <c r="X189" s="6">
        <v>0</v>
      </c>
      <c r="Y189" t="s">
        <v>171</v>
      </c>
      <c r="Z189"/>
      <c r="AA189"/>
      <c r="AB189"/>
      <c r="AC189"/>
      <c r="AD189">
        <v>1.66</v>
      </c>
      <c r="AE189">
        <v>685.69121140142397</v>
      </c>
      <c r="AF189">
        <v>1</v>
      </c>
      <c r="AG189" s="9">
        <v>0.02</v>
      </c>
      <c r="AH189" s="9">
        <v>10.7</v>
      </c>
      <c r="AI189" s="9">
        <v>0.32</v>
      </c>
      <c r="AJ189" s="9">
        <v>2.9000000000000001E-2</v>
      </c>
      <c r="AK189" s="9">
        <v>2.1999999999999999E-2</v>
      </c>
      <c r="AL189" s="9">
        <v>18.2</v>
      </c>
      <c r="AM189" s="9">
        <v>5.4</v>
      </c>
      <c r="AN189" s="9">
        <v>0</v>
      </c>
      <c r="AO189" s="9">
        <v>0.35</v>
      </c>
    </row>
    <row r="190" spans="1:41" x14ac:dyDescent="0.3">
      <c r="A190">
        <v>65</v>
      </c>
      <c r="B190" t="s">
        <v>1723</v>
      </c>
      <c r="C190">
        <v>12</v>
      </c>
      <c r="D190"/>
      <c r="E190">
        <v>600</v>
      </c>
      <c r="I190"/>
      <c r="J190"/>
      <c r="K190"/>
      <c r="N190">
        <v>1</v>
      </c>
      <c r="O190">
        <v>0</v>
      </c>
      <c r="P190">
        <v>25</v>
      </c>
      <c r="R190" t="s">
        <v>102</v>
      </c>
      <c r="T190" s="6">
        <f>10^-(14-Q190)</f>
        <v>1E-14</v>
      </c>
      <c r="U190" s="6">
        <v>0</v>
      </c>
      <c r="V190" s="6">
        <v>0</v>
      </c>
      <c r="W190" s="6">
        <v>0</v>
      </c>
      <c r="X190" s="6">
        <v>0</v>
      </c>
      <c r="Y190" t="s">
        <v>171</v>
      </c>
      <c r="Z190"/>
      <c r="AA190"/>
      <c r="AB190"/>
      <c r="AC190"/>
      <c r="AE190">
        <v>215.42</v>
      </c>
      <c r="AF190">
        <v>1</v>
      </c>
      <c r="AG190" s="9">
        <v>3.0000000000000001E-3</v>
      </c>
      <c r="AL190" s="9">
        <v>12.94</v>
      </c>
      <c r="AM190" s="9">
        <v>0</v>
      </c>
      <c r="AN190" s="9">
        <v>3.48</v>
      </c>
      <c r="AO190" s="9">
        <v>3.8999999999999998E-3</v>
      </c>
    </row>
    <row r="191" spans="1:41" x14ac:dyDescent="0.3">
      <c r="A191">
        <v>65</v>
      </c>
      <c r="B191" t="s">
        <v>1723</v>
      </c>
      <c r="C191">
        <v>12</v>
      </c>
      <c r="D191"/>
      <c r="E191">
        <v>600</v>
      </c>
      <c r="I191"/>
      <c r="J191"/>
      <c r="K191"/>
      <c r="N191">
        <v>1</v>
      </c>
      <c r="O191">
        <v>0</v>
      </c>
      <c r="P191">
        <v>25</v>
      </c>
      <c r="R191" t="s">
        <v>102</v>
      </c>
      <c r="T191" s="6">
        <f>10^-(14-Q191)</f>
        <v>1E-14</v>
      </c>
      <c r="U191" s="6">
        <v>0</v>
      </c>
      <c r="V191" s="6">
        <v>0</v>
      </c>
      <c r="W191" s="6">
        <v>0</v>
      </c>
      <c r="X191" s="6">
        <v>0</v>
      </c>
      <c r="Y191" t="s">
        <v>171</v>
      </c>
      <c r="Z191"/>
      <c r="AA191"/>
      <c r="AB191"/>
      <c r="AC191"/>
      <c r="AE191">
        <v>278.81</v>
      </c>
      <c r="AF191">
        <v>1</v>
      </c>
      <c r="AG191" s="9">
        <v>3.0000000000000001E-3</v>
      </c>
      <c r="AL191" s="9">
        <v>13.04</v>
      </c>
      <c r="AM191" s="9">
        <v>0</v>
      </c>
      <c r="AN191" s="9">
        <v>4.7699999999999996</v>
      </c>
      <c r="AO191" s="9">
        <v>3.2000000000000002E-3</v>
      </c>
    </row>
    <row r="192" spans="1:41" x14ac:dyDescent="0.3">
      <c r="A192">
        <v>65</v>
      </c>
      <c r="B192" t="s">
        <v>1723</v>
      </c>
      <c r="C192">
        <v>12</v>
      </c>
      <c r="D192"/>
      <c r="E192">
        <v>600</v>
      </c>
      <c r="I192"/>
      <c r="J192"/>
      <c r="K192"/>
      <c r="N192">
        <v>1</v>
      </c>
      <c r="O192">
        <v>0</v>
      </c>
      <c r="P192">
        <v>25</v>
      </c>
      <c r="R192" t="s">
        <v>102</v>
      </c>
      <c r="T192" s="6">
        <f>10^-(14-Q192)</f>
        <v>1E-14</v>
      </c>
      <c r="U192" s="6">
        <v>0</v>
      </c>
      <c r="V192" s="6">
        <v>0</v>
      </c>
      <c r="W192" s="6">
        <v>0</v>
      </c>
      <c r="X192" s="6">
        <v>0</v>
      </c>
      <c r="Y192" t="s">
        <v>171</v>
      </c>
      <c r="Z192"/>
      <c r="AA192"/>
      <c r="AB192"/>
      <c r="AC192"/>
      <c r="AE192">
        <v>100.24900000000001</v>
      </c>
      <c r="AF192">
        <v>1</v>
      </c>
      <c r="AG192" s="9">
        <v>5.0000000000000001E-3</v>
      </c>
      <c r="AL192" s="9">
        <v>13.14</v>
      </c>
      <c r="AM192" s="9">
        <v>0</v>
      </c>
      <c r="AN192" s="9">
        <v>1.04</v>
      </c>
      <c r="AO192" s="9">
        <v>3.5000000000000001E-3</v>
      </c>
    </row>
    <row r="193" spans="1:41" x14ac:dyDescent="0.3">
      <c r="A193">
        <v>65</v>
      </c>
      <c r="B193" t="s">
        <v>1723</v>
      </c>
      <c r="C193">
        <v>12</v>
      </c>
      <c r="D193"/>
      <c r="E193">
        <v>600</v>
      </c>
      <c r="I193"/>
      <c r="J193"/>
      <c r="K193"/>
      <c r="N193">
        <v>1</v>
      </c>
      <c r="O193">
        <v>0</v>
      </c>
      <c r="P193">
        <v>25</v>
      </c>
      <c r="R193" t="s">
        <v>102</v>
      </c>
      <c r="T193" s="6">
        <f>10^-(14-Q193)</f>
        <v>1E-14</v>
      </c>
      <c r="U193" s="6">
        <v>0</v>
      </c>
      <c r="V193" s="6">
        <v>0</v>
      </c>
      <c r="W193" s="6">
        <v>0</v>
      </c>
      <c r="X193" s="6">
        <v>0</v>
      </c>
      <c r="Y193" t="s">
        <v>171</v>
      </c>
      <c r="Z193"/>
      <c r="AA193"/>
      <c r="AB193"/>
      <c r="AC193"/>
      <c r="AE193">
        <v>167.65</v>
      </c>
      <c r="AF193">
        <v>1</v>
      </c>
      <c r="AG193" s="9">
        <v>2E-3</v>
      </c>
      <c r="AL193" s="9">
        <v>13.6</v>
      </c>
      <c r="AM193" s="9">
        <v>0</v>
      </c>
      <c r="AN193" s="9">
        <v>1.88</v>
      </c>
      <c r="AO193" s="9">
        <v>4.0000000000000001E-3</v>
      </c>
    </row>
    <row r="194" spans="1:41" x14ac:dyDescent="0.3">
      <c r="A194">
        <v>65</v>
      </c>
      <c r="B194" t="s">
        <v>1723</v>
      </c>
      <c r="C194">
        <v>12</v>
      </c>
      <c r="D194"/>
      <c r="E194">
        <v>600</v>
      </c>
      <c r="I194"/>
      <c r="J194"/>
      <c r="K194"/>
      <c r="N194">
        <v>1</v>
      </c>
      <c r="O194">
        <v>0</v>
      </c>
      <c r="P194">
        <v>25</v>
      </c>
      <c r="R194" t="s">
        <v>102</v>
      </c>
      <c r="T194" s="6">
        <f>10^-(14-Q194)</f>
        <v>1E-14</v>
      </c>
      <c r="U194" s="6">
        <v>0</v>
      </c>
      <c r="V194" s="6">
        <v>0</v>
      </c>
      <c r="W194" s="6">
        <v>0</v>
      </c>
      <c r="X194" s="6">
        <v>0</v>
      </c>
      <c r="Y194" t="s">
        <v>171</v>
      </c>
      <c r="Z194"/>
      <c r="AA194"/>
      <c r="AB194"/>
      <c r="AC194"/>
      <c r="AE194">
        <v>50.28</v>
      </c>
      <c r="AF194">
        <v>1</v>
      </c>
      <c r="AG194" s="9">
        <v>3.0000000000000001E-3</v>
      </c>
      <c r="AL194" s="9">
        <v>13.68</v>
      </c>
      <c r="AM194" s="9">
        <v>0</v>
      </c>
      <c r="AN194" s="9">
        <v>0.08</v>
      </c>
      <c r="AO194" s="9">
        <v>4.0000000000000001E-3</v>
      </c>
    </row>
    <row r="195" spans="1:41" x14ac:dyDescent="0.3">
      <c r="A195">
        <v>65</v>
      </c>
      <c r="B195" t="s">
        <v>1723</v>
      </c>
      <c r="C195">
        <v>12</v>
      </c>
      <c r="D195"/>
      <c r="E195">
        <v>600</v>
      </c>
      <c r="I195"/>
      <c r="J195"/>
      <c r="K195"/>
      <c r="N195">
        <v>1</v>
      </c>
      <c r="O195">
        <v>0</v>
      </c>
      <c r="P195">
        <v>25</v>
      </c>
      <c r="R195" t="s">
        <v>102</v>
      </c>
      <c r="T195" s="6">
        <f>10^-(14-Q195)</f>
        <v>1E-14</v>
      </c>
      <c r="U195" s="6">
        <v>0</v>
      </c>
      <c r="V195" s="6">
        <v>0</v>
      </c>
      <c r="W195" s="6">
        <v>0</v>
      </c>
      <c r="X195" s="6">
        <v>0</v>
      </c>
      <c r="Y195" t="s">
        <v>171</v>
      </c>
      <c r="Z195"/>
      <c r="AA195"/>
      <c r="AB195"/>
      <c r="AC195"/>
      <c r="AE195">
        <v>106.45</v>
      </c>
      <c r="AF195">
        <v>1</v>
      </c>
      <c r="AG195" s="9">
        <v>2E-3</v>
      </c>
      <c r="AL195" s="9">
        <v>17.350000000000001</v>
      </c>
      <c r="AM195" s="9">
        <v>0</v>
      </c>
      <c r="AN195" s="9">
        <v>0.01</v>
      </c>
      <c r="AO195" s="9">
        <v>3.0000000000000001E-3</v>
      </c>
    </row>
    <row r="196" spans="1:41" x14ac:dyDescent="0.3">
      <c r="A196">
        <v>65</v>
      </c>
      <c r="B196" t="s">
        <v>1723</v>
      </c>
      <c r="C196">
        <v>12</v>
      </c>
      <c r="D196"/>
      <c r="E196">
        <v>600</v>
      </c>
      <c r="I196"/>
      <c r="J196"/>
      <c r="K196"/>
      <c r="N196">
        <v>1</v>
      </c>
      <c r="O196">
        <v>0</v>
      </c>
      <c r="P196">
        <v>25</v>
      </c>
      <c r="R196" t="s">
        <v>102</v>
      </c>
      <c r="T196" s="6">
        <f>10^-(14-Q196)</f>
        <v>1E-14</v>
      </c>
      <c r="U196" s="6">
        <v>0</v>
      </c>
      <c r="V196" s="6">
        <v>0</v>
      </c>
      <c r="W196" s="6">
        <v>0</v>
      </c>
      <c r="X196" s="6">
        <v>0</v>
      </c>
      <c r="Y196" t="s">
        <v>171</v>
      </c>
      <c r="Z196"/>
      <c r="AA196"/>
      <c r="AB196"/>
      <c r="AC196"/>
      <c r="AE196">
        <v>524.62</v>
      </c>
      <c r="AF196">
        <v>1</v>
      </c>
      <c r="AG196" s="9">
        <v>4.0000000000000001E-3</v>
      </c>
      <c r="AL196" s="9">
        <v>17.38</v>
      </c>
      <c r="AM196" s="9">
        <v>0</v>
      </c>
      <c r="AN196" s="9">
        <v>4.75</v>
      </c>
      <c r="AO196" s="9">
        <v>3.7000000000000002E-3</v>
      </c>
    </row>
    <row r="197" spans="1:41" x14ac:dyDescent="0.3">
      <c r="A197">
        <v>65</v>
      </c>
      <c r="B197" t="s">
        <v>1723</v>
      </c>
      <c r="C197">
        <v>12</v>
      </c>
      <c r="D197"/>
      <c r="E197">
        <v>600</v>
      </c>
      <c r="I197"/>
      <c r="J197"/>
      <c r="K197"/>
      <c r="N197">
        <v>1</v>
      </c>
      <c r="O197">
        <v>0</v>
      </c>
      <c r="P197">
        <v>25</v>
      </c>
      <c r="R197" t="s">
        <v>102</v>
      </c>
      <c r="T197" s="6">
        <f>10^-(14-Q197)</f>
        <v>1E-14</v>
      </c>
      <c r="U197" s="6">
        <v>0</v>
      </c>
      <c r="V197" s="6">
        <v>0</v>
      </c>
      <c r="W197" s="6">
        <v>0</v>
      </c>
      <c r="X197" s="6">
        <v>0</v>
      </c>
      <c r="Y197" t="s">
        <v>171</v>
      </c>
      <c r="Z197"/>
      <c r="AA197"/>
      <c r="AB197"/>
      <c r="AC197"/>
      <c r="AE197">
        <v>208.57999999999998</v>
      </c>
      <c r="AF197">
        <v>1</v>
      </c>
      <c r="AG197" s="9">
        <v>3.0000000000000001E-3</v>
      </c>
      <c r="AL197" s="9">
        <v>17.53</v>
      </c>
      <c r="AM197" s="9">
        <v>0</v>
      </c>
      <c r="AN197" s="9">
        <v>1.1399999999999999</v>
      </c>
      <c r="AO197" s="9">
        <v>3.5999999999999999E-3</v>
      </c>
    </row>
    <row r="198" spans="1:41" x14ac:dyDescent="0.3">
      <c r="A198">
        <v>65</v>
      </c>
      <c r="B198" t="s">
        <v>1723</v>
      </c>
      <c r="C198">
        <v>12</v>
      </c>
      <c r="D198"/>
      <c r="E198">
        <v>600</v>
      </c>
      <c r="I198"/>
      <c r="J198"/>
      <c r="K198"/>
      <c r="N198">
        <v>1</v>
      </c>
      <c r="O198">
        <v>0</v>
      </c>
      <c r="P198">
        <v>25</v>
      </c>
      <c r="R198" t="s">
        <v>102</v>
      </c>
      <c r="T198" s="6">
        <f>10^-(14-Q198)</f>
        <v>1E-14</v>
      </c>
      <c r="U198" s="6">
        <v>0</v>
      </c>
      <c r="V198" s="6">
        <v>0</v>
      </c>
      <c r="W198" s="6">
        <v>0</v>
      </c>
      <c r="X198" s="6">
        <v>0</v>
      </c>
      <c r="Y198" t="s">
        <v>171</v>
      </c>
      <c r="Z198"/>
      <c r="AA198"/>
      <c r="AB198"/>
      <c r="AC198"/>
      <c r="AE198">
        <v>412.85</v>
      </c>
      <c r="AF198">
        <v>1</v>
      </c>
      <c r="AG198" s="9">
        <v>5.0000000000000001E-3</v>
      </c>
      <c r="AL198" s="9">
        <v>17.579999999999998</v>
      </c>
      <c r="AM198" s="9">
        <v>0</v>
      </c>
      <c r="AN198" s="9">
        <v>3.52</v>
      </c>
      <c r="AO198" s="9">
        <v>3.3999999999999998E-3</v>
      </c>
    </row>
    <row r="199" spans="1:41" x14ac:dyDescent="0.3">
      <c r="A199">
        <v>65</v>
      </c>
      <c r="B199" t="s">
        <v>1723</v>
      </c>
      <c r="C199">
        <v>12</v>
      </c>
      <c r="D199"/>
      <c r="E199">
        <v>600</v>
      </c>
      <c r="I199"/>
      <c r="J199"/>
      <c r="K199"/>
      <c r="N199">
        <v>1</v>
      </c>
      <c r="O199">
        <v>0</v>
      </c>
      <c r="P199">
        <v>25</v>
      </c>
      <c r="R199" t="s">
        <v>102</v>
      </c>
      <c r="T199" s="6">
        <f>10^-(14-Q199)</f>
        <v>1E-14</v>
      </c>
      <c r="U199" s="6">
        <v>0</v>
      </c>
      <c r="V199" s="6">
        <v>0</v>
      </c>
      <c r="W199" s="6">
        <v>0</v>
      </c>
      <c r="X199" s="6">
        <v>0</v>
      </c>
      <c r="Y199" t="s">
        <v>171</v>
      </c>
      <c r="Z199"/>
      <c r="AA199"/>
      <c r="AB199"/>
      <c r="AC199"/>
      <c r="AE199">
        <v>279.88</v>
      </c>
      <c r="AF199">
        <v>1</v>
      </c>
      <c r="AG199" s="9">
        <v>4.0000000000000001E-3</v>
      </c>
      <c r="AL199" s="9">
        <v>17.61</v>
      </c>
      <c r="AM199" s="9">
        <v>0</v>
      </c>
      <c r="AN199" s="9">
        <v>2.02</v>
      </c>
      <c r="AO199" s="9">
        <v>4.0000000000000001E-3</v>
      </c>
    </row>
    <row r="200" spans="1:41" x14ac:dyDescent="0.3">
      <c r="A200">
        <v>66</v>
      </c>
      <c r="B200" t="s">
        <v>1680</v>
      </c>
      <c r="C200">
        <v>13</v>
      </c>
      <c r="D200" t="s">
        <v>1679</v>
      </c>
      <c r="E200">
        <v>14000</v>
      </c>
      <c r="I200"/>
      <c r="J200"/>
      <c r="K200"/>
      <c r="N200">
        <v>0.1</v>
      </c>
      <c r="O200">
        <v>0</v>
      </c>
      <c r="P200">
        <v>25</v>
      </c>
      <c r="Q200">
        <v>1</v>
      </c>
      <c r="T200" s="6">
        <f>10^-(14-Q200)</f>
        <v>1E-13</v>
      </c>
      <c r="U200" s="6">
        <v>0.1</v>
      </c>
      <c r="V200" s="6">
        <v>0</v>
      </c>
      <c r="W200" s="6">
        <v>0</v>
      </c>
      <c r="X200" s="6">
        <v>0</v>
      </c>
      <c r="Y200" t="s">
        <v>171</v>
      </c>
      <c r="Z200"/>
      <c r="AA200"/>
      <c r="AB200"/>
      <c r="AC200"/>
      <c r="AD200">
        <v>1.66</v>
      </c>
      <c r="AE200">
        <v>505.82578397212501</v>
      </c>
      <c r="AF200">
        <v>1</v>
      </c>
      <c r="AG200" s="9">
        <v>7.4999999999999997E-3</v>
      </c>
      <c r="AH200" s="9">
        <v>0.03</v>
      </c>
      <c r="AI200" s="9">
        <v>0.23</v>
      </c>
      <c r="AJ200" s="9">
        <v>3.4000000000000002E-2</v>
      </c>
      <c r="AK200" s="9">
        <v>1.4E-2</v>
      </c>
      <c r="AL200" s="9">
        <v>17.2</v>
      </c>
      <c r="AM200" s="9">
        <v>5.51</v>
      </c>
      <c r="AN200" s="9">
        <v>0</v>
      </c>
      <c r="AO200" s="9">
        <v>6.6000000000000003E-2</v>
      </c>
    </row>
    <row r="201" spans="1:41" x14ac:dyDescent="0.3">
      <c r="A201">
        <v>66</v>
      </c>
      <c r="B201" t="s">
        <v>1680</v>
      </c>
      <c r="C201">
        <v>13</v>
      </c>
      <c r="D201" t="s">
        <v>1679</v>
      </c>
      <c r="E201">
        <v>14000</v>
      </c>
      <c r="I201"/>
      <c r="J201"/>
      <c r="K201"/>
      <c r="N201">
        <v>0.05</v>
      </c>
      <c r="O201">
        <v>0</v>
      </c>
      <c r="P201">
        <v>25</v>
      </c>
      <c r="Q201">
        <v>1</v>
      </c>
      <c r="T201" s="6">
        <f>10^-(14-Q201)</f>
        <v>1E-13</v>
      </c>
      <c r="U201" s="6">
        <v>0.1</v>
      </c>
      <c r="V201" s="6">
        <v>0</v>
      </c>
      <c r="W201" s="6">
        <v>0</v>
      </c>
      <c r="X201" s="6">
        <v>0</v>
      </c>
      <c r="Y201" t="s">
        <v>171</v>
      </c>
      <c r="Z201"/>
      <c r="AA201"/>
      <c r="AB201"/>
      <c r="AC201"/>
      <c r="AD201">
        <v>1.66</v>
      </c>
      <c r="AE201">
        <v>852.86411149824994</v>
      </c>
      <c r="AF201">
        <v>1</v>
      </c>
      <c r="AG201" s="9">
        <v>7.4999999999999997E-3</v>
      </c>
      <c r="AH201" s="9">
        <v>0.03</v>
      </c>
      <c r="AI201" s="9">
        <v>0.23</v>
      </c>
      <c r="AJ201" s="9">
        <v>3.4000000000000002E-2</v>
      </c>
      <c r="AK201" s="9">
        <v>1.4E-2</v>
      </c>
      <c r="AL201" s="9">
        <v>17.2</v>
      </c>
      <c r="AM201" s="9">
        <v>5.51</v>
      </c>
      <c r="AN201" s="9">
        <v>0</v>
      </c>
      <c r="AO201" s="9">
        <v>6.6000000000000003E-2</v>
      </c>
    </row>
    <row r="202" spans="1:41" x14ac:dyDescent="0.3">
      <c r="A202">
        <v>66</v>
      </c>
      <c r="B202" t="s">
        <v>1680</v>
      </c>
      <c r="C202">
        <v>13</v>
      </c>
      <c r="D202" t="s">
        <v>1679</v>
      </c>
      <c r="E202">
        <v>14000</v>
      </c>
      <c r="I202"/>
      <c r="J202"/>
      <c r="K202"/>
      <c r="N202">
        <v>0.1</v>
      </c>
      <c r="O202">
        <v>0</v>
      </c>
      <c r="P202">
        <v>25</v>
      </c>
      <c r="Q202">
        <v>1</v>
      </c>
      <c r="T202" s="6">
        <f>10^-(14-Q202)</f>
        <v>1E-13</v>
      </c>
      <c r="U202" s="6">
        <v>0.1</v>
      </c>
      <c r="V202" s="6">
        <v>0</v>
      </c>
      <c r="W202" s="6">
        <v>0</v>
      </c>
      <c r="X202" s="6">
        <v>0</v>
      </c>
      <c r="Y202" t="s">
        <v>171</v>
      </c>
      <c r="Z202"/>
      <c r="AA202"/>
      <c r="AB202"/>
      <c r="AC202"/>
      <c r="AD202">
        <v>1.66</v>
      </c>
      <c r="AE202">
        <v>-144.3484320557493</v>
      </c>
      <c r="AF202">
        <v>1</v>
      </c>
      <c r="AG202" s="9">
        <v>1.9E-2</v>
      </c>
      <c r="AH202" s="9">
        <v>5.7</v>
      </c>
      <c r="AI202" s="9">
        <v>0.27</v>
      </c>
      <c r="AJ202" s="9">
        <v>2.9000000000000001E-2</v>
      </c>
      <c r="AK202" s="9">
        <v>1.4E-2</v>
      </c>
      <c r="AL202" s="9">
        <v>17.399999999999999</v>
      </c>
      <c r="AM202" s="9">
        <v>5.47</v>
      </c>
      <c r="AN202" s="9">
        <v>0</v>
      </c>
      <c r="AO202" s="9">
        <v>6.0999999999999999E-2</v>
      </c>
    </row>
    <row r="203" spans="1:41" x14ac:dyDescent="0.3">
      <c r="A203">
        <v>66</v>
      </c>
      <c r="B203" t="s">
        <v>1680</v>
      </c>
      <c r="C203">
        <v>13</v>
      </c>
      <c r="D203" t="s">
        <v>1679</v>
      </c>
      <c r="E203">
        <v>14000</v>
      </c>
      <c r="I203"/>
      <c r="J203"/>
      <c r="K203"/>
      <c r="N203">
        <v>0.05</v>
      </c>
      <c r="O203">
        <v>0</v>
      </c>
      <c r="P203">
        <v>25</v>
      </c>
      <c r="Q203">
        <v>1</v>
      </c>
      <c r="T203" s="6">
        <f>10^-(14-Q203)</f>
        <v>1E-13</v>
      </c>
      <c r="U203" s="6">
        <v>0.1</v>
      </c>
      <c r="V203" s="6">
        <v>0</v>
      </c>
      <c r="W203" s="6">
        <v>0</v>
      </c>
      <c r="X203" s="6">
        <v>0</v>
      </c>
      <c r="Y203" t="s">
        <v>171</v>
      </c>
      <c r="Z203"/>
      <c r="AA203"/>
      <c r="AB203"/>
      <c r="AC203"/>
      <c r="AD203">
        <v>1.66</v>
      </c>
      <c r="AE203">
        <v>700.25087108013895</v>
      </c>
      <c r="AF203">
        <v>1</v>
      </c>
      <c r="AG203" s="9">
        <v>1.9E-2</v>
      </c>
      <c r="AH203" s="9">
        <v>5.7</v>
      </c>
      <c r="AI203" s="9">
        <v>0.27</v>
      </c>
      <c r="AJ203" s="9">
        <v>2.9000000000000001E-2</v>
      </c>
      <c r="AK203" s="9">
        <v>1.4E-2</v>
      </c>
      <c r="AL203" s="9">
        <v>17.399999999999999</v>
      </c>
      <c r="AM203" s="9">
        <v>5.47</v>
      </c>
      <c r="AN203" s="9">
        <v>0</v>
      </c>
      <c r="AO203" s="9">
        <v>6.0999999999999999E-2</v>
      </c>
    </row>
    <row r="204" spans="1:41" x14ac:dyDescent="0.3">
      <c r="A204">
        <v>66</v>
      </c>
      <c r="B204" t="s">
        <v>1680</v>
      </c>
      <c r="C204">
        <v>13</v>
      </c>
      <c r="D204" t="s">
        <v>1679</v>
      </c>
      <c r="E204">
        <v>14000</v>
      </c>
      <c r="I204"/>
      <c r="J204"/>
      <c r="K204"/>
      <c r="N204">
        <v>0.1</v>
      </c>
      <c r="O204">
        <v>0</v>
      </c>
      <c r="P204">
        <v>25</v>
      </c>
      <c r="Q204">
        <v>1</v>
      </c>
      <c r="T204" s="6">
        <f>10^-(14-Q204)</f>
        <v>1E-13</v>
      </c>
      <c r="U204" s="6">
        <v>0.1</v>
      </c>
      <c r="V204" s="6">
        <v>0</v>
      </c>
      <c r="W204" s="6">
        <v>0</v>
      </c>
      <c r="X204" s="6">
        <v>0</v>
      </c>
      <c r="Y204" t="s">
        <v>171</v>
      </c>
      <c r="Z204"/>
      <c r="AA204"/>
      <c r="AB204"/>
      <c r="AC204"/>
      <c r="AD204">
        <v>1.66</v>
      </c>
      <c r="AE204">
        <v>-144.3484320557493</v>
      </c>
      <c r="AF204">
        <v>1</v>
      </c>
      <c r="AG204" s="9">
        <v>0</v>
      </c>
      <c r="AH204" s="9">
        <v>10</v>
      </c>
      <c r="AI204" s="9">
        <v>0.5</v>
      </c>
      <c r="AJ204" s="9">
        <v>2.7E-2</v>
      </c>
      <c r="AK204" s="9">
        <v>1.7000000000000001E-2</v>
      </c>
      <c r="AL204" s="9">
        <v>17.5</v>
      </c>
      <c r="AM204" s="9">
        <v>5.69</v>
      </c>
      <c r="AN204" s="9">
        <v>0</v>
      </c>
      <c r="AO204" s="9">
        <v>1.9E-2</v>
      </c>
    </row>
    <row r="205" spans="1:41" x14ac:dyDescent="0.3">
      <c r="A205">
        <v>66</v>
      </c>
      <c r="B205" t="s">
        <v>1680</v>
      </c>
      <c r="C205">
        <v>13</v>
      </c>
      <c r="D205" t="s">
        <v>1679</v>
      </c>
      <c r="E205">
        <v>14000</v>
      </c>
      <c r="I205"/>
      <c r="J205"/>
      <c r="K205"/>
      <c r="N205">
        <v>0.05</v>
      </c>
      <c r="O205">
        <v>0</v>
      </c>
      <c r="P205">
        <v>25</v>
      </c>
      <c r="Q205">
        <v>1</v>
      </c>
      <c r="T205" s="6">
        <f>10^-(14-Q205)</f>
        <v>1E-13</v>
      </c>
      <c r="U205" s="6">
        <v>0.1</v>
      </c>
      <c r="V205" s="6">
        <v>0</v>
      </c>
      <c r="W205" s="6">
        <v>0</v>
      </c>
      <c r="X205" s="6">
        <v>0</v>
      </c>
      <c r="Y205" t="s">
        <v>171</v>
      </c>
      <c r="Z205"/>
      <c r="AA205"/>
      <c r="AB205"/>
      <c r="AC205"/>
      <c r="AD205">
        <v>1.66</v>
      </c>
      <c r="AE205">
        <v>252.86411149825699</v>
      </c>
      <c r="AF205">
        <v>1</v>
      </c>
      <c r="AG205" s="9">
        <v>0</v>
      </c>
      <c r="AH205" s="9">
        <v>10</v>
      </c>
      <c r="AI205" s="9">
        <v>0.5</v>
      </c>
      <c r="AJ205" s="9">
        <v>2.7E-2</v>
      </c>
      <c r="AK205" s="9">
        <v>1.7000000000000001E-2</v>
      </c>
      <c r="AL205" s="9">
        <v>17.5</v>
      </c>
      <c r="AM205" s="9">
        <v>5.69</v>
      </c>
      <c r="AN205" s="9">
        <v>0</v>
      </c>
      <c r="AO205" s="9">
        <v>1.9E-2</v>
      </c>
    </row>
    <row r="206" spans="1:41" x14ac:dyDescent="0.3">
      <c r="A206">
        <v>66</v>
      </c>
      <c r="B206" t="s">
        <v>1680</v>
      </c>
      <c r="C206">
        <v>13</v>
      </c>
      <c r="D206" t="s">
        <v>1679</v>
      </c>
      <c r="E206">
        <v>14000</v>
      </c>
      <c r="I206"/>
      <c r="J206"/>
      <c r="K206"/>
      <c r="N206">
        <v>0.1</v>
      </c>
      <c r="O206">
        <v>0</v>
      </c>
      <c r="P206">
        <v>25</v>
      </c>
      <c r="Q206">
        <v>1</v>
      </c>
      <c r="T206" s="6">
        <f>10^-(14-Q206)</f>
        <v>1E-13</v>
      </c>
      <c r="U206" s="6">
        <v>0.1</v>
      </c>
      <c r="V206" s="6">
        <v>0</v>
      </c>
      <c r="W206" s="6">
        <v>0</v>
      </c>
      <c r="X206" s="6">
        <v>0</v>
      </c>
      <c r="Y206" t="s">
        <v>171</v>
      </c>
      <c r="Z206"/>
      <c r="AA206"/>
      <c r="AB206"/>
      <c r="AC206"/>
      <c r="AD206">
        <v>1.66</v>
      </c>
      <c r="AE206">
        <v>-175.7073170731708</v>
      </c>
      <c r="AF206">
        <v>1</v>
      </c>
      <c r="AG206" s="9">
        <v>1.2999999999999999E-2</v>
      </c>
      <c r="AH206" s="9">
        <v>9.6</v>
      </c>
      <c r="AI206" s="9">
        <v>0.56999999999999995</v>
      </c>
      <c r="AJ206" s="9">
        <v>3.1E-2</v>
      </c>
      <c r="AK206" s="9">
        <v>1.4E-2</v>
      </c>
      <c r="AL206" s="9">
        <v>17.600000000000001</v>
      </c>
      <c r="AM206" s="9">
        <v>5.52</v>
      </c>
      <c r="AN206" s="9">
        <v>0</v>
      </c>
      <c r="AO206" s="9">
        <v>4.9000000000000002E-2</v>
      </c>
    </row>
    <row r="207" spans="1:41" x14ac:dyDescent="0.3">
      <c r="A207">
        <v>66</v>
      </c>
      <c r="B207" t="s">
        <v>1680</v>
      </c>
      <c r="C207">
        <v>13</v>
      </c>
      <c r="D207" t="s">
        <v>1679</v>
      </c>
      <c r="E207">
        <v>14000</v>
      </c>
      <c r="I207"/>
      <c r="J207"/>
      <c r="K207"/>
      <c r="N207">
        <v>0.1</v>
      </c>
      <c r="O207">
        <v>0</v>
      </c>
      <c r="P207">
        <v>25</v>
      </c>
      <c r="Q207">
        <v>1</v>
      </c>
      <c r="T207" s="6">
        <f>10^-(14-Q207)</f>
        <v>1E-13</v>
      </c>
      <c r="U207" s="6">
        <v>0.1</v>
      </c>
      <c r="V207" s="6">
        <v>0</v>
      </c>
      <c r="W207" s="6">
        <v>0</v>
      </c>
      <c r="X207" s="6">
        <v>0</v>
      </c>
      <c r="Y207" t="s">
        <v>171</v>
      </c>
      <c r="Z207"/>
      <c r="AA207"/>
      <c r="AB207"/>
      <c r="AC207"/>
      <c r="AD207">
        <v>1.66</v>
      </c>
      <c r="AE207">
        <v>-144.3484320557493</v>
      </c>
      <c r="AF207">
        <v>1</v>
      </c>
      <c r="AG207" s="9">
        <v>1.4999999999999999E-2</v>
      </c>
      <c r="AH207" s="9">
        <v>11.7</v>
      </c>
      <c r="AI207" s="9">
        <v>0.23</v>
      </c>
      <c r="AJ207" s="9">
        <v>0.03</v>
      </c>
      <c r="AK207" s="9">
        <v>1.7999999999999999E-2</v>
      </c>
      <c r="AL207" s="9">
        <v>17.600000000000001</v>
      </c>
      <c r="AM207" s="9">
        <v>5.48</v>
      </c>
      <c r="AN207" s="9">
        <v>0</v>
      </c>
      <c r="AO207" s="9">
        <v>6.5000000000000002E-2</v>
      </c>
    </row>
    <row r="208" spans="1:41" x14ac:dyDescent="0.3">
      <c r="A208">
        <v>66</v>
      </c>
      <c r="B208" t="s">
        <v>1680</v>
      </c>
      <c r="C208">
        <v>13</v>
      </c>
      <c r="D208" t="s">
        <v>1679</v>
      </c>
      <c r="E208">
        <v>14000</v>
      </c>
      <c r="I208"/>
      <c r="J208"/>
      <c r="K208"/>
      <c r="N208">
        <v>0.1</v>
      </c>
      <c r="O208">
        <v>0</v>
      </c>
      <c r="P208">
        <v>25</v>
      </c>
      <c r="Q208">
        <v>1</v>
      </c>
      <c r="T208" s="6">
        <f>10^-(14-Q208)</f>
        <v>1E-13</v>
      </c>
      <c r="U208" s="6">
        <v>0.1</v>
      </c>
      <c r="V208" s="6">
        <v>0</v>
      </c>
      <c r="W208" s="6">
        <v>0</v>
      </c>
      <c r="X208" s="6">
        <v>0</v>
      </c>
      <c r="Y208" t="s">
        <v>171</v>
      </c>
      <c r="Z208"/>
      <c r="AA208"/>
      <c r="AB208"/>
      <c r="AC208"/>
      <c r="AD208">
        <v>1.66</v>
      </c>
      <c r="AE208">
        <v>-167.34494773519168</v>
      </c>
      <c r="AF208">
        <v>1</v>
      </c>
      <c r="AG208" s="9">
        <v>1.5E-3</v>
      </c>
      <c r="AH208" s="9">
        <v>15.1</v>
      </c>
      <c r="AI208" s="9">
        <v>0.5</v>
      </c>
      <c r="AJ208" s="9">
        <v>0.03</v>
      </c>
      <c r="AK208" s="9">
        <v>1.7999999999999999E-2</v>
      </c>
      <c r="AL208" s="9">
        <v>17.600000000000001</v>
      </c>
      <c r="AM208" s="9">
        <v>5.44</v>
      </c>
      <c r="AN208" s="9">
        <v>0</v>
      </c>
      <c r="AO208" s="9">
        <v>8.5999999999999993E-2</v>
      </c>
    </row>
    <row r="209" spans="1:41" x14ac:dyDescent="0.3">
      <c r="A209">
        <v>66</v>
      </c>
      <c r="B209" t="s">
        <v>1680</v>
      </c>
      <c r="C209">
        <v>13</v>
      </c>
      <c r="D209" t="s">
        <v>1679</v>
      </c>
      <c r="E209">
        <v>14000</v>
      </c>
      <c r="I209"/>
      <c r="J209"/>
      <c r="K209"/>
      <c r="N209">
        <v>0.05</v>
      </c>
      <c r="O209">
        <v>0</v>
      </c>
      <c r="P209">
        <v>25</v>
      </c>
      <c r="Q209">
        <v>1</v>
      </c>
      <c r="T209" s="6">
        <f>10^-(14-Q209)</f>
        <v>1E-13</v>
      </c>
      <c r="U209" s="6">
        <v>0.1</v>
      </c>
      <c r="V209" s="6">
        <v>0</v>
      </c>
      <c r="W209" s="6">
        <v>0</v>
      </c>
      <c r="X209" s="6">
        <v>0</v>
      </c>
      <c r="Y209" t="s">
        <v>171</v>
      </c>
      <c r="Z209"/>
      <c r="AA209"/>
      <c r="AB209"/>
      <c r="AC209"/>
      <c r="AD209">
        <v>1.66</v>
      </c>
      <c r="AE209">
        <v>252.86411149825699</v>
      </c>
      <c r="AF209">
        <v>1</v>
      </c>
      <c r="AG209" s="9">
        <v>1.2999999999999999E-2</v>
      </c>
      <c r="AH209" s="9">
        <v>9.6</v>
      </c>
      <c r="AI209" s="9">
        <v>0.56999999999999995</v>
      </c>
      <c r="AJ209" s="9">
        <v>3.1E-2</v>
      </c>
      <c r="AK209" s="9">
        <v>1.4E-2</v>
      </c>
      <c r="AL209" s="9">
        <v>17.600000000000001</v>
      </c>
      <c r="AM209" s="9">
        <v>5.52</v>
      </c>
      <c r="AN209" s="9">
        <v>0</v>
      </c>
      <c r="AO209" s="9">
        <v>4.9000000000000002E-2</v>
      </c>
    </row>
    <row r="210" spans="1:41" x14ac:dyDescent="0.3">
      <c r="A210">
        <v>66</v>
      </c>
      <c r="B210" t="s">
        <v>1680</v>
      </c>
      <c r="C210">
        <v>13</v>
      </c>
      <c r="D210" t="s">
        <v>1679</v>
      </c>
      <c r="E210">
        <v>14000</v>
      </c>
      <c r="I210"/>
      <c r="J210"/>
      <c r="K210"/>
      <c r="N210">
        <v>0.05</v>
      </c>
      <c r="O210">
        <v>0</v>
      </c>
      <c r="P210">
        <v>25</v>
      </c>
      <c r="Q210">
        <v>1</v>
      </c>
      <c r="T210" s="6">
        <f>10^-(14-Q210)</f>
        <v>1E-13</v>
      </c>
      <c r="U210" s="6">
        <v>0.1</v>
      </c>
      <c r="V210" s="6">
        <v>0</v>
      </c>
      <c r="W210" s="6">
        <v>0</v>
      </c>
      <c r="X210" s="6">
        <v>0</v>
      </c>
      <c r="Y210" t="s">
        <v>171</v>
      </c>
      <c r="Z210"/>
      <c r="AA210"/>
      <c r="AB210"/>
      <c r="AC210"/>
      <c r="AD210">
        <v>1.66</v>
      </c>
      <c r="AE210">
        <v>254.95470383275199</v>
      </c>
      <c r="AF210">
        <v>1</v>
      </c>
      <c r="AG210" s="9">
        <v>1.4999999999999999E-2</v>
      </c>
      <c r="AH210" s="9">
        <v>11.7</v>
      </c>
      <c r="AI210" s="9">
        <v>0.23</v>
      </c>
      <c r="AJ210" s="9">
        <v>0.03</v>
      </c>
      <c r="AK210" s="9">
        <v>1.7999999999999999E-2</v>
      </c>
      <c r="AL210" s="9">
        <v>17.600000000000001</v>
      </c>
      <c r="AM210" s="9">
        <v>5.48</v>
      </c>
      <c r="AN210" s="9">
        <v>0</v>
      </c>
      <c r="AO210" s="9">
        <v>6.5000000000000002E-2</v>
      </c>
    </row>
    <row r="211" spans="1:41" x14ac:dyDescent="0.3">
      <c r="A211">
        <v>66</v>
      </c>
      <c r="B211" t="s">
        <v>1680</v>
      </c>
      <c r="C211">
        <v>13</v>
      </c>
      <c r="D211" t="s">
        <v>1679</v>
      </c>
      <c r="E211">
        <v>14000</v>
      </c>
      <c r="I211"/>
      <c r="J211"/>
      <c r="K211"/>
      <c r="N211">
        <v>0.05</v>
      </c>
      <c r="O211">
        <v>0</v>
      </c>
      <c r="P211">
        <v>25</v>
      </c>
      <c r="Q211">
        <v>1</v>
      </c>
      <c r="T211" s="6">
        <f>10^-(14-Q211)</f>
        <v>1E-13</v>
      </c>
      <c r="U211" s="6">
        <v>0.1</v>
      </c>
      <c r="V211" s="6">
        <v>0</v>
      </c>
      <c r="W211" s="6">
        <v>0</v>
      </c>
      <c r="X211" s="6">
        <v>0</v>
      </c>
      <c r="Y211" t="s">
        <v>171</v>
      </c>
      <c r="Z211"/>
      <c r="AA211"/>
      <c r="AB211"/>
      <c r="AC211"/>
      <c r="AD211">
        <v>1.66</v>
      </c>
      <c r="AE211">
        <v>250.77351916376301</v>
      </c>
      <c r="AF211">
        <v>1</v>
      </c>
      <c r="AG211" s="9">
        <v>1.5E-3</v>
      </c>
      <c r="AH211" s="9">
        <v>15.1</v>
      </c>
      <c r="AI211" s="9">
        <v>0.5</v>
      </c>
      <c r="AJ211" s="9">
        <v>0.03</v>
      </c>
      <c r="AK211" s="9">
        <v>1.7999999999999999E-2</v>
      </c>
      <c r="AL211" s="9">
        <v>17.600000000000001</v>
      </c>
      <c r="AM211" s="9">
        <v>5.44</v>
      </c>
      <c r="AN211" s="9">
        <v>0</v>
      </c>
      <c r="AO211" s="9">
        <v>8.5999999999999993E-2</v>
      </c>
    </row>
    <row r="212" spans="1:41" x14ac:dyDescent="0.3">
      <c r="A212">
        <v>57</v>
      </c>
      <c r="B212" t="s">
        <v>1670</v>
      </c>
      <c r="C212">
        <v>14</v>
      </c>
      <c r="D212"/>
      <c r="I212"/>
      <c r="J212"/>
      <c r="K212"/>
      <c r="N212">
        <v>1</v>
      </c>
      <c r="O212" s="3">
        <v>0</v>
      </c>
      <c r="P212">
        <v>25</v>
      </c>
      <c r="Q212">
        <v>0</v>
      </c>
      <c r="R212" t="s">
        <v>102</v>
      </c>
      <c r="T212" s="6">
        <f>10^-(14-Q212)</f>
        <v>1E-14</v>
      </c>
      <c r="U212" s="6">
        <v>0</v>
      </c>
      <c r="V212" s="6">
        <v>0</v>
      </c>
      <c r="W212" s="6">
        <v>0</v>
      </c>
      <c r="X212" s="6">
        <v>0</v>
      </c>
      <c r="Y212" t="s">
        <v>171</v>
      </c>
      <c r="Z212"/>
      <c r="AA212"/>
      <c r="AB212"/>
      <c r="AC212"/>
      <c r="AD212">
        <v>0.41699999999999998</v>
      </c>
      <c r="AE212">
        <v>250</v>
      </c>
      <c r="AF212">
        <v>1</v>
      </c>
      <c r="AL212" s="9">
        <v>10</v>
      </c>
      <c r="AM212" s="9">
        <v>25</v>
      </c>
      <c r="AN212" s="9">
        <v>5</v>
      </c>
    </row>
    <row r="213" spans="1:41" x14ac:dyDescent="0.3">
      <c r="A213">
        <v>57</v>
      </c>
      <c r="B213" t="s">
        <v>1670</v>
      </c>
      <c r="C213">
        <v>14</v>
      </c>
      <c r="D213"/>
      <c r="I213"/>
      <c r="J213"/>
      <c r="K213"/>
      <c r="N213">
        <v>1</v>
      </c>
      <c r="O213" s="3">
        <v>0</v>
      </c>
      <c r="P213">
        <v>25</v>
      </c>
      <c r="Q213">
        <v>0</v>
      </c>
      <c r="R213" t="s">
        <v>102</v>
      </c>
      <c r="T213" s="6">
        <f>10^-(14-Q213)</f>
        <v>1E-14</v>
      </c>
      <c r="U213" s="6">
        <v>0</v>
      </c>
      <c r="V213" s="6">
        <v>0</v>
      </c>
      <c r="W213" s="6">
        <v>0</v>
      </c>
      <c r="X213" s="6">
        <v>0</v>
      </c>
      <c r="Y213" t="s">
        <v>171</v>
      </c>
      <c r="Z213"/>
      <c r="AA213"/>
      <c r="AB213"/>
      <c r="AC213"/>
      <c r="AD213">
        <v>0.41699999999999998</v>
      </c>
      <c r="AE213">
        <v>350</v>
      </c>
      <c r="AF213">
        <v>1</v>
      </c>
      <c r="AL213" s="9">
        <v>14</v>
      </c>
      <c r="AM213" s="9">
        <v>25</v>
      </c>
      <c r="AN213" s="9">
        <v>5</v>
      </c>
    </row>
    <row r="214" spans="1:41" x14ac:dyDescent="0.3">
      <c r="A214">
        <v>57</v>
      </c>
      <c r="B214" t="s">
        <v>1670</v>
      </c>
      <c r="C214">
        <v>14</v>
      </c>
      <c r="D214"/>
      <c r="I214"/>
      <c r="J214"/>
      <c r="K214"/>
      <c r="N214">
        <v>1</v>
      </c>
      <c r="O214" s="3">
        <v>0</v>
      </c>
      <c r="P214">
        <v>25</v>
      </c>
      <c r="Q214">
        <v>0</v>
      </c>
      <c r="R214" t="s">
        <v>102</v>
      </c>
      <c r="T214" s="6">
        <f>10^-(14-Q214)</f>
        <v>1E-14</v>
      </c>
      <c r="U214" s="6">
        <v>0</v>
      </c>
      <c r="V214" s="6">
        <v>0</v>
      </c>
      <c r="W214" s="6">
        <v>0</v>
      </c>
      <c r="X214" s="6">
        <v>0</v>
      </c>
      <c r="Y214" t="s">
        <v>171</v>
      </c>
      <c r="Z214"/>
      <c r="AA214"/>
      <c r="AB214"/>
      <c r="AC214"/>
      <c r="AD214">
        <v>0.41699999999999998</v>
      </c>
      <c r="AE214">
        <v>-100</v>
      </c>
      <c r="AF214">
        <v>1</v>
      </c>
      <c r="AL214" s="9">
        <v>15</v>
      </c>
      <c r="AM214" s="9">
        <v>0</v>
      </c>
      <c r="AN214" s="9">
        <v>0</v>
      </c>
    </row>
    <row r="215" spans="1:41" x14ac:dyDescent="0.3">
      <c r="A215">
        <v>57</v>
      </c>
      <c r="B215" t="s">
        <v>1670</v>
      </c>
      <c r="C215">
        <v>14</v>
      </c>
      <c r="D215"/>
      <c r="I215"/>
      <c r="J215"/>
      <c r="K215"/>
      <c r="N215">
        <v>1</v>
      </c>
      <c r="O215" s="3">
        <v>0</v>
      </c>
      <c r="P215">
        <v>25</v>
      </c>
      <c r="Q215">
        <v>0</v>
      </c>
      <c r="R215" t="s">
        <v>102</v>
      </c>
      <c r="T215" s="6">
        <f>10^-(14-Q215)</f>
        <v>1E-14</v>
      </c>
      <c r="U215" s="6">
        <v>0</v>
      </c>
      <c r="V215" s="6">
        <v>0</v>
      </c>
      <c r="W215" s="6">
        <v>0</v>
      </c>
      <c r="X215" s="6">
        <v>0</v>
      </c>
      <c r="Y215" t="s">
        <v>171</v>
      </c>
      <c r="Z215"/>
      <c r="AA215"/>
      <c r="AB215"/>
      <c r="AC215"/>
      <c r="AD215">
        <v>0.41699999999999998</v>
      </c>
      <c r="AE215">
        <v>400</v>
      </c>
      <c r="AF215">
        <v>1</v>
      </c>
      <c r="AL215" s="9">
        <v>17</v>
      </c>
      <c r="AM215" s="9">
        <v>25</v>
      </c>
      <c r="AN215" s="9">
        <v>5</v>
      </c>
    </row>
    <row r="216" spans="1:41" x14ac:dyDescent="0.3">
      <c r="A216">
        <v>57</v>
      </c>
      <c r="B216" t="s">
        <v>1670</v>
      </c>
      <c r="C216">
        <v>14</v>
      </c>
      <c r="D216"/>
      <c r="I216"/>
      <c r="J216"/>
      <c r="K216"/>
      <c r="N216">
        <v>1</v>
      </c>
      <c r="O216" s="3">
        <v>0</v>
      </c>
      <c r="P216">
        <v>25</v>
      </c>
      <c r="Q216">
        <v>0</v>
      </c>
      <c r="R216" t="s">
        <v>102</v>
      </c>
      <c r="T216" s="6">
        <f>10^-(14-Q216)</f>
        <v>1E-14</v>
      </c>
      <c r="U216" s="6">
        <v>0</v>
      </c>
      <c r="V216" s="6">
        <v>0</v>
      </c>
      <c r="W216" s="6">
        <v>0</v>
      </c>
      <c r="X216" s="6">
        <v>0</v>
      </c>
      <c r="Y216" t="s">
        <v>171</v>
      </c>
      <c r="Z216"/>
      <c r="AA216"/>
      <c r="AB216"/>
      <c r="AC216"/>
      <c r="AD216">
        <v>0.41699999999999998</v>
      </c>
      <c r="AE216">
        <v>850</v>
      </c>
      <c r="AF216">
        <v>1</v>
      </c>
      <c r="AG216" s="9">
        <v>5.8999999999999997E-2</v>
      </c>
      <c r="AH216" s="9">
        <v>1.44</v>
      </c>
      <c r="AI216" s="9">
        <v>0.46</v>
      </c>
      <c r="AJ216" s="9">
        <v>8.0000000000000002E-3</v>
      </c>
      <c r="AK216" s="9">
        <v>0.01</v>
      </c>
      <c r="AL216" s="9">
        <v>19.96</v>
      </c>
      <c r="AM216" s="9">
        <v>25.66</v>
      </c>
      <c r="AN216" s="9">
        <v>5.0599999999999996</v>
      </c>
    </row>
    <row r="217" spans="1:41" x14ac:dyDescent="0.3">
      <c r="A217">
        <v>57</v>
      </c>
      <c r="B217" t="s">
        <v>1670</v>
      </c>
      <c r="C217">
        <v>14</v>
      </c>
      <c r="D217"/>
      <c r="I217"/>
      <c r="J217"/>
      <c r="K217"/>
      <c r="N217">
        <v>1</v>
      </c>
      <c r="O217" s="3">
        <v>0</v>
      </c>
      <c r="P217">
        <v>25</v>
      </c>
      <c r="Q217">
        <v>0</v>
      </c>
      <c r="R217" t="s">
        <v>102</v>
      </c>
      <c r="T217" s="6">
        <f>10^-(14-Q217)</f>
        <v>1E-14</v>
      </c>
      <c r="U217" s="6">
        <v>0</v>
      </c>
      <c r="V217" s="6">
        <v>0</v>
      </c>
      <c r="W217" s="6">
        <v>0</v>
      </c>
      <c r="X217" s="6">
        <v>0</v>
      </c>
      <c r="Y217" t="s">
        <v>171</v>
      </c>
      <c r="Z217"/>
      <c r="AA217"/>
      <c r="AB217"/>
      <c r="AC217"/>
      <c r="AD217">
        <v>0.41699999999999998</v>
      </c>
      <c r="AE217">
        <v>0</v>
      </c>
      <c r="AF217">
        <v>1</v>
      </c>
      <c r="AG217" s="9">
        <v>5.7000000000000002E-2</v>
      </c>
      <c r="AH217" s="9">
        <v>1.48</v>
      </c>
      <c r="AI217" s="9">
        <v>0.48</v>
      </c>
      <c r="AJ217" s="9">
        <v>8.9999999999999993E-3</v>
      </c>
      <c r="AK217" s="9">
        <v>0.01</v>
      </c>
      <c r="AL217" s="9">
        <v>19.989999999999998</v>
      </c>
      <c r="AM217" s="9">
        <v>25.88</v>
      </c>
      <c r="AN217" s="9">
        <v>1.05</v>
      </c>
    </row>
    <row r="218" spans="1:41" x14ac:dyDescent="0.3">
      <c r="A218">
        <v>57</v>
      </c>
      <c r="B218" t="s">
        <v>1670</v>
      </c>
      <c r="C218">
        <v>14</v>
      </c>
      <c r="D218"/>
      <c r="I218"/>
      <c r="J218"/>
      <c r="K218"/>
      <c r="N218">
        <v>1</v>
      </c>
      <c r="O218" s="3">
        <v>0</v>
      </c>
      <c r="P218">
        <v>25</v>
      </c>
      <c r="Q218">
        <v>0</v>
      </c>
      <c r="R218" t="s">
        <v>102</v>
      </c>
      <c r="T218" s="6">
        <f>10^-(14-Q218)</f>
        <v>1E-14</v>
      </c>
      <c r="U218" s="6">
        <v>0</v>
      </c>
      <c r="V218" s="6">
        <v>0</v>
      </c>
      <c r="W218" s="6">
        <v>0</v>
      </c>
      <c r="X218" s="6">
        <v>0</v>
      </c>
      <c r="Y218" t="s">
        <v>171</v>
      </c>
      <c r="Z218"/>
      <c r="AA218"/>
      <c r="AB218"/>
      <c r="AC218"/>
      <c r="AD218">
        <v>0.41699999999999998</v>
      </c>
      <c r="AE218">
        <v>0</v>
      </c>
      <c r="AF218">
        <v>1</v>
      </c>
      <c r="AL218" s="9">
        <v>20</v>
      </c>
      <c r="AM218" s="9">
        <v>25</v>
      </c>
      <c r="AN218" s="9">
        <v>0</v>
      </c>
    </row>
    <row r="219" spans="1:41" x14ac:dyDescent="0.3">
      <c r="A219">
        <v>57</v>
      </c>
      <c r="B219" t="s">
        <v>1670</v>
      </c>
      <c r="C219">
        <v>14</v>
      </c>
      <c r="D219"/>
      <c r="I219"/>
      <c r="J219"/>
      <c r="K219"/>
      <c r="N219">
        <v>1</v>
      </c>
      <c r="O219" s="3">
        <v>0</v>
      </c>
      <c r="P219">
        <v>25</v>
      </c>
      <c r="Q219">
        <v>0</v>
      </c>
      <c r="R219" t="s">
        <v>102</v>
      </c>
      <c r="T219" s="6">
        <f>10^-(14-Q219)</f>
        <v>1E-14</v>
      </c>
      <c r="U219" s="6">
        <v>0</v>
      </c>
      <c r="V219" s="6">
        <v>0</v>
      </c>
      <c r="W219" s="6">
        <v>0</v>
      </c>
      <c r="X219" s="6">
        <v>0</v>
      </c>
      <c r="Y219" t="s">
        <v>171</v>
      </c>
      <c r="Z219"/>
      <c r="AA219"/>
      <c r="AB219"/>
      <c r="AC219"/>
      <c r="AD219">
        <v>0.41699999999999998</v>
      </c>
      <c r="AE219">
        <v>850</v>
      </c>
      <c r="AF219">
        <v>1</v>
      </c>
      <c r="AL219" s="9">
        <v>20</v>
      </c>
      <c r="AM219" s="9">
        <v>25</v>
      </c>
      <c r="AN219" s="9">
        <v>5</v>
      </c>
    </row>
    <row r="220" spans="1:41" x14ac:dyDescent="0.3">
      <c r="A220">
        <v>57</v>
      </c>
      <c r="B220" t="s">
        <v>1670</v>
      </c>
      <c r="C220">
        <v>14</v>
      </c>
      <c r="D220"/>
      <c r="I220"/>
      <c r="J220"/>
      <c r="K220"/>
      <c r="N220">
        <v>1</v>
      </c>
      <c r="O220" s="3">
        <v>0</v>
      </c>
      <c r="P220">
        <v>25</v>
      </c>
      <c r="Q220">
        <v>0</v>
      </c>
      <c r="R220" t="s">
        <v>102</v>
      </c>
      <c r="T220" s="6">
        <f>10^-(14-Q220)</f>
        <v>1E-14</v>
      </c>
      <c r="U220" s="6">
        <v>0</v>
      </c>
      <c r="V220" s="6">
        <v>0</v>
      </c>
      <c r="W220" s="6">
        <v>0</v>
      </c>
      <c r="X220" s="6">
        <v>0</v>
      </c>
      <c r="Y220" t="s">
        <v>171</v>
      </c>
      <c r="Z220"/>
      <c r="AA220"/>
      <c r="AB220"/>
      <c r="AC220"/>
      <c r="AD220">
        <v>0.41699999999999998</v>
      </c>
      <c r="AE220">
        <v>-100</v>
      </c>
      <c r="AF220">
        <v>1</v>
      </c>
      <c r="AL220" s="9">
        <v>20</v>
      </c>
      <c r="AM220" s="9">
        <v>0</v>
      </c>
      <c r="AN220" s="9">
        <v>0</v>
      </c>
    </row>
    <row r="221" spans="1:41" x14ac:dyDescent="0.3">
      <c r="A221">
        <v>57</v>
      </c>
      <c r="B221" t="s">
        <v>1670</v>
      </c>
      <c r="C221">
        <v>14</v>
      </c>
      <c r="D221"/>
      <c r="I221"/>
      <c r="J221"/>
      <c r="K221"/>
      <c r="N221">
        <v>1</v>
      </c>
      <c r="O221" s="3">
        <v>0</v>
      </c>
      <c r="P221">
        <v>25</v>
      </c>
      <c r="Q221">
        <v>0</v>
      </c>
      <c r="R221" t="s">
        <v>102</v>
      </c>
      <c r="T221" s="6">
        <f>10^-(14-Q221)</f>
        <v>1E-14</v>
      </c>
      <c r="U221" s="6">
        <v>0</v>
      </c>
      <c r="V221" s="6">
        <v>0</v>
      </c>
      <c r="W221" s="6">
        <v>0</v>
      </c>
      <c r="X221" s="6">
        <v>0</v>
      </c>
      <c r="Y221" t="s">
        <v>171</v>
      </c>
      <c r="Z221"/>
      <c r="AA221"/>
      <c r="AB221"/>
      <c r="AC221"/>
      <c r="AD221">
        <v>0.41699999999999998</v>
      </c>
      <c r="AE221">
        <v>880</v>
      </c>
      <c r="AF221">
        <v>1</v>
      </c>
      <c r="AL221" s="9">
        <v>20</v>
      </c>
      <c r="AM221" s="9">
        <v>25</v>
      </c>
      <c r="AN221" s="9">
        <v>5</v>
      </c>
    </row>
    <row r="222" spans="1:41" x14ac:dyDescent="0.3">
      <c r="A222">
        <v>57</v>
      </c>
      <c r="B222" t="s">
        <v>1670</v>
      </c>
      <c r="C222">
        <v>14</v>
      </c>
      <c r="D222"/>
      <c r="I222"/>
      <c r="J222"/>
      <c r="K222"/>
      <c r="N222">
        <v>1</v>
      </c>
      <c r="O222" s="3">
        <v>0</v>
      </c>
      <c r="P222">
        <v>25</v>
      </c>
      <c r="Q222">
        <v>0</v>
      </c>
      <c r="R222" t="s">
        <v>102</v>
      </c>
      <c r="T222" s="6">
        <f>10^-(14-Q222)</f>
        <v>1E-14</v>
      </c>
      <c r="U222" s="6">
        <v>0</v>
      </c>
      <c r="V222" s="6">
        <v>0</v>
      </c>
      <c r="W222" s="6">
        <v>0</v>
      </c>
      <c r="X222" s="6">
        <v>0</v>
      </c>
      <c r="Y222" t="s">
        <v>171</v>
      </c>
      <c r="Z222"/>
      <c r="AA222"/>
      <c r="AB222"/>
      <c r="AC222"/>
      <c r="AD222">
        <v>0.41699999999999998</v>
      </c>
      <c r="AE222">
        <v>0</v>
      </c>
      <c r="AF222">
        <v>1</v>
      </c>
      <c r="AG222" s="9">
        <v>5.2999999999999999E-2</v>
      </c>
      <c r="AH222" s="9">
        <v>1.53</v>
      </c>
      <c r="AI222" s="9">
        <v>0.54</v>
      </c>
      <c r="AJ222" s="9">
        <v>8.9999999999999993E-3</v>
      </c>
      <c r="AK222" s="9">
        <v>0.01</v>
      </c>
      <c r="AL222" s="9">
        <v>20.059999999999999</v>
      </c>
      <c r="AM222" s="9">
        <v>25.58</v>
      </c>
      <c r="AN222" s="9">
        <v>0.01</v>
      </c>
    </row>
    <row r="223" spans="1:41" x14ac:dyDescent="0.3">
      <c r="A223">
        <v>57</v>
      </c>
      <c r="B223" t="s">
        <v>1670</v>
      </c>
      <c r="C223">
        <v>14</v>
      </c>
      <c r="D223"/>
      <c r="I223"/>
      <c r="J223"/>
      <c r="K223"/>
      <c r="N223">
        <v>1</v>
      </c>
      <c r="O223" s="3">
        <v>0</v>
      </c>
      <c r="P223">
        <v>25</v>
      </c>
      <c r="Q223">
        <v>0</v>
      </c>
      <c r="R223" t="s">
        <v>102</v>
      </c>
      <c r="T223" s="6">
        <f>10^-(14-Q223)</f>
        <v>1E-14</v>
      </c>
      <c r="U223" s="6">
        <v>0</v>
      </c>
      <c r="V223" s="6">
        <v>0</v>
      </c>
      <c r="W223" s="6">
        <v>0</v>
      </c>
      <c r="X223" s="6">
        <v>0</v>
      </c>
      <c r="Y223" t="s">
        <v>171</v>
      </c>
      <c r="Z223"/>
      <c r="AA223"/>
      <c r="AB223"/>
      <c r="AC223"/>
      <c r="AD223">
        <v>0.41699999999999998</v>
      </c>
      <c r="AE223">
        <v>850</v>
      </c>
      <c r="AF223">
        <v>1</v>
      </c>
      <c r="AG223" s="9">
        <v>6.4000000000000001E-2</v>
      </c>
      <c r="AH223" s="9">
        <v>1.47</v>
      </c>
      <c r="AI223" s="9">
        <v>0.52</v>
      </c>
      <c r="AJ223" s="9">
        <v>8.9999999999999993E-3</v>
      </c>
      <c r="AK223" s="9">
        <v>0.01</v>
      </c>
      <c r="AL223" s="9">
        <v>20.16</v>
      </c>
      <c r="AM223" s="9">
        <v>25.52</v>
      </c>
      <c r="AN223" s="9">
        <v>2.97</v>
      </c>
    </row>
    <row r="224" spans="1:41" x14ac:dyDescent="0.3">
      <c r="A224">
        <v>57</v>
      </c>
      <c r="B224" t="s">
        <v>1670</v>
      </c>
      <c r="C224">
        <v>14</v>
      </c>
      <c r="D224"/>
      <c r="I224"/>
      <c r="J224"/>
      <c r="K224"/>
      <c r="N224">
        <v>1</v>
      </c>
      <c r="O224" s="3">
        <v>0</v>
      </c>
      <c r="P224">
        <v>25</v>
      </c>
      <c r="Q224">
        <v>0</v>
      </c>
      <c r="R224" t="s">
        <v>102</v>
      </c>
      <c r="T224" s="6">
        <f>10^-(14-Q224)</f>
        <v>1E-14</v>
      </c>
      <c r="U224" s="6">
        <v>0</v>
      </c>
      <c r="V224" s="6">
        <v>0</v>
      </c>
      <c r="W224" s="6">
        <v>0</v>
      </c>
      <c r="X224" s="6">
        <v>0</v>
      </c>
      <c r="Y224" t="s">
        <v>171</v>
      </c>
      <c r="Z224"/>
      <c r="AA224"/>
      <c r="AB224"/>
      <c r="AC224"/>
      <c r="AD224">
        <v>0.41699999999999998</v>
      </c>
      <c r="AE224">
        <v>180</v>
      </c>
      <c r="AF224">
        <v>1</v>
      </c>
      <c r="AL224" s="9">
        <v>23</v>
      </c>
      <c r="AM224" s="9">
        <v>0</v>
      </c>
      <c r="AN224" s="9">
        <v>0</v>
      </c>
    </row>
    <row r="225" spans="1:41" x14ac:dyDescent="0.3">
      <c r="A225">
        <v>57</v>
      </c>
      <c r="B225" t="s">
        <v>1670</v>
      </c>
      <c r="C225">
        <v>14</v>
      </c>
      <c r="D225"/>
      <c r="I225"/>
      <c r="J225"/>
      <c r="K225"/>
      <c r="N225">
        <v>1</v>
      </c>
      <c r="O225" s="3">
        <v>0</v>
      </c>
      <c r="P225">
        <v>25</v>
      </c>
      <c r="Q225">
        <v>0</v>
      </c>
      <c r="R225" t="s">
        <v>102</v>
      </c>
      <c r="T225" s="6">
        <f>10^-(14-Q225)</f>
        <v>1E-14</v>
      </c>
      <c r="U225" s="6">
        <v>0</v>
      </c>
      <c r="V225" s="6">
        <v>0</v>
      </c>
      <c r="W225" s="6">
        <v>0</v>
      </c>
      <c r="X225" s="6">
        <v>0</v>
      </c>
      <c r="Y225" t="s">
        <v>171</v>
      </c>
      <c r="Z225"/>
      <c r="AA225"/>
      <c r="AB225"/>
      <c r="AC225"/>
      <c r="AD225">
        <v>0.41699999999999998</v>
      </c>
      <c r="AE225">
        <v>910</v>
      </c>
      <c r="AF225">
        <v>1</v>
      </c>
      <c r="AL225" s="9">
        <v>28</v>
      </c>
      <c r="AM225" s="9">
        <v>0</v>
      </c>
      <c r="AN225" s="9">
        <v>0</v>
      </c>
    </row>
    <row r="226" spans="1:41" x14ac:dyDescent="0.3">
      <c r="A226">
        <v>57</v>
      </c>
      <c r="B226" t="s">
        <v>1670</v>
      </c>
      <c r="C226">
        <v>14</v>
      </c>
      <c r="D226"/>
      <c r="I226"/>
      <c r="J226"/>
      <c r="K226"/>
      <c r="N226">
        <v>1</v>
      </c>
      <c r="O226" s="3">
        <v>0</v>
      </c>
      <c r="P226">
        <v>25</v>
      </c>
      <c r="Q226">
        <v>0</v>
      </c>
      <c r="R226" t="s">
        <v>102</v>
      </c>
      <c r="T226" s="6">
        <f>10^-(14-Q226)</f>
        <v>1E-14</v>
      </c>
      <c r="U226" s="6">
        <v>0</v>
      </c>
      <c r="V226" s="6">
        <v>0</v>
      </c>
      <c r="W226" s="6">
        <v>0</v>
      </c>
      <c r="X226" s="6">
        <v>0</v>
      </c>
      <c r="Y226" t="s">
        <v>171</v>
      </c>
      <c r="Z226"/>
      <c r="AA226"/>
      <c r="AB226"/>
      <c r="AC226"/>
      <c r="AD226">
        <v>0.41699999999999998</v>
      </c>
      <c r="AE226">
        <v>900</v>
      </c>
      <c r="AF226">
        <v>1</v>
      </c>
      <c r="AL226" s="9">
        <v>30</v>
      </c>
      <c r="AM226" s="9">
        <v>0</v>
      </c>
      <c r="AN226" s="9">
        <v>0</v>
      </c>
    </row>
    <row r="227" spans="1:41" x14ac:dyDescent="0.3">
      <c r="A227">
        <v>57</v>
      </c>
      <c r="B227" t="s">
        <v>1670</v>
      </c>
      <c r="C227">
        <v>14</v>
      </c>
      <c r="D227"/>
      <c r="I227"/>
      <c r="J227"/>
      <c r="K227"/>
      <c r="N227">
        <v>1</v>
      </c>
      <c r="O227" s="3">
        <v>0</v>
      </c>
      <c r="P227">
        <v>25</v>
      </c>
      <c r="Q227">
        <v>0</v>
      </c>
      <c r="R227" t="s">
        <v>102</v>
      </c>
      <c r="T227" s="6">
        <f>10^-(14-Q227)</f>
        <v>1E-14</v>
      </c>
      <c r="U227" s="6">
        <v>0</v>
      </c>
      <c r="V227" s="6">
        <v>0</v>
      </c>
      <c r="W227" s="6">
        <v>0</v>
      </c>
      <c r="X227" s="6">
        <v>0</v>
      </c>
      <c r="Y227" t="s">
        <v>171</v>
      </c>
      <c r="Z227"/>
      <c r="AA227"/>
      <c r="AB227"/>
      <c r="AC227"/>
      <c r="AD227">
        <v>0.41699999999999998</v>
      </c>
      <c r="AE227">
        <v>900</v>
      </c>
      <c r="AF227">
        <v>1</v>
      </c>
      <c r="AL227" s="9">
        <v>40</v>
      </c>
      <c r="AM227" s="9">
        <v>0</v>
      </c>
      <c r="AN227" s="9">
        <v>0</v>
      </c>
    </row>
    <row r="228" spans="1:41" x14ac:dyDescent="0.3">
      <c r="A228">
        <v>57</v>
      </c>
      <c r="B228" t="s">
        <v>1670</v>
      </c>
      <c r="C228">
        <v>14</v>
      </c>
      <c r="D228"/>
      <c r="I228"/>
      <c r="J228"/>
      <c r="K228"/>
      <c r="N228">
        <v>1</v>
      </c>
      <c r="O228" s="3">
        <v>0</v>
      </c>
      <c r="P228">
        <v>25</v>
      </c>
      <c r="Q228">
        <v>0</v>
      </c>
      <c r="R228" t="s">
        <v>102</v>
      </c>
      <c r="T228" s="6">
        <f>10^-(14-Q228)</f>
        <v>1E-14</v>
      </c>
      <c r="U228" s="6">
        <v>0</v>
      </c>
      <c r="V228" s="6">
        <v>0</v>
      </c>
      <c r="W228" s="6">
        <v>0</v>
      </c>
      <c r="X228" s="6">
        <v>0</v>
      </c>
      <c r="Y228" t="s">
        <v>171</v>
      </c>
      <c r="Z228"/>
      <c r="AA228"/>
      <c r="AB228"/>
      <c r="AC228"/>
      <c r="AD228">
        <v>0.41699999999999998</v>
      </c>
      <c r="AE228">
        <v>910</v>
      </c>
      <c r="AF228">
        <v>1</v>
      </c>
      <c r="AL228" s="9">
        <v>60</v>
      </c>
      <c r="AM228" s="9">
        <v>0</v>
      </c>
      <c r="AN228" s="9">
        <v>0</v>
      </c>
    </row>
    <row r="229" spans="1:41" x14ac:dyDescent="0.3">
      <c r="A229">
        <v>57</v>
      </c>
      <c r="B229" t="s">
        <v>1670</v>
      </c>
      <c r="C229">
        <v>14</v>
      </c>
      <c r="D229"/>
      <c r="I229"/>
      <c r="J229"/>
      <c r="K229"/>
      <c r="N229">
        <v>1</v>
      </c>
      <c r="O229" s="3">
        <v>0</v>
      </c>
      <c r="P229">
        <v>25</v>
      </c>
      <c r="Q229">
        <v>0</v>
      </c>
      <c r="R229" t="s">
        <v>102</v>
      </c>
      <c r="T229" s="6">
        <f>10^-(14-Q229)</f>
        <v>1E-14</v>
      </c>
      <c r="U229" s="6">
        <v>0</v>
      </c>
      <c r="V229" s="6">
        <v>0</v>
      </c>
      <c r="W229" s="6">
        <v>0</v>
      </c>
      <c r="X229" s="6">
        <v>0</v>
      </c>
      <c r="Y229" t="s">
        <v>171</v>
      </c>
      <c r="Z229"/>
      <c r="AA229"/>
      <c r="AB229"/>
      <c r="AC229"/>
      <c r="AD229">
        <v>0.41699999999999998</v>
      </c>
      <c r="AE229">
        <v>850</v>
      </c>
      <c r="AF229">
        <v>1</v>
      </c>
      <c r="AL229" s="9">
        <v>70</v>
      </c>
      <c r="AM229" s="9">
        <v>0</v>
      </c>
      <c r="AN229" s="9">
        <v>0</v>
      </c>
    </row>
    <row r="230" spans="1:41" x14ac:dyDescent="0.3">
      <c r="A230">
        <v>71</v>
      </c>
      <c r="B230" t="s">
        <v>1677</v>
      </c>
      <c r="C230">
        <v>15</v>
      </c>
      <c r="D230"/>
      <c r="E230">
        <v>120</v>
      </c>
      <c r="I230">
        <v>-1.5</v>
      </c>
      <c r="J230"/>
      <c r="K230">
        <v>8.3333333333333329E-2</v>
      </c>
      <c r="N230">
        <v>0.6</v>
      </c>
      <c r="O230">
        <v>0</v>
      </c>
      <c r="Q230">
        <v>8.3000000000000007</v>
      </c>
      <c r="T230" s="6">
        <f>10^-(14-Q230)</f>
        <v>1.9952623149688817E-6</v>
      </c>
      <c r="U230" s="6">
        <v>0</v>
      </c>
      <c r="V230" s="6">
        <v>0.1</v>
      </c>
      <c r="W230" s="6">
        <v>0</v>
      </c>
      <c r="X230" s="6">
        <v>0</v>
      </c>
      <c r="Y230" t="s">
        <v>171</v>
      </c>
      <c r="Z230"/>
      <c r="AA230"/>
      <c r="AB230"/>
      <c r="AC230"/>
      <c r="AD230">
        <v>0.33300000000000002</v>
      </c>
      <c r="AE230">
        <v>20</v>
      </c>
      <c r="AF230">
        <v>1</v>
      </c>
      <c r="AG230" s="9">
        <v>2.1000000000000001E-2</v>
      </c>
      <c r="AH230" s="9">
        <v>4.25</v>
      </c>
      <c r="AI230" s="9">
        <v>0.18</v>
      </c>
      <c r="AJ230" s="9">
        <v>1.9E-2</v>
      </c>
      <c r="AK230" s="9">
        <v>1.4E-2</v>
      </c>
      <c r="AL230" s="9">
        <v>16.34</v>
      </c>
      <c r="AM230" s="9">
        <v>19.16</v>
      </c>
      <c r="AN230" s="9">
        <v>2.98</v>
      </c>
      <c r="AO230" s="9">
        <v>3.4000000000000002E-2</v>
      </c>
    </row>
    <row r="231" spans="1:41" x14ac:dyDescent="0.3">
      <c r="A231">
        <v>71</v>
      </c>
      <c r="B231" t="s">
        <v>1677</v>
      </c>
      <c r="C231">
        <v>15</v>
      </c>
      <c r="D231"/>
      <c r="E231">
        <v>120</v>
      </c>
      <c r="I231">
        <v>-1.5</v>
      </c>
      <c r="J231"/>
      <c r="K231">
        <v>8.3333333333333329E-2</v>
      </c>
      <c r="N231">
        <v>0.6</v>
      </c>
      <c r="O231">
        <v>0</v>
      </c>
      <c r="Q231">
        <v>8.3000000000000007</v>
      </c>
      <c r="T231" s="6">
        <f>10^-(14-Q231)</f>
        <v>1.9952623149688817E-6</v>
      </c>
      <c r="U231" s="6">
        <v>0</v>
      </c>
      <c r="V231" s="6">
        <v>0.1</v>
      </c>
      <c r="W231" s="6">
        <v>0</v>
      </c>
      <c r="X231" s="6">
        <v>0</v>
      </c>
      <c r="Y231" t="s">
        <v>171</v>
      </c>
      <c r="Z231"/>
      <c r="AA231"/>
      <c r="AB231"/>
      <c r="AC231"/>
      <c r="AD231">
        <v>0.33300000000000002</v>
      </c>
      <c r="AE231">
        <v>-15</v>
      </c>
      <c r="AF231">
        <v>1</v>
      </c>
      <c r="AG231" s="9">
        <v>7.0000000000000001E-3</v>
      </c>
      <c r="AH231" s="9">
        <v>4.08</v>
      </c>
      <c r="AI231" s="9">
        <v>0.22</v>
      </c>
      <c r="AJ231" s="9">
        <v>0.02</v>
      </c>
      <c r="AK231" s="9">
        <v>1.6E-2</v>
      </c>
      <c r="AL231" s="9">
        <v>16.420000000000002</v>
      </c>
      <c r="AM231" s="9">
        <v>19.899999999999999</v>
      </c>
      <c r="AN231" s="9">
        <v>1.03</v>
      </c>
      <c r="AO231" s="9">
        <v>0.155</v>
      </c>
    </row>
    <row r="232" spans="1:41" x14ac:dyDescent="0.3">
      <c r="A232">
        <v>71</v>
      </c>
      <c r="B232" t="s">
        <v>1677</v>
      </c>
      <c r="C232">
        <v>15</v>
      </c>
      <c r="D232"/>
      <c r="E232">
        <v>120</v>
      </c>
      <c r="I232">
        <v>-1.5</v>
      </c>
      <c r="J232"/>
      <c r="K232">
        <v>8.3333333333333329E-2</v>
      </c>
      <c r="N232">
        <v>0.6</v>
      </c>
      <c r="O232">
        <v>0</v>
      </c>
      <c r="Q232">
        <v>8.3000000000000007</v>
      </c>
      <c r="T232" s="6">
        <f>10^-(14-Q232)</f>
        <v>1.9952623149688817E-6</v>
      </c>
      <c r="U232" s="6">
        <v>0</v>
      </c>
      <c r="V232" s="6">
        <v>0.1</v>
      </c>
      <c r="W232" s="6">
        <v>0</v>
      </c>
      <c r="X232" s="6">
        <v>0</v>
      </c>
      <c r="Y232" t="s">
        <v>171</v>
      </c>
      <c r="Z232"/>
      <c r="AA232"/>
      <c r="AB232"/>
      <c r="AC232"/>
      <c r="AD232">
        <v>0.33300000000000002</v>
      </c>
      <c r="AE232">
        <v>95</v>
      </c>
      <c r="AF232">
        <v>1</v>
      </c>
      <c r="AG232" s="9">
        <v>2.5000000000000001E-2</v>
      </c>
      <c r="AH232" s="9">
        <v>4.53</v>
      </c>
      <c r="AI232" s="9">
        <v>0.23</v>
      </c>
      <c r="AJ232" s="9">
        <v>1.9E-2</v>
      </c>
      <c r="AK232" s="9">
        <v>0.01</v>
      </c>
      <c r="AL232" s="9">
        <v>16.579999999999998</v>
      </c>
      <c r="AM232" s="9">
        <v>20.29</v>
      </c>
      <c r="AN232" s="9">
        <v>2.72</v>
      </c>
      <c r="AO232" s="9">
        <v>0.31</v>
      </c>
    </row>
    <row r="233" spans="1:41" x14ac:dyDescent="0.3">
      <c r="A233">
        <v>71</v>
      </c>
      <c r="B233" t="s">
        <v>1677</v>
      </c>
      <c r="C233">
        <v>15</v>
      </c>
      <c r="D233"/>
      <c r="E233">
        <v>120</v>
      </c>
      <c r="I233">
        <v>-1.5</v>
      </c>
      <c r="J233"/>
      <c r="K233">
        <v>8.3333333333333329E-2</v>
      </c>
      <c r="N233">
        <v>0.6</v>
      </c>
      <c r="O233">
        <v>0</v>
      </c>
      <c r="Q233">
        <v>8.3000000000000007</v>
      </c>
      <c r="T233" s="6">
        <f>10^-(14-Q233)</f>
        <v>1.9952623149688817E-6</v>
      </c>
      <c r="U233" s="6">
        <v>0</v>
      </c>
      <c r="V233" s="6">
        <v>0.1</v>
      </c>
      <c r="W233" s="6">
        <v>0</v>
      </c>
      <c r="X233" s="6">
        <v>0</v>
      </c>
      <c r="Y233" t="s">
        <v>171</v>
      </c>
      <c r="Z233"/>
      <c r="AA233"/>
      <c r="AB233"/>
      <c r="AC233"/>
      <c r="AD233">
        <v>0.33300000000000002</v>
      </c>
      <c r="AE233">
        <v>50</v>
      </c>
      <c r="AF233">
        <v>1</v>
      </c>
      <c r="AG233" s="9">
        <v>2.5000000000000001E-2</v>
      </c>
      <c r="AH233" s="9">
        <v>4.3099999999999996</v>
      </c>
      <c r="AI233" s="9">
        <v>0.17</v>
      </c>
      <c r="AJ233" s="9">
        <v>1.7999999999999999E-2</v>
      </c>
      <c r="AK233" s="9">
        <v>1.2E-2</v>
      </c>
      <c r="AL233" s="9">
        <v>16.66</v>
      </c>
      <c r="AM233" s="9">
        <v>20.54</v>
      </c>
      <c r="AN233" s="9">
        <v>1.01</v>
      </c>
      <c r="AO233" s="9">
        <v>0.28999999999999998</v>
      </c>
    </row>
    <row r="234" spans="1:41" x14ac:dyDescent="0.3">
      <c r="A234">
        <v>71</v>
      </c>
      <c r="B234" t="s">
        <v>1677</v>
      </c>
      <c r="C234">
        <v>15</v>
      </c>
      <c r="D234"/>
      <c r="E234">
        <v>120</v>
      </c>
      <c r="I234">
        <v>-1.5</v>
      </c>
      <c r="J234"/>
      <c r="K234">
        <v>8.3333333333333329E-2</v>
      </c>
      <c r="N234">
        <v>0.6</v>
      </c>
      <c r="O234">
        <v>0</v>
      </c>
      <c r="Q234">
        <v>8.3000000000000007</v>
      </c>
      <c r="T234" s="6">
        <f>10^-(14-Q234)</f>
        <v>1.9952623149688817E-6</v>
      </c>
      <c r="U234" s="6">
        <v>0</v>
      </c>
      <c r="V234" s="6">
        <v>0.1</v>
      </c>
      <c r="W234" s="6">
        <v>0</v>
      </c>
      <c r="X234" s="6">
        <v>0</v>
      </c>
      <c r="Y234" t="s">
        <v>171</v>
      </c>
      <c r="Z234"/>
      <c r="AA234"/>
      <c r="AB234"/>
      <c r="AC234"/>
      <c r="AD234">
        <v>0.33300000000000002</v>
      </c>
      <c r="AE234">
        <v>85</v>
      </c>
      <c r="AF234">
        <v>1</v>
      </c>
      <c r="AG234" s="9">
        <v>8.0000000000000002E-3</v>
      </c>
      <c r="AH234" s="9">
        <v>4.0599999999999996</v>
      </c>
      <c r="AI234" s="9">
        <v>0.14000000000000001</v>
      </c>
      <c r="AJ234" s="9">
        <v>1.7000000000000001E-2</v>
      </c>
      <c r="AK234" s="9">
        <v>1.9E-2</v>
      </c>
      <c r="AL234" s="9">
        <v>16.7</v>
      </c>
      <c r="AM234" s="9">
        <v>19.649999999999999</v>
      </c>
      <c r="AN234" s="9">
        <v>2.92</v>
      </c>
      <c r="AO234" s="9">
        <v>0.14899999999999999</v>
      </c>
    </row>
    <row r="235" spans="1:41" x14ac:dyDescent="0.3">
      <c r="A235">
        <v>71</v>
      </c>
      <c r="B235" t="s">
        <v>1677</v>
      </c>
      <c r="C235">
        <v>15</v>
      </c>
      <c r="D235"/>
      <c r="E235">
        <v>120</v>
      </c>
      <c r="I235">
        <v>-1.5</v>
      </c>
      <c r="J235"/>
      <c r="K235">
        <v>8.3333333333333329E-2</v>
      </c>
      <c r="N235">
        <v>0.6</v>
      </c>
      <c r="O235">
        <v>0</v>
      </c>
      <c r="Q235">
        <v>8.3000000000000007</v>
      </c>
      <c r="T235" s="6">
        <f>10^-(14-Q235)</f>
        <v>1.9952623149688817E-6</v>
      </c>
      <c r="U235" s="6">
        <v>0</v>
      </c>
      <c r="V235" s="6">
        <v>0.1</v>
      </c>
      <c r="W235" s="6">
        <v>0</v>
      </c>
      <c r="X235" s="6">
        <v>0</v>
      </c>
      <c r="Y235" t="s">
        <v>171</v>
      </c>
      <c r="Z235"/>
      <c r="AA235"/>
      <c r="AB235"/>
      <c r="AC235"/>
      <c r="AD235">
        <v>0.33300000000000002</v>
      </c>
      <c r="AE235">
        <v>80</v>
      </c>
      <c r="AF235">
        <v>1</v>
      </c>
      <c r="AG235" s="9">
        <v>1.2E-2</v>
      </c>
      <c r="AH235" s="9">
        <v>4.07</v>
      </c>
      <c r="AI235" s="9">
        <v>0.27</v>
      </c>
      <c r="AJ235" s="9">
        <v>0.02</v>
      </c>
      <c r="AK235" s="9">
        <v>1.7999999999999999E-2</v>
      </c>
      <c r="AL235" s="9">
        <v>16.8</v>
      </c>
      <c r="AM235" s="9">
        <v>20.05</v>
      </c>
      <c r="AN235" s="9">
        <v>2.94</v>
      </c>
      <c r="AO235" s="9">
        <v>0.29099999999999998</v>
      </c>
    </row>
    <row r="236" spans="1:41" x14ac:dyDescent="0.3">
      <c r="A236">
        <v>71</v>
      </c>
      <c r="B236" t="s">
        <v>1677</v>
      </c>
      <c r="C236">
        <v>15</v>
      </c>
      <c r="D236"/>
      <c r="E236">
        <v>120</v>
      </c>
      <c r="I236">
        <v>-1.5</v>
      </c>
      <c r="J236"/>
      <c r="K236">
        <v>8.3333333333333329E-2</v>
      </c>
      <c r="N236">
        <v>0.6</v>
      </c>
      <c r="O236">
        <v>0</v>
      </c>
      <c r="Q236">
        <v>8.3000000000000007</v>
      </c>
      <c r="T236" s="6">
        <f>10^-(14-Q236)</f>
        <v>1.9952623149688817E-6</v>
      </c>
      <c r="U236" s="6">
        <v>0</v>
      </c>
      <c r="V236" s="6">
        <v>0.1</v>
      </c>
      <c r="W236" s="6">
        <v>0</v>
      </c>
      <c r="X236" s="6">
        <v>0</v>
      </c>
      <c r="Y236" t="s">
        <v>171</v>
      </c>
      <c r="Z236"/>
      <c r="AA236"/>
      <c r="AB236"/>
      <c r="AC236"/>
      <c r="AD236">
        <v>0.33300000000000002</v>
      </c>
      <c r="AE236">
        <v>65</v>
      </c>
      <c r="AF236">
        <v>1</v>
      </c>
      <c r="AG236" s="9">
        <v>2.4E-2</v>
      </c>
      <c r="AH236" s="9">
        <v>4.0599999999999996</v>
      </c>
      <c r="AI236" s="9">
        <v>0.33</v>
      </c>
      <c r="AJ236" s="9">
        <v>0.02</v>
      </c>
      <c r="AK236" s="9">
        <v>1.6E-2</v>
      </c>
      <c r="AL236" s="9">
        <v>16.86</v>
      </c>
      <c r="AM236" s="9">
        <v>19.98</v>
      </c>
      <c r="AN236" s="9">
        <v>1.03</v>
      </c>
      <c r="AO236" s="9">
        <v>0.27</v>
      </c>
    </row>
    <row r="237" spans="1:41" x14ac:dyDescent="0.3">
      <c r="A237">
        <v>71</v>
      </c>
      <c r="B237" t="s">
        <v>1677</v>
      </c>
      <c r="C237">
        <v>15</v>
      </c>
      <c r="D237"/>
      <c r="E237">
        <v>120</v>
      </c>
      <c r="I237">
        <v>-1.5</v>
      </c>
      <c r="J237"/>
      <c r="K237">
        <v>8.3333333333333329E-2</v>
      </c>
      <c r="N237">
        <v>0.6</v>
      </c>
      <c r="O237">
        <v>0</v>
      </c>
      <c r="Q237">
        <v>8.3000000000000007</v>
      </c>
      <c r="T237" s="6">
        <f>10^-(14-Q237)</f>
        <v>1.9952623149688817E-6</v>
      </c>
      <c r="U237" s="6">
        <v>0</v>
      </c>
      <c r="V237" s="6">
        <v>0.1</v>
      </c>
      <c r="W237" s="6">
        <v>0</v>
      </c>
      <c r="X237" s="6">
        <v>0</v>
      </c>
      <c r="Y237" t="s">
        <v>171</v>
      </c>
      <c r="Z237"/>
      <c r="AA237"/>
      <c r="AB237"/>
      <c r="AC237"/>
      <c r="AD237">
        <v>0.33300000000000002</v>
      </c>
      <c r="AE237">
        <v>-65</v>
      </c>
      <c r="AF237">
        <v>1</v>
      </c>
      <c r="AG237" s="9">
        <v>0.03</v>
      </c>
      <c r="AH237" s="9">
        <v>3.84</v>
      </c>
      <c r="AI237" s="9">
        <v>0.13</v>
      </c>
      <c r="AJ237" s="9">
        <v>1.4E-2</v>
      </c>
      <c r="AK237" s="9">
        <v>1.0999999999999999E-2</v>
      </c>
      <c r="AL237" s="9">
        <v>17.38</v>
      </c>
      <c r="AM237" s="9">
        <v>20.149999999999999</v>
      </c>
      <c r="AN237" s="9">
        <v>0.02</v>
      </c>
      <c r="AO237" s="9">
        <v>3.5999999999999997E-2</v>
      </c>
    </row>
    <row r="238" spans="1:41" x14ac:dyDescent="0.3">
      <c r="A238">
        <v>71</v>
      </c>
      <c r="B238" t="s">
        <v>1677</v>
      </c>
      <c r="C238">
        <v>15</v>
      </c>
      <c r="D238"/>
      <c r="E238">
        <v>120</v>
      </c>
      <c r="I238">
        <v>-1.5</v>
      </c>
      <c r="J238"/>
      <c r="K238">
        <v>8.3333333333333329E-2</v>
      </c>
      <c r="N238">
        <v>0.6</v>
      </c>
      <c r="O238">
        <v>0</v>
      </c>
      <c r="Q238">
        <v>8.3000000000000007</v>
      </c>
      <c r="T238" s="6">
        <f>10^-(14-Q238)</f>
        <v>1.9952623149688817E-6</v>
      </c>
      <c r="U238" s="6">
        <v>0</v>
      </c>
      <c r="V238" s="6">
        <v>0.1</v>
      </c>
      <c r="W238" s="6">
        <v>0</v>
      </c>
      <c r="X238" s="6">
        <v>0</v>
      </c>
      <c r="Y238" t="s">
        <v>171</v>
      </c>
      <c r="Z238"/>
      <c r="AA238"/>
      <c r="AB238"/>
      <c r="AC238"/>
      <c r="AD238">
        <v>0.33300000000000002</v>
      </c>
      <c r="AE238">
        <v>-25</v>
      </c>
      <c r="AF238">
        <v>1</v>
      </c>
      <c r="AG238" s="9">
        <v>2.5000000000000001E-2</v>
      </c>
      <c r="AH238" s="9">
        <v>4.22</v>
      </c>
      <c r="AI238" s="9">
        <v>0.19</v>
      </c>
      <c r="AJ238" s="9">
        <v>1.7000000000000001E-2</v>
      </c>
      <c r="AK238" s="9">
        <v>0.01</v>
      </c>
      <c r="AL238" s="9">
        <v>17.68</v>
      </c>
      <c r="AM238" s="9">
        <v>20.43</v>
      </c>
      <c r="AN238" s="9">
        <v>0.08</v>
      </c>
      <c r="AO238" s="9">
        <v>0.3</v>
      </c>
    </row>
    <row r="239" spans="1:41" x14ac:dyDescent="0.3">
      <c r="A239">
        <v>71</v>
      </c>
      <c r="B239" t="s">
        <v>1677</v>
      </c>
      <c r="C239">
        <v>15</v>
      </c>
      <c r="D239"/>
      <c r="E239">
        <v>120</v>
      </c>
      <c r="I239">
        <v>-1.5</v>
      </c>
      <c r="J239"/>
      <c r="K239">
        <v>8.3333333333333329E-2</v>
      </c>
      <c r="N239">
        <v>0.6</v>
      </c>
      <c r="O239">
        <v>0</v>
      </c>
      <c r="Q239">
        <v>8.3000000000000007</v>
      </c>
      <c r="T239" s="6">
        <f>10^-(14-Q239)</f>
        <v>1.9952623149688817E-6</v>
      </c>
      <c r="U239" s="6">
        <v>0</v>
      </c>
      <c r="V239" s="6">
        <v>0.1</v>
      </c>
      <c r="W239" s="6">
        <v>0</v>
      </c>
      <c r="X239" s="6">
        <v>0</v>
      </c>
      <c r="Y239" t="s">
        <v>171</v>
      </c>
      <c r="Z239"/>
      <c r="AA239"/>
      <c r="AB239"/>
      <c r="AC239"/>
      <c r="AD239">
        <v>0.33300000000000002</v>
      </c>
      <c r="AE239">
        <v>-40</v>
      </c>
      <c r="AF239">
        <v>1</v>
      </c>
      <c r="AG239" s="9">
        <v>3.5000000000000003E-2</v>
      </c>
      <c r="AH239" s="9">
        <v>4.38</v>
      </c>
      <c r="AI239" s="9">
        <v>0.19</v>
      </c>
      <c r="AJ239" s="9">
        <v>1.6E-2</v>
      </c>
      <c r="AK239" s="9">
        <v>0.01</v>
      </c>
      <c r="AL239" s="9">
        <v>17.95</v>
      </c>
      <c r="AM239" s="9">
        <v>19.899999999999999</v>
      </c>
      <c r="AN239" s="9">
        <v>1.03</v>
      </c>
      <c r="AO239" s="9">
        <v>3.1E-2</v>
      </c>
    </row>
    <row r="240" spans="1:41" x14ac:dyDescent="0.3">
      <c r="A240">
        <v>71</v>
      </c>
      <c r="B240" t="s">
        <v>1677</v>
      </c>
      <c r="C240">
        <v>15</v>
      </c>
      <c r="D240"/>
      <c r="E240">
        <v>120</v>
      </c>
      <c r="I240">
        <v>-1.5</v>
      </c>
      <c r="J240"/>
      <c r="K240">
        <v>8.3333333333333329E-2</v>
      </c>
      <c r="N240">
        <v>0.6</v>
      </c>
      <c r="O240">
        <v>0</v>
      </c>
      <c r="Q240">
        <v>8.3000000000000007</v>
      </c>
      <c r="T240" s="6">
        <f>10^-(14-Q240)</f>
        <v>1.9952623149688817E-6</v>
      </c>
      <c r="U240" s="6">
        <v>0</v>
      </c>
      <c r="V240" s="6">
        <v>0.1</v>
      </c>
      <c r="W240" s="6">
        <v>0</v>
      </c>
      <c r="X240" s="6">
        <v>0</v>
      </c>
      <c r="Y240" t="s">
        <v>171</v>
      </c>
      <c r="Z240"/>
      <c r="AA240"/>
      <c r="AB240"/>
      <c r="AC240"/>
      <c r="AD240">
        <v>0.33300000000000002</v>
      </c>
      <c r="AE240">
        <v>-10</v>
      </c>
      <c r="AF240">
        <v>1</v>
      </c>
      <c r="AG240" s="9">
        <v>0.02</v>
      </c>
      <c r="AH240" s="9">
        <v>4.2</v>
      </c>
      <c r="AI240" s="9">
        <v>0.16</v>
      </c>
      <c r="AJ240" s="9">
        <v>1.4999999999999999E-2</v>
      </c>
      <c r="AK240" s="9">
        <v>7.0000000000000001E-3</v>
      </c>
      <c r="AL240" s="9">
        <v>22.13</v>
      </c>
      <c r="AM240" s="9">
        <v>20.3</v>
      </c>
      <c r="AN240" s="9">
        <v>0.99</v>
      </c>
      <c r="AO240" s="9">
        <v>5.3999999999999999E-2</v>
      </c>
    </row>
    <row r="241" spans="1:43" x14ac:dyDescent="0.3">
      <c r="A241">
        <v>71</v>
      </c>
      <c r="B241" t="s">
        <v>1677</v>
      </c>
      <c r="C241">
        <v>15</v>
      </c>
      <c r="D241"/>
      <c r="E241">
        <v>120</v>
      </c>
      <c r="I241">
        <v>-1.5</v>
      </c>
      <c r="J241"/>
      <c r="K241">
        <v>8.3333333333333329E-2</v>
      </c>
      <c r="N241">
        <v>0.6</v>
      </c>
      <c r="O241">
        <v>0</v>
      </c>
      <c r="Q241">
        <v>8.3000000000000007</v>
      </c>
      <c r="T241" s="6">
        <f>10^-(14-Q241)</f>
        <v>1.9952623149688817E-6</v>
      </c>
      <c r="U241" s="6">
        <v>0</v>
      </c>
      <c r="V241" s="6">
        <v>0.1</v>
      </c>
      <c r="W241" s="6">
        <v>0</v>
      </c>
      <c r="X241" s="6">
        <v>0</v>
      </c>
      <c r="Y241" t="s">
        <v>171</v>
      </c>
      <c r="Z241"/>
      <c r="AA241"/>
      <c r="AB241"/>
      <c r="AC241"/>
      <c r="AD241">
        <v>0.33300000000000002</v>
      </c>
      <c r="AE241">
        <v>920</v>
      </c>
      <c r="AF241">
        <v>1</v>
      </c>
      <c r="AG241" s="9">
        <v>2.1999999999999999E-2</v>
      </c>
      <c r="AH241" s="9">
        <v>4.3499999999999996</v>
      </c>
      <c r="AI241" s="9">
        <v>0.16</v>
      </c>
      <c r="AJ241" s="9">
        <v>1.4999999999999999E-2</v>
      </c>
      <c r="AK241" s="9">
        <v>1.0999999999999999E-2</v>
      </c>
      <c r="AL241" s="9">
        <v>22.35</v>
      </c>
      <c r="AM241" s="9">
        <v>20.39</v>
      </c>
      <c r="AN241" s="9">
        <v>2.73</v>
      </c>
      <c r="AO241" s="9">
        <v>0.31</v>
      </c>
    </row>
    <row r="242" spans="1:43" x14ac:dyDescent="0.3">
      <c r="A242">
        <v>71</v>
      </c>
      <c r="B242" t="s">
        <v>1677</v>
      </c>
      <c r="C242">
        <v>15</v>
      </c>
      <c r="D242"/>
      <c r="E242">
        <v>120</v>
      </c>
      <c r="I242">
        <v>-1.5</v>
      </c>
      <c r="J242"/>
      <c r="K242">
        <v>8.3333333333333329E-2</v>
      </c>
      <c r="N242">
        <v>0.6</v>
      </c>
      <c r="O242">
        <v>0</v>
      </c>
      <c r="Q242">
        <v>8.3000000000000007</v>
      </c>
      <c r="T242" s="6">
        <f>10^-(14-Q242)</f>
        <v>1.9952623149688817E-6</v>
      </c>
      <c r="U242" s="6">
        <v>0</v>
      </c>
      <c r="V242" s="6">
        <v>0.1</v>
      </c>
      <c r="W242" s="6">
        <v>0</v>
      </c>
      <c r="X242" s="6">
        <v>0</v>
      </c>
      <c r="Y242" t="s">
        <v>171</v>
      </c>
      <c r="Z242"/>
      <c r="AA242"/>
      <c r="AB242"/>
      <c r="AC242"/>
      <c r="AD242">
        <v>0.33300000000000002</v>
      </c>
      <c r="AE242">
        <v>125</v>
      </c>
      <c r="AF242">
        <v>1</v>
      </c>
      <c r="AG242" s="9">
        <v>2.5000000000000001E-2</v>
      </c>
      <c r="AH242" s="9">
        <v>4.29</v>
      </c>
      <c r="AI242" s="9">
        <v>0.21</v>
      </c>
      <c r="AJ242" s="9">
        <v>1.2999999999999999E-2</v>
      </c>
      <c r="AK242" s="9">
        <v>1.0999999999999999E-2</v>
      </c>
      <c r="AL242" s="9">
        <v>22.41</v>
      </c>
      <c r="AM242" s="9">
        <v>19.96</v>
      </c>
      <c r="AN242" s="9">
        <v>2.64</v>
      </c>
      <c r="AO242" s="9">
        <v>6.7000000000000004E-2</v>
      </c>
    </row>
    <row r="243" spans="1:43" x14ac:dyDescent="0.3">
      <c r="A243">
        <v>71</v>
      </c>
      <c r="B243" t="s">
        <v>1677</v>
      </c>
      <c r="C243">
        <v>15</v>
      </c>
      <c r="D243"/>
      <c r="E243">
        <v>120</v>
      </c>
      <c r="I243">
        <v>-1.5</v>
      </c>
      <c r="J243"/>
      <c r="K243">
        <v>8.3333333333333329E-2</v>
      </c>
      <c r="N243">
        <v>0.6</v>
      </c>
      <c r="O243">
        <v>0</v>
      </c>
      <c r="Q243">
        <v>8.3000000000000007</v>
      </c>
      <c r="T243" s="6">
        <f>10^-(14-Q243)</f>
        <v>1.9952623149688817E-6</v>
      </c>
      <c r="U243" s="6">
        <v>0</v>
      </c>
      <c r="V243" s="6">
        <v>0.1</v>
      </c>
      <c r="W243" s="6">
        <v>0</v>
      </c>
      <c r="X243" s="6">
        <v>0</v>
      </c>
      <c r="Y243" t="s">
        <v>171</v>
      </c>
      <c r="Z243"/>
      <c r="AA243"/>
      <c r="AB243"/>
      <c r="AC243"/>
      <c r="AD243">
        <v>0.33300000000000002</v>
      </c>
      <c r="AE243">
        <v>50</v>
      </c>
      <c r="AF243">
        <v>1</v>
      </c>
      <c r="AG243" s="9">
        <v>1.7000000000000001E-2</v>
      </c>
      <c r="AH243" s="9">
        <v>4.33</v>
      </c>
      <c r="AI243" s="9">
        <v>0.14000000000000001</v>
      </c>
      <c r="AJ243" s="9">
        <v>8.0000000000000002E-3</v>
      </c>
      <c r="AK243" s="9">
        <v>8.0000000000000002E-3</v>
      </c>
      <c r="AL243" s="9">
        <v>22.46</v>
      </c>
      <c r="AM243" s="9">
        <v>20.27</v>
      </c>
      <c r="AN243" s="9">
        <v>0.1</v>
      </c>
      <c r="AO243" s="9">
        <v>0.39</v>
      </c>
    </row>
    <row r="244" spans="1:43" x14ac:dyDescent="0.3">
      <c r="A244">
        <v>71</v>
      </c>
      <c r="B244" t="s">
        <v>1677</v>
      </c>
      <c r="C244">
        <v>15</v>
      </c>
      <c r="D244"/>
      <c r="E244">
        <v>120</v>
      </c>
      <c r="I244">
        <v>-1.5</v>
      </c>
      <c r="J244"/>
      <c r="K244">
        <v>8.3333333333333329E-2</v>
      </c>
      <c r="N244">
        <v>0.6</v>
      </c>
      <c r="O244">
        <v>0</v>
      </c>
      <c r="Q244">
        <v>8.3000000000000007</v>
      </c>
      <c r="T244" s="6">
        <f>10^-(14-Q244)</f>
        <v>1.9952623149688817E-6</v>
      </c>
      <c r="U244" s="6">
        <v>0</v>
      </c>
      <c r="V244" s="6">
        <v>0.1</v>
      </c>
      <c r="W244" s="6">
        <v>0</v>
      </c>
      <c r="X244" s="6">
        <v>0</v>
      </c>
      <c r="Y244" t="s">
        <v>171</v>
      </c>
      <c r="Z244"/>
      <c r="AA244"/>
      <c r="AB244"/>
      <c r="AC244"/>
      <c r="AD244">
        <v>0.33300000000000002</v>
      </c>
      <c r="AE244">
        <v>35</v>
      </c>
      <c r="AF244">
        <v>1</v>
      </c>
      <c r="AG244" s="9">
        <v>8.0000000000000002E-3</v>
      </c>
      <c r="AH244" s="9">
        <v>4.0199999999999996</v>
      </c>
      <c r="AI244" s="9">
        <v>0.15</v>
      </c>
      <c r="AJ244" s="9">
        <v>1.6E-2</v>
      </c>
      <c r="AK244" s="9">
        <v>1.7999999999999999E-2</v>
      </c>
      <c r="AL244" s="9">
        <v>22.52</v>
      </c>
      <c r="AM244" s="9">
        <v>19.850000000000001</v>
      </c>
      <c r="AN244" s="9">
        <v>1.07</v>
      </c>
      <c r="AO244" s="9">
        <v>0.155</v>
      </c>
    </row>
    <row r="245" spans="1:43" x14ac:dyDescent="0.3">
      <c r="A245">
        <v>71</v>
      </c>
      <c r="B245" t="s">
        <v>1677</v>
      </c>
      <c r="C245">
        <v>15</v>
      </c>
      <c r="D245"/>
      <c r="E245">
        <v>120</v>
      </c>
      <c r="I245">
        <v>-1.5</v>
      </c>
      <c r="J245"/>
      <c r="K245">
        <v>8.3333333333333329E-2</v>
      </c>
      <c r="N245">
        <v>0.6</v>
      </c>
      <c r="O245">
        <v>0</v>
      </c>
      <c r="Q245">
        <v>8.3000000000000007</v>
      </c>
      <c r="T245" s="6">
        <f>10^-(14-Q245)</f>
        <v>1.9952623149688817E-6</v>
      </c>
      <c r="U245" s="6">
        <v>0</v>
      </c>
      <c r="V245" s="6">
        <v>0.1</v>
      </c>
      <c r="W245" s="6">
        <v>0</v>
      </c>
      <c r="X245" s="6">
        <v>0</v>
      </c>
      <c r="Y245" t="s">
        <v>171</v>
      </c>
      <c r="Z245"/>
      <c r="AA245"/>
      <c r="AB245"/>
      <c r="AC245"/>
      <c r="AD245">
        <v>0.33300000000000002</v>
      </c>
      <c r="AE245">
        <v>940</v>
      </c>
      <c r="AF245">
        <v>1</v>
      </c>
      <c r="AG245" s="9">
        <v>0.02</v>
      </c>
      <c r="AH245" s="9">
        <v>3.75</v>
      </c>
      <c r="AI245" s="9">
        <v>0.23</v>
      </c>
      <c r="AJ245" s="9">
        <v>1.9E-2</v>
      </c>
      <c r="AK245" s="9">
        <v>1.7000000000000001E-2</v>
      </c>
      <c r="AL245" s="9">
        <v>22.52</v>
      </c>
      <c r="AM245" s="9">
        <v>19.95</v>
      </c>
      <c r="AN245" s="9">
        <v>2.96</v>
      </c>
      <c r="AO245" s="9">
        <v>0.45500000000000002</v>
      </c>
    </row>
    <row r="246" spans="1:43" x14ac:dyDescent="0.3">
      <c r="A246">
        <v>71</v>
      </c>
      <c r="B246" t="s">
        <v>1677</v>
      </c>
      <c r="C246">
        <v>15</v>
      </c>
      <c r="D246"/>
      <c r="E246">
        <v>120</v>
      </c>
      <c r="I246">
        <v>-1.5</v>
      </c>
      <c r="J246"/>
      <c r="K246">
        <v>8.3333333333333329E-2</v>
      </c>
      <c r="N246">
        <v>0.6</v>
      </c>
      <c r="O246">
        <v>0</v>
      </c>
      <c r="Q246">
        <v>8.3000000000000007</v>
      </c>
      <c r="T246" s="6">
        <f>10^-(14-Q246)</f>
        <v>1.9952623149688817E-6</v>
      </c>
      <c r="U246" s="6">
        <v>0</v>
      </c>
      <c r="V246" s="6">
        <v>0.1</v>
      </c>
      <c r="W246" s="6">
        <v>0</v>
      </c>
      <c r="X246" s="6">
        <v>0</v>
      </c>
      <c r="Y246" t="s">
        <v>171</v>
      </c>
      <c r="Z246"/>
      <c r="AA246"/>
      <c r="AB246"/>
      <c r="AC246"/>
      <c r="AD246">
        <v>0.33300000000000002</v>
      </c>
      <c r="AE246">
        <v>-30</v>
      </c>
      <c r="AF246">
        <v>1</v>
      </c>
      <c r="AG246" s="9">
        <v>1.2E-2</v>
      </c>
      <c r="AH246" s="9">
        <v>4.28</v>
      </c>
      <c r="AI246" s="9">
        <v>0.13</v>
      </c>
      <c r="AJ246" s="9">
        <v>7.0000000000000001E-3</v>
      </c>
      <c r="AK246" s="9">
        <v>8.9999999999999993E-3</v>
      </c>
      <c r="AL246" s="9">
        <v>22.58</v>
      </c>
      <c r="AM246" s="9">
        <v>19.88</v>
      </c>
      <c r="AN246" s="9">
        <v>0.05</v>
      </c>
      <c r="AO246" s="9">
        <v>5.3999999999999999E-2</v>
      </c>
    </row>
    <row r="247" spans="1:43" x14ac:dyDescent="0.3">
      <c r="A247">
        <v>71</v>
      </c>
      <c r="B247" t="s">
        <v>1677</v>
      </c>
      <c r="C247">
        <v>15</v>
      </c>
      <c r="D247"/>
      <c r="E247">
        <v>120</v>
      </c>
      <c r="I247">
        <v>-1.5</v>
      </c>
      <c r="J247"/>
      <c r="K247">
        <v>8.3333333333333329E-2</v>
      </c>
      <c r="N247">
        <v>0.6</v>
      </c>
      <c r="O247">
        <v>0</v>
      </c>
      <c r="Q247">
        <v>8.3000000000000007</v>
      </c>
      <c r="T247" s="6">
        <f>10^-(14-Q247)</f>
        <v>1.9952623149688817E-6</v>
      </c>
      <c r="U247" s="6">
        <v>0</v>
      </c>
      <c r="V247" s="6">
        <v>0.1</v>
      </c>
      <c r="W247" s="6">
        <v>0</v>
      </c>
      <c r="X247" s="6">
        <v>0</v>
      </c>
      <c r="Y247" t="s">
        <v>171</v>
      </c>
      <c r="Z247"/>
      <c r="AA247"/>
      <c r="AB247"/>
      <c r="AC247"/>
      <c r="AD247">
        <v>0.33300000000000002</v>
      </c>
      <c r="AE247">
        <v>200</v>
      </c>
      <c r="AF247">
        <v>1</v>
      </c>
      <c r="AG247" s="9">
        <v>1.0999999999999999E-2</v>
      </c>
      <c r="AH247" s="9">
        <v>3.8</v>
      </c>
      <c r="AI247" s="9">
        <v>0.2</v>
      </c>
      <c r="AJ247" s="9">
        <v>0.02</v>
      </c>
      <c r="AK247" s="9">
        <v>1.4999999999999999E-2</v>
      </c>
      <c r="AL247" s="9">
        <v>22.72</v>
      </c>
      <c r="AM247" s="9">
        <v>19.95</v>
      </c>
      <c r="AN247" s="9">
        <v>1.02</v>
      </c>
      <c r="AO247" s="9">
        <v>0.41199999999999998</v>
      </c>
    </row>
    <row r="248" spans="1:43" x14ac:dyDescent="0.3">
      <c r="A248">
        <v>71</v>
      </c>
      <c r="B248" t="s">
        <v>1677</v>
      </c>
      <c r="C248">
        <v>15</v>
      </c>
      <c r="D248"/>
      <c r="E248">
        <v>120</v>
      </c>
      <c r="I248">
        <v>-1.5</v>
      </c>
      <c r="J248"/>
      <c r="K248">
        <v>8.3333333333333329E-2</v>
      </c>
      <c r="N248">
        <v>0.6</v>
      </c>
      <c r="O248">
        <v>0</v>
      </c>
      <c r="Q248">
        <v>8.3000000000000007</v>
      </c>
      <c r="T248" s="6">
        <f>10^-(14-Q248)</f>
        <v>1.9952623149688817E-6</v>
      </c>
      <c r="U248" s="6">
        <v>0</v>
      </c>
      <c r="V248" s="6">
        <v>0.1</v>
      </c>
      <c r="W248" s="6">
        <v>0</v>
      </c>
      <c r="X248" s="6">
        <v>0</v>
      </c>
      <c r="Y248" t="s">
        <v>171</v>
      </c>
      <c r="Z248"/>
      <c r="AA248"/>
      <c r="AB248"/>
      <c r="AC248"/>
      <c r="AD248">
        <v>0.33300000000000002</v>
      </c>
      <c r="AE248">
        <v>170</v>
      </c>
      <c r="AF248">
        <v>1</v>
      </c>
      <c r="AG248" s="9">
        <v>1.2E-2</v>
      </c>
      <c r="AH248" s="9">
        <v>3.8</v>
      </c>
      <c r="AI248" s="9">
        <v>0.14000000000000001</v>
      </c>
      <c r="AJ248" s="9">
        <v>1.7000000000000001E-2</v>
      </c>
      <c r="AK248" s="9">
        <v>1.9E-2</v>
      </c>
      <c r="AL248" s="9">
        <v>22.84</v>
      </c>
      <c r="AM248" s="9">
        <v>20.05</v>
      </c>
      <c r="AN248" s="9">
        <v>2.85</v>
      </c>
      <c r="AO248" s="9">
        <v>0.159</v>
      </c>
      <c r="AQ248" s="8"/>
    </row>
    <row r="249" spans="1:43" x14ac:dyDescent="0.3">
      <c r="A249">
        <v>10</v>
      </c>
      <c r="B249" t="s">
        <v>1685</v>
      </c>
      <c r="C249">
        <v>16</v>
      </c>
      <c r="D249" t="s">
        <v>1686</v>
      </c>
      <c r="I249"/>
      <c r="J249"/>
      <c r="K249"/>
      <c r="N249">
        <v>0.53</v>
      </c>
      <c r="O249">
        <v>0</v>
      </c>
      <c r="P249">
        <v>30</v>
      </c>
      <c r="R249" t="s">
        <v>102</v>
      </c>
      <c r="T249" s="6">
        <f>10^-(14-Q249)</f>
        <v>1E-14</v>
      </c>
      <c r="U249" s="6">
        <v>0</v>
      </c>
      <c r="V249" s="6">
        <v>0</v>
      </c>
      <c r="W249" s="6">
        <v>0</v>
      </c>
      <c r="X249" s="6">
        <v>0</v>
      </c>
      <c r="Y249" t="s">
        <v>171</v>
      </c>
      <c r="Z249"/>
      <c r="AA249"/>
      <c r="AB249"/>
      <c r="AC249"/>
      <c r="AE249">
        <v>860</v>
      </c>
      <c r="AF249">
        <v>1</v>
      </c>
      <c r="AG249" s="9">
        <v>6.5000000000000002E-2</v>
      </c>
      <c r="AL249" s="9">
        <v>25.1</v>
      </c>
      <c r="AM249" s="9">
        <v>5</v>
      </c>
      <c r="AN249" s="9">
        <v>2.46</v>
      </c>
      <c r="AO249" s="9">
        <v>0.16</v>
      </c>
      <c r="AQ249" s="8"/>
    </row>
    <row r="250" spans="1:43" x14ac:dyDescent="0.3">
      <c r="A250">
        <v>10</v>
      </c>
      <c r="B250" t="s">
        <v>1685</v>
      </c>
      <c r="C250">
        <v>16</v>
      </c>
      <c r="D250" t="s">
        <v>1686</v>
      </c>
      <c r="I250"/>
      <c r="J250"/>
      <c r="K250"/>
      <c r="N250">
        <v>0.53</v>
      </c>
      <c r="O250">
        <v>0</v>
      </c>
      <c r="P250">
        <v>30</v>
      </c>
      <c r="R250" t="s">
        <v>102</v>
      </c>
      <c r="T250" s="6">
        <f>10^-(14-Q250)</f>
        <v>1E-14</v>
      </c>
      <c r="U250" s="6">
        <v>0</v>
      </c>
      <c r="V250" s="6">
        <v>0</v>
      </c>
      <c r="W250" s="6">
        <v>0</v>
      </c>
      <c r="X250" s="6">
        <v>0</v>
      </c>
      <c r="Y250" t="s">
        <v>171</v>
      </c>
      <c r="Z250"/>
      <c r="AA250"/>
      <c r="AB250"/>
      <c r="AC250"/>
      <c r="AE250">
        <v>160</v>
      </c>
      <c r="AF250">
        <v>1</v>
      </c>
      <c r="AG250" s="9">
        <v>3.2000000000000001E-2</v>
      </c>
      <c r="AL250" s="9">
        <v>25.3</v>
      </c>
      <c r="AM250" s="9">
        <v>5.23</v>
      </c>
      <c r="AN250" s="9">
        <v>2.44</v>
      </c>
      <c r="AO250" s="9">
        <v>0.05</v>
      </c>
      <c r="AQ250" s="8"/>
    </row>
    <row r="251" spans="1:43" x14ac:dyDescent="0.3">
      <c r="A251" t="s">
        <v>1242</v>
      </c>
      <c r="B251" s="8" t="s">
        <v>1587</v>
      </c>
      <c r="C251">
        <v>17</v>
      </c>
      <c r="D251" s="8">
        <v>1.4300999999999999</v>
      </c>
      <c r="E251">
        <v>80</v>
      </c>
      <c r="F251">
        <v>9</v>
      </c>
      <c r="G251" t="s">
        <v>29</v>
      </c>
      <c r="H251" t="s">
        <v>987</v>
      </c>
      <c r="L251" t="s">
        <v>172</v>
      </c>
      <c r="N251" s="3">
        <v>1</v>
      </c>
      <c r="O251" s="3">
        <v>0</v>
      </c>
      <c r="P251">
        <v>22</v>
      </c>
      <c r="Q251">
        <v>4</v>
      </c>
      <c r="R251" t="s">
        <v>102</v>
      </c>
      <c r="S251">
        <v>0</v>
      </c>
      <c r="T251" s="6">
        <f>10^-(14-Q251)</f>
        <v>1E-10</v>
      </c>
      <c r="U251" s="6">
        <v>0</v>
      </c>
      <c r="V251" s="6">
        <v>0</v>
      </c>
      <c r="W251" s="6">
        <v>0</v>
      </c>
      <c r="X251" s="6">
        <v>0</v>
      </c>
      <c r="Y251" t="s">
        <v>171</v>
      </c>
      <c r="AD251">
        <v>2.777777777777778E-2</v>
      </c>
      <c r="AE251" s="1">
        <v>-40</v>
      </c>
      <c r="AF251">
        <v>1</v>
      </c>
      <c r="AG251" s="9">
        <v>1.55E-2</v>
      </c>
      <c r="AH251" s="9">
        <v>1.55</v>
      </c>
      <c r="AI251" s="9">
        <v>0.7</v>
      </c>
      <c r="AJ251" s="9">
        <v>1.2E-2</v>
      </c>
      <c r="AK251" s="9">
        <v>1.4E-2</v>
      </c>
      <c r="AL251" s="9">
        <v>18.75</v>
      </c>
      <c r="AM251" s="9">
        <v>9.73</v>
      </c>
      <c r="AN251" s="9">
        <v>0.05</v>
      </c>
      <c r="AO251" s="9">
        <v>4.1500000000000002E-2</v>
      </c>
      <c r="AQ251" s="8"/>
    </row>
    <row r="252" spans="1:43" x14ac:dyDescent="0.3">
      <c r="A252" t="s">
        <v>1243</v>
      </c>
      <c r="B252" s="8" t="s">
        <v>1587</v>
      </c>
      <c r="C252">
        <v>17</v>
      </c>
      <c r="D252" s="8">
        <v>1.4300999999999999</v>
      </c>
      <c r="E252">
        <v>80</v>
      </c>
      <c r="F252">
        <v>9</v>
      </c>
      <c r="G252" t="s">
        <v>29</v>
      </c>
      <c r="H252" t="s">
        <v>987</v>
      </c>
      <c r="L252" t="s">
        <v>172</v>
      </c>
      <c r="N252" s="3">
        <v>1</v>
      </c>
      <c r="O252" s="3">
        <v>0</v>
      </c>
      <c r="P252">
        <v>22</v>
      </c>
      <c r="Q252">
        <v>4</v>
      </c>
      <c r="R252" t="s">
        <v>102</v>
      </c>
      <c r="S252">
        <v>0</v>
      </c>
      <c r="T252" s="6">
        <f>10^-(14-Q252)</f>
        <v>1E-10</v>
      </c>
      <c r="U252" s="6">
        <v>0</v>
      </c>
      <c r="V252" s="6">
        <v>0</v>
      </c>
      <c r="W252" s="6">
        <v>0</v>
      </c>
      <c r="X252" s="6">
        <v>0</v>
      </c>
      <c r="Y252" t="s">
        <v>171</v>
      </c>
      <c r="AD252">
        <v>2.777777777777778E-2</v>
      </c>
      <c r="AE252" s="1">
        <v>10</v>
      </c>
      <c r="AF252">
        <v>1</v>
      </c>
      <c r="AG252" s="9">
        <v>1.55E-2</v>
      </c>
      <c r="AH252" s="9">
        <v>1.55</v>
      </c>
      <c r="AI252" s="9">
        <v>0.7</v>
      </c>
      <c r="AJ252" s="9">
        <v>1.2E-2</v>
      </c>
      <c r="AK252" s="9">
        <v>1.4E-2</v>
      </c>
      <c r="AL252" s="9">
        <v>18.75</v>
      </c>
      <c r="AM252" s="9">
        <v>9.73</v>
      </c>
      <c r="AN252" s="9">
        <v>0.05</v>
      </c>
      <c r="AO252" s="9">
        <v>4.1500000000000002E-2</v>
      </c>
      <c r="AQ252" s="8"/>
    </row>
    <row r="253" spans="1:43" x14ac:dyDescent="0.3">
      <c r="A253" t="s">
        <v>1244</v>
      </c>
      <c r="B253" s="8" t="s">
        <v>1587</v>
      </c>
      <c r="C253">
        <v>17</v>
      </c>
      <c r="D253" s="8">
        <v>1.4300999999999999</v>
      </c>
      <c r="F253">
        <v>5</v>
      </c>
      <c r="G253" t="s">
        <v>29</v>
      </c>
      <c r="H253" t="s">
        <v>987</v>
      </c>
      <c r="L253" t="s">
        <v>172</v>
      </c>
      <c r="N253" s="3">
        <v>1</v>
      </c>
      <c r="O253" s="3">
        <v>0</v>
      </c>
      <c r="P253">
        <v>22</v>
      </c>
      <c r="Q253">
        <v>4</v>
      </c>
      <c r="R253" t="s">
        <v>102</v>
      </c>
      <c r="S253">
        <v>0</v>
      </c>
      <c r="T253" s="6">
        <f>10^-(14-Q253)</f>
        <v>1E-10</v>
      </c>
      <c r="U253" s="6">
        <v>0</v>
      </c>
      <c r="V253" s="6">
        <v>0</v>
      </c>
      <c r="W253" s="6">
        <v>0</v>
      </c>
      <c r="X253" s="6">
        <v>0</v>
      </c>
      <c r="Y253" t="s">
        <v>171</v>
      </c>
      <c r="AD253">
        <v>2.777777777777778E-2</v>
      </c>
      <c r="AE253" s="1">
        <v>135</v>
      </c>
      <c r="AF253">
        <v>1</v>
      </c>
      <c r="AG253" s="9">
        <v>1.55E-2</v>
      </c>
      <c r="AH253" s="9">
        <v>1.55</v>
      </c>
      <c r="AI253" s="9">
        <v>0.7</v>
      </c>
      <c r="AJ253" s="9">
        <v>1.2E-2</v>
      </c>
      <c r="AK253" s="9">
        <v>1.4E-2</v>
      </c>
      <c r="AL253" s="9">
        <v>18.75</v>
      </c>
      <c r="AM253" s="9">
        <v>9.73</v>
      </c>
      <c r="AN253" s="9">
        <v>0.05</v>
      </c>
      <c r="AO253" s="9">
        <v>4.1500000000000002E-2</v>
      </c>
      <c r="AQ253" s="8"/>
    </row>
    <row r="254" spans="1:43" x14ac:dyDescent="0.3">
      <c r="A254" t="s">
        <v>1245</v>
      </c>
      <c r="B254" s="8" t="s">
        <v>1587</v>
      </c>
      <c r="C254">
        <v>17</v>
      </c>
      <c r="D254" s="8">
        <v>1.4300999999999999</v>
      </c>
      <c r="F254">
        <v>3</v>
      </c>
      <c r="G254" t="s">
        <v>29</v>
      </c>
      <c r="H254" t="s">
        <v>987</v>
      </c>
      <c r="L254" t="s">
        <v>172</v>
      </c>
      <c r="N254" s="3">
        <v>1</v>
      </c>
      <c r="O254" s="3">
        <v>0</v>
      </c>
      <c r="P254">
        <v>22</v>
      </c>
      <c r="Q254">
        <v>4</v>
      </c>
      <c r="R254" t="s">
        <v>102</v>
      </c>
      <c r="S254">
        <v>0</v>
      </c>
      <c r="T254" s="6">
        <f>10^-(14-Q254)</f>
        <v>1E-10</v>
      </c>
      <c r="U254" s="6">
        <v>0</v>
      </c>
      <c r="V254" s="6">
        <v>0</v>
      </c>
      <c r="W254" s="6">
        <v>0</v>
      </c>
      <c r="X254" s="6">
        <v>0</v>
      </c>
      <c r="Y254" t="s">
        <v>171</v>
      </c>
      <c r="AD254">
        <v>2.777777777777778E-2</v>
      </c>
      <c r="AE254" s="1">
        <v>140</v>
      </c>
      <c r="AF254">
        <v>1</v>
      </c>
      <c r="AG254" s="9">
        <v>1.55E-2</v>
      </c>
      <c r="AH254" s="9">
        <v>1.55</v>
      </c>
      <c r="AI254" s="9">
        <v>0.7</v>
      </c>
      <c r="AJ254" s="9">
        <v>1.2E-2</v>
      </c>
      <c r="AK254" s="9">
        <v>1.4E-2</v>
      </c>
      <c r="AL254" s="9">
        <v>18.75</v>
      </c>
      <c r="AM254" s="9">
        <v>9.73</v>
      </c>
      <c r="AN254" s="9">
        <v>0.05</v>
      </c>
      <c r="AO254" s="9">
        <v>4.1500000000000002E-2</v>
      </c>
      <c r="AQ254" s="8"/>
    </row>
    <row r="255" spans="1:43" x14ac:dyDescent="0.3">
      <c r="A255" t="s">
        <v>1246</v>
      </c>
      <c r="B255" s="8" t="s">
        <v>1587</v>
      </c>
      <c r="C255">
        <v>17</v>
      </c>
      <c r="D255" s="8">
        <v>1.4300999999999999</v>
      </c>
      <c r="F255">
        <v>3</v>
      </c>
      <c r="G255" t="s">
        <v>29</v>
      </c>
      <c r="H255" t="s">
        <v>987</v>
      </c>
      <c r="L255" t="s">
        <v>172</v>
      </c>
      <c r="N255" s="3">
        <v>1</v>
      </c>
      <c r="O255" s="3">
        <v>0</v>
      </c>
      <c r="P255">
        <v>22</v>
      </c>
      <c r="Q255">
        <v>4</v>
      </c>
      <c r="R255" t="s">
        <v>102</v>
      </c>
      <c r="S255">
        <v>0</v>
      </c>
      <c r="T255" s="6">
        <f>10^-(14-Q255)</f>
        <v>1E-10</v>
      </c>
      <c r="U255" s="6">
        <v>0</v>
      </c>
      <c r="V255" s="6">
        <v>0</v>
      </c>
      <c r="W255" s="6">
        <v>0</v>
      </c>
      <c r="X255" s="6">
        <v>0</v>
      </c>
      <c r="Y255" t="s">
        <v>171</v>
      </c>
      <c r="AD255">
        <v>2.777777777777778E-2</v>
      </c>
      <c r="AE255" s="1">
        <v>155</v>
      </c>
      <c r="AF255">
        <v>1</v>
      </c>
      <c r="AG255" s="9">
        <v>1.55E-2</v>
      </c>
      <c r="AH255" s="9">
        <v>1.55</v>
      </c>
      <c r="AI255" s="9">
        <v>0.7</v>
      </c>
      <c r="AJ255" s="9">
        <v>1.2E-2</v>
      </c>
      <c r="AK255" s="9">
        <v>1.4E-2</v>
      </c>
      <c r="AL255" s="9">
        <v>18.75</v>
      </c>
      <c r="AM255" s="9">
        <v>9.73</v>
      </c>
      <c r="AN255" s="9">
        <v>0.05</v>
      </c>
      <c r="AO255" s="9">
        <v>4.1500000000000002E-2</v>
      </c>
      <c r="AQ255" s="8"/>
    </row>
    <row r="256" spans="1:43" x14ac:dyDescent="0.3">
      <c r="A256" t="s">
        <v>1247</v>
      </c>
      <c r="B256" s="8" t="s">
        <v>1587</v>
      </c>
      <c r="C256">
        <v>17</v>
      </c>
      <c r="D256" s="8">
        <v>1.4300999999999999</v>
      </c>
      <c r="F256">
        <v>0.7</v>
      </c>
      <c r="G256" t="s">
        <v>29</v>
      </c>
      <c r="H256" t="s">
        <v>987</v>
      </c>
      <c r="L256" t="s">
        <v>172</v>
      </c>
      <c r="N256" s="3">
        <v>1</v>
      </c>
      <c r="O256" s="3">
        <v>0</v>
      </c>
      <c r="P256">
        <v>22</v>
      </c>
      <c r="Q256">
        <v>4</v>
      </c>
      <c r="R256" t="s">
        <v>102</v>
      </c>
      <c r="S256">
        <v>0</v>
      </c>
      <c r="T256" s="6">
        <f>10^-(14-Q256)</f>
        <v>1E-10</v>
      </c>
      <c r="U256" s="6">
        <v>0</v>
      </c>
      <c r="V256" s="6">
        <v>0</v>
      </c>
      <c r="W256" s="6">
        <v>0</v>
      </c>
      <c r="X256" s="6">
        <v>0</v>
      </c>
      <c r="Y256" t="s">
        <v>171</v>
      </c>
      <c r="AD256">
        <v>2.777777777777778E-2</v>
      </c>
      <c r="AE256" s="1">
        <v>158</v>
      </c>
      <c r="AF256">
        <v>1</v>
      </c>
      <c r="AG256" s="9">
        <v>1.55E-2</v>
      </c>
      <c r="AH256" s="9">
        <v>1.55</v>
      </c>
      <c r="AI256" s="9">
        <v>0.7</v>
      </c>
      <c r="AJ256" s="9">
        <v>1.2E-2</v>
      </c>
      <c r="AK256" s="9">
        <v>1.4E-2</v>
      </c>
      <c r="AL256" s="9">
        <v>18.75</v>
      </c>
      <c r="AM256" s="9">
        <v>9.73</v>
      </c>
      <c r="AN256" s="9">
        <v>0.05</v>
      </c>
      <c r="AO256" s="9">
        <v>4.1500000000000002E-2</v>
      </c>
      <c r="AQ256" s="8"/>
    </row>
    <row r="257" spans="1:43" x14ac:dyDescent="0.3">
      <c r="A257" t="s">
        <v>1248</v>
      </c>
      <c r="B257" s="8" t="s">
        <v>1587</v>
      </c>
      <c r="C257">
        <v>17</v>
      </c>
      <c r="D257" s="8">
        <v>1.4300999999999999</v>
      </c>
      <c r="F257">
        <v>0.7</v>
      </c>
      <c r="G257" t="s">
        <v>29</v>
      </c>
      <c r="H257" t="s">
        <v>987</v>
      </c>
      <c r="L257" t="s">
        <v>172</v>
      </c>
      <c r="N257" s="3">
        <v>1</v>
      </c>
      <c r="O257" s="3">
        <v>0</v>
      </c>
      <c r="P257">
        <v>22</v>
      </c>
      <c r="Q257">
        <v>4</v>
      </c>
      <c r="R257" t="s">
        <v>102</v>
      </c>
      <c r="S257">
        <v>0</v>
      </c>
      <c r="T257" s="6">
        <f>10^-(14-Q257)</f>
        <v>1E-10</v>
      </c>
      <c r="U257" s="6">
        <v>0</v>
      </c>
      <c r="V257" s="6">
        <v>0</v>
      </c>
      <c r="W257" s="6">
        <v>0</v>
      </c>
      <c r="X257" s="6">
        <v>0</v>
      </c>
      <c r="Y257" t="s">
        <v>171</v>
      </c>
      <c r="AD257">
        <v>2.777777777777778E-2</v>
      </c>
      <c r="AE257" s="1">
        <v>185</v>
      </c>
      <c r="AF257">
        <v>1</v>
      </c>
      <c r="AG257" s="9">
        <v>1.55E-2</v>
      </c>
      <c r="AH257" s="9">
        <v>1.55</v>
      </c>
      <c r="AI257" s="9">
        <v>0.7</v>
      </c>
      <c r="AJ257" s="9">
        <v>1.2E-2</v>
      </c>
      <c r="AK257" s="9">
        <v>1.4E-2</v>
      </c>
      <c r="AL257" s="9">
        <v>18.75</v>
      </c>
      <c r="AM257" s="9">
        <v>9.73</v>
      </c>
      <c r="AN257" s="9">
        <v>0.05</v>
      </c>
      <c r="AO257" s="9">
        <v>4.1500000000000002E-2</v>
      </c>
      <c r="AQ257" s="8"/>
    </row>
    <row r="258" spans="1:43" x14ac:dyDescent="0.3">
      <c r="A258" t="s">
        <v>1249</v>
      </c>
      <c r="B258" s="8" t="s">
        <v>1587</v>
      </c>
      <c r="C258">
        <v>17</v>
      </c>
      <c r="D258" s="8">
        <v>1.4300999999999999</v>
      </c>
      <c r="F258">
        <v>0.7</v>
      </c>
      <c r="G258" t="s">
        <v>29</v>
      </c>
      <c r="L258" t="s">
        <v>172</v>
      </c>
      <c r="N258" s="3">
        <v>1</v>
      </c>
      <c r="O258" s="3">
        <v>0</v>
      </c>
      <c r="P258">
        <v>22</v>
      </c>
      <c r="Q258">
        <v>4</v>
      </c>
      <c r="R258" t="s">
        <v>102</v>
      </c>
      <c r="S258">
        <v>0</v>
      </c>
      <c r="T258" s="6">
        <f>10^-(14-Q258)</f>
        <v>1E-10</v>
      </c>
      <c r="U258" s="6">
        <v>0</v>
      </c>
      <c r="V258" s="6">
        <v>0</v>
      </c>
      <c r="W258" s="6">
        <v>0</v>
      </c>
      <c r="X258" s="6">
        <v>0</v>
      </c>
      <c r="Y258" t="s">
        <v>171</v>
      </c>
      <c r="AD258">
        <v>2.777777777777778E-2</v>
      </c>
      <c r="AE258" s="1">
        <v>202</v>
      </c>
      <c r="AF258">
        <v>1</v>
      </c>
      <c r="AG258" s="9">
        <v>1.55E-2</v>
      </c>
      <c r="AH258" s="9">
        <v>1.55</v>
      </c>
      <c r="AI258" s="9">
        <v>0.7</v>
      </c>
      <c r="AJ258" s="9">
        <v>1.2E-2</v>
      </c>
      <c r="AK258" s="9">
        <v>1.4E-2</v>
      </c>
      <c r="AL258" s="9">
        <v>18.75</v>
      </c>
      <c r="AM258" s="9">
        <v>9.73</v>
      </c>
      <c r="AN258" s="9">
        <v>0.05</v>
      </c>
      <c r="AO258" s="9">
        <v>4.1500000000000002E-2</v>
      </c>
      <c r="AQ258" s="8"/>
    </row>
    <row r="259" spans="1:43" x14ac:dyDescent="0.3">
      <c r="A259" t="s">
        <v>1250</v>
      </c>
      <c r="B259" s="8" t="s">
        <v>1587</v>
      </c>
      <c r="C259">
        <v>17</v>
      </c>
      <c r="D259" s="8">
        <v>1.4300999999999999</v>
      </c>
      <c r="F259">
        <v>0.7</v>
      </c>
      <c r="G259" t="s">
        <v>29</v>
      </c>
      <c r="L259" t="s">
        <v>172</v>
      </c>
      <c r="N259" s="3">
        <v>1</v>
      </c>
      <c r="O259" s="3">
        <v>0</v>
      </c>
      <c r="P259">
        <v>22</v>
      </c>
      <c r="Q259">
        <v>4</v>
      </c>
      <c r="R259" t="s">
        <v>102</v>
      </c>
      <c r="S259">
        <v>0</v>
      </c>
      <c r="T259" s="6">
        <f>10^-(14-Q259)</f>
        <v>1E-10</v>
      </c>
      <c r="U259" s="6">
        <v>0</v>
      </c>
      <c r="V259" s="6">
        <v>0</v>
      </c>
      <c r="W259" s="6">
        <v>0</v>
      </c>
      <c r="X259" s="6">
        <v>0</v>
      </c>
      <c r="Y259" t="s">
        <v>171</v>
      </c>
      <c r="AD259">
        <v>2.777777777777778E-2</v>
      </c>
      <c r="AE259" s="1">
        <v>197</v>
      </c>
      <c r="AF259">
        <v>1</v>
      </c>
      <c r="AG259" s="9">
        <v>1.55E-2</v>
      </c>
      <c r="AH259" s="9">
        <v>1.55</v>
      </c>
      <c r="AI259" s="9">
        <v>0.7</v>
      </c>
      <c r="AJ259" s="9">
        <v>1.2E-2</v>
      </c>
      <c r="AK259" s="9">
        <v>1.4E-2</v>
      </c>
      <c r="AL259" s="9">
        <v>18.75</v>
      </c>
      <c r="AM259" s="9">
        <v>9.73</v>
      </c>
      <c r="AN259" s="9">
        <v>0.05</v>
      </c>
      <c r="AO259" s="9">
        <v>4.1500000000000002E-2</v>
      </c>
      <c r="AQ259" s="8"/>
    </row>
    <row r="260" spans="1:43" x14ac:dyDescent="0.3">
      <c r="A260" t="s">
        <v>1251</v>
      </c>
      <c r="B260" s="8" t="s">
        <v>1587</v>
      </c>
      <c r="C260">
        <v>17</v>
      </c>
      <c r="D260" s="8">
        <v>1.4300999999999999</v>
      </c>
      <c r="E260">
        <v>600</v>
      </c>
      <c r="F260">
        <v>0.3</v>
      </c>
      <c r="G260" t="s">
        <v>29</v>
      </c>
      <c r="I260"/>
      <c r="J260"/>
      <c r="K260"/>
      <c r="L260" t="s">
        <v>172</v>
      </c>
      <c r="N260" s="3">
        <v>1</v>
      </c>
      <c r="O260" s="3">
        <v>0</v>
      </c>
      <c r="P260">
        <v>22</v>
      </c>
      <c r="Q260">
        <v>4</v>
      </c>
      <c r="R260" t="s">
        <v>102</v>
      </c>
      <c r="S260">
        <v>0</v>
      </c>
      <c r="T260" s="6">
        <f>10^-(14-Q260)</f>
        <v>1E-10</v>
      </c>
      <c r="U260" s="6">
        <v>0</v>
      </c>
      <c r="V260" s="6">
        <v>0</v>
      </c>
      <c r="W260" s="6">
        <v>0</v>
      </c>
      <c r="X260" s="6">
        <v>0</v>
      </c>
      <c r="Y260" t="s">
        <v>171</v>
      </c>
      <c r="AA260"/>
      <c r="AB260"/>
      <c r="AC260"/>
      <c r="AD260">
        <v>2.777777777777778E-2</v>
      </c>
      <c r="AE260" s="1">
        <v>200</v>
      </c>
      <c r="AF260">
        <v>1</v>
      </c>
      <c r="AG260" s="9">
        <v>1.55E-2</v>
      </c>
      <c r="AH260" s="9">
        <v>1.55</v>
      </c>
      <c r="AI260" s="9">
        <v>0.7</v>
      </c>
      <c r="AJ260" s="9">
        <v>1.2E-2</v>
      </c>
      <c r="AK260" s="9">
        <v>1.4E-2</v>
      </c>
      <c r="AL260" s="9">
        <v>18.75</v>
      </c>
      <c r="AM260" s="9">
        <v>9.73</v>
      </c>
      <c r="AN260" s="9">
        <v>0.05</v>
      </c>
      <c r="AO260" s="9">
        <v>4.1500000000000002E-2</v>
      </c>
      <c r="AQ260" s="8"/>
    </row>
    <row r="261" spans="1:43" x14ac:dyDescent="0.3">
      <c r="A261" t="s">
        <v>1252</v>
      </c>
      <c r="B261" s="8" t="s">
        <v>1587</v>
      </c>
      <c r="C261">
        <v>17</v>
      </c>
      <c r="D261" s="8">
        <v>1.4300999999999999</v>
      </c>
      <c r="F261">
        <v>0.03</v>
      </c>
      <c r="G261" t="s">
        <v>29</v>
      </c>
      <c r="I261"/>
      <c r="J261"/>
      <c r="K261"/>
      <c r="L261" t="s">
        <v>172</v>
      </c>
      <c r="N261" s="3">
        <v>1</v>
      </c>
      <c r="O261" s="3">
        <v>0</v>
      </c>
      <c r="P261">
        <v>22</v>
      </c>
      <c r="Q261">
        <v>4</v>
      </c>
      <c r="R261" t="s">
        <v>102</v>
      </c>
      <c r="S261">
        <v>0</v>
      </c>
      <c r="T261" s="6">
        <f>10^-(14-Q261)</f>
        <v>1E-10</v>
      </c>
      <c r="U261" s="6">
        <v>0</v>
      </c>
      <c r="V261" s="6">
        <v>0</v>
      </c>
      <c r="W261" s="6">
        <v>0</v>
      </c>
      <c r="X261" s="6">
        <v>0</v>
      </c>
      <c r="Y261" t="s">
        <v>171</v>
      </c>
      <c r="AA261"/>
      <c r="AB261"/>
      <c r="AC261"/>
      <c r="AD261">
        <v>2.777777777777778E-2</v>
      </c>
      <c r="AE261" s="1">
        <v>202</v>
      </c>
      <c r="AF261">
        <v>1</v>
      </c>
      <c r="AG261" s="9">
        <v>1.55E-2</v>
      </c>
      <c r="AH261" s="9">
        <v>1.55</v>
      </c>
      <c r="AI261" s="9">
        <v>0.7</v>
      </c>
      <c r="AJ261" s="9">
        <v>1.2E-2</v>
      </c>
      <c r="AK261" s="9">
        <v>1.4E-2</v>
      </c>
      <c r="AL261" s="9">
        <v>18.75</v>
      </c>
      <c r="AM261" s="9">
        <v>9.73</v>
      </c>
      <c r="AN261" s="9">
        <v>0.05</v>
      </c>
      <c r="AO261" s="9">
        <v>4.1500000000000002E-2</v>
      </c>
      <c r="AQ261" s="8"/>
    </row>
    <row r="262" spans="1:43" x14ac:dyDescent="0.3">
      <c r="A262" t="s">
        <v>1253</v>
      </c>
      <c r="B262" s="8" t="s">
        <v>1587</v>
      </c>
      <c r="C262">
        <v>17</v>
      </c>
      <c r="D262" s="8">
        <v>1.4300999999999999</v>
      </c>
      <c r="F262">
        <v>0.03</v>
      </c>
      <c r="G262" t="s">
        <v>29</v>
      </c>
      <c r="I262"/>
      <c r="J262"/>
      <c r="K262"/>
      <c r="L262" t="s">
        <v>172</v>
      </c>
      <c r="N262" s="3">
        <v>1</v>
      </c>
      <c r="O262" s="3">
        <v>0</v>
      </c>
      <c r="P262">
        <v>22</v>
      </c>
      <c r="Q262">
        <v>4</v>
      </c>
      <c r="R262" t="s">
        <v>102</v>
      </c>
      <c r="S262">
        <v>0</v>
      </c>
      <c r="T262" s="6">
        <f>10^-(14-Q262)</f>
        <v>1E-10</v>
      </c>
      <c r="U262" s="6">
        <v>0</v>
      </c>
      <c r="V262" s="6">
        <v>0</v>
      </c>
      <c r="W262" s="6">
        <v>0</v>
      </c>
      <c r="X262" s="6">
        <v>0</v>
      </c>
      <c r="Y262" t="s">
        <v>171</v>
      </c>
      <c r="AA262"/>
      <c r="AB262"/>
      <c r="AC262"/>
      <c r="AD262">
        <v>2.777777777777778E-2</v>
      </c>
      <c r="AE262" s="1">
        <v>227</v>
      </c>
      <c r="AF262">
        <v>1</v>
      </c>
      <c r="AG262" s="9">
        <v>1.55E-2</v>
      </c>
      <c r="AH262" s="9">
        <v>1.55</v>
      </c>
      <c r="AI262" s="9">
        <v>0.7</v>
      </c>
      <c r="AJ262" s="9">
        <v>1.2E-2</v>
      </c>
      <c r="AK262" s="9">
        <v>1.4E-2</v>
      </c>
      <c r="AL262" s="9">
        <v>18.75</v>
      </c>
      <c r="AM262" s="9">
        <v>9.73</v>
      </c>
      <c r="AN262" s="9">
        <v>0.05</v>
      </c>
      <c r="AO262" s="9">
        <v>4.1500000000000002E-2</v>
      </c>
      <c r="AQ262" s="8"/>
    </row>
    <row r="263" spans="1:43" x14ac:dyDescent="0.3">
      <c r="A263" t="s">
        <v>1254</v>
      </c>
      <c r="B263" s="8" t="s">
        <v>1587</v>
      </c>
      <c r="C263">
        <v>17</v>
      </c>
      <c r="D263" s="8">
        <v>1.4300999999999999</v>
      </c>
      <c r="E263">
        <v>80</v>
      </c>
      <c r="F263">
        <v>9</v>
      </c>
      <c r="G263" t="s">
        <v>29</v>
      </c>
      <c r="I263"/>
      <c r="J263"/>
      <c r="K263"/>
      <c r="L263" t="s">
        <v>172</v>
      </c>
      <c r="N263" s="3">
        <v>1</v>
      </c>
      <c r="O263" s="3">
        <v>0</v>
      </c>
      <c r="P263">
        <v>22</v>
      </c>
      <c r="Q263">
        <v>4</v>
      </c>
      <c r="R263" t="s">
        <v>102</v>
      </c>
      <c r="S263">
        <v>0</v>
      </c>
      <c r="T263" s="6">
        <f>10^-(14-Q263)</f>
        <v>1E-10</v>
      </c>
      <c r="U263" s="6">
        <v>0</v>
      </c>
      <c r="V263" s="6">
        <v>0</v>
      </c>
      <c r="W263" s="6">
        <v>0</v>
      </c>
      <c r="X263" s="6">
        <v>0</v>
      </c>
      <c r="Y263" t="s">
        <v>171</v>
      </c>
      <c r="AA263"/>
      <c r="AB263"/>
      <c r="AC263"/>
      <c r="AD263">
        <v>2.777777777777778E-2</v>
      </c>
      <c r="AE263" s="1">
        <v>156</v>
      </c>
      <c r="AF263">
        <v>1</v>
      </c>
      <c r="AG263" s="9">
        <v>1.55E-2</v>
      </c>
      <c r="AH263" s="9">
        <v>1.55</v>
      </c>
      <c r="AI263" s="9">
        <v>0.7</v>
      </c>
      <c r="AJ263" s="9">
        <v>1.2E-2</v>
      </c>
      <c r="AK263" s="9">
        <v>1.4E-2</v>
      </c>
      <c r="AL263" s="9">
        <v>18.75</v>
      </c>
      <c r="AM263" s="9">
        <v>9.73</v>
      </c>
      <c r="AN263" s="9">
        <v>0.05</v>
      </c>
      <c r="AO263" s="9">
        <v>4.1500000000000002E-2</v>
      </c>
      <c r="AQ263" s="8"/>
    </row>
    <row r="264" spans="1:43" x14ac:dyDescent="0.3">
      <c r="A264" t="s">
        <v>1255</v>
      </c>
      <c r="B264" s="8" t="s">
        <v>1587</v>
      </c>
      <c r="C264">
        <v>17</v>
      </c>
      <c r="D264" s="8">
        <v>1.4300999999999999</v>
      </c>
      <c r="E264">
        <v>80</v>
      </c>
      <c r="F264">
        <v>9</v>
      </c>
      <c r="G264" t="s">
        <v>29</v>
      </c>
      <c r="I264"/>
      <c r="J264"/>
      <c r="K264"/>
      <c r="L264" t="s">
        <v>172</v>
      </c>
      <c r="N264" s="3">
        <v>1</v>
      </c>
      <c r="O264" s="3">
        <v>0</v>
      </c>
      <c r="P264">
        <v>22</v>
      </c>
      <c r="Q264">
        <v>4</v>
      </c>
      <c r="R264" t="s">
        <v>102</v>
      </c>
      <c r="S264">
        <v>0</v>
      </c>
      <c r="T264" s="6">
        <f>10^-(14-Q264)</f>
        <v>1E-10</v>
      </c>
      <c r="U264" s="6">
        <v>0</v>
      </c>
      <c r="V264" s="6">
        <v>0</v>
      </c>
      <c r="W264" s="6">
        <v>0</v>
      </c>
      <c r="X264" s="6">
        <v>0</v>
      </c>
      <c r="Y264" t="s">
        <v>171</v>
      </c>
      <c r="AA264"/>
      <c r="AB264"/>
      <c r="AC264"/>
      <c r="AD264">
        <v>2.777777777777778E-2</v>
      </c>
      <c r="AE264" s="1">
        <v>173</v>
      </c>
      <c r="AF264">
        <v>1</v>
      </c>
      <c r="AG264" s="9">
        <v>1.55E-2</v>
      </c>
      <c r="AH264" s="9">
        <v>1.55</v>
      </c>
      <c r="AI264" s="9">
        <v>0.7</v>
      </c>
      <c r="AJ264" s="9">
        <v>1.2E-2</v>
      </c>
      <c r="AK264" s="9">
        <v>1.4E-2</v>
      </c>
      <c r="AL264" s="9">
        <v>18.75</v>
      </c>
      <c r="AM264" s="9">
        <v>9.73</v>
      </c>
      <c r="AN264" s="9">
        <v>0.05</v>
      </c>
      <c r="AO264" s="9">
        <v>4.1500000000000002E-2</v>
      </c>
      <c r="AQ264" s="8"/>
    </row>
    <row r="265" spans="1:43" x14ac:dyDescent="0.3">
      <c r="A265" t="s">
        <v>1256</v>
      </c>
      <c r="B265" s="8" t="s">
        <v>1587</v>
      </c>
      <c r="C265">
        <v>17</v>
      </c>
      <c r="D265" s="8">
        <v>1.4300999999999999</v>
      </c>
      <c r="F265">
        <v>5</v>
      </c>
      <c r="G265" t="s">
        <v>29</v>
      </c>
      <c r="I265"/>
      <c r="J265"/>
      <c r="K265"/>
      <c r="L265" t="s">
        <v>172</v>
      </c>
      <c r="N265" s="3">
        <v>1</v>
      </c>
      <c r="O265" s="3">
        <v>0</v>
      </c>
      <c r="P265">
        <v>22</v>
      </c>
      <c r="Q265">
        <v>4</v>
      </c>
      <c r="R265" t="s">
        <v>102</v>
      </c>
      <c r="S265">
        <v>0</v>
      </c>
      <c r="T265" s="6">
        <f>10^-(14-Q265)</f>
        <v>1E-10</v>
      </c>
      <c r="U265" s="6">
        <v>0</v>
      </c>
      <c r="V265" s="6">
        <v>0</v>
      </c>
      <c r="W265" s="6">
        <v>0</v>
      </c>
      <c r="X265" s="6">
        <v>0</v>
      </c>
      <c r="Y265" t="s">
        <v>171</v>
      </c>
      <c r="AA265"/>
      <c r="AB265"/>
      <c r="AC265"/>
      <c r="AD265">
        <v>2.777777777777778E-2</v>
      </c>
      <c r="AE265" s="1">
        <v>175</v>
      </c>
      <c r="AF265">
        <v>1</v>
      </c>
      <c r="AG265" s="9">
        <v>1.55E-2</v>
      </c>
      <c r="AH265" s="9">
        <v>1.55</v>
      </c>
      <c r="AI265" s="9">
        <v>0.7</v>
      </c>
      <c r="AJ265" s="9">
        <v>1.2E-2</v>
      </c>
      <c r="AK265" s="9">
        <v>1.4E-2</v>
      </c>
      <c r="AL265" s="9">
        <v>18.75</v>
      </c>
      <c r="AM265" s="9">
        <v>9.73</v>
      </c>
      <c r="AN265" s="9">
        <v>0.05</v>
      </c>
      <c r="AO265" s="9">
        <v>4.1500000000000002E-2</v>
      </c>
      <c r="AQ265" s="8"/>
    </row>
    <row r="266" spans="1:43" x14ac:dyDescent="0.3">
      <c r="A266" t="s">
        <v>1257</v>
      </c>
      <c r="B266" s="8" t="s">
        <v>1587</v>
      </c>
      <c r="C266">
        <v>17</v>
      </c>
      <c r="D266" s="8">
        <v>1.4300999999999999</v>
      </c>
      <c r="F266">
        <v>5</v>
      </c>
      <c r="G266" t="s">
        <v>29</v>
      </c>
      <c r="I266"/>
      <c r="J266"/>
      <c r="K266"/>
      <c r="L266" t="s">
        <v>172</v>
      </c>
      <c r="N266" s="3">
        <v>1</v>
      </c>
      <c r="O266" s="3">
        <v>0</v>
      </c>
      <c r="P266">
        <v>22</v>
      </c>
      <c r="Q266">
        <v>4</v>
      </c>
      <c r="R266" t="s">
        <v>102</v>
      </c>
      <c r="S266">
        <v>0</v>
      </c>
      <c r="T266" s="6">
        <f>10^-(14-Q266)</f>
        <v>1E-10</v>
      </c>
      <c r="U266" s="6">
        <v>0</v>
      </c>
      <c r="V266" s="6">
        <v>0</v>
      </c>
      <c r="W266" s="6">
        <v>0</v>
      </c>
      <c r="X266" s="6">
        <v>0</v>
      </c>
      <c r="Y266" t="s">
        <v>171</v>
      </c>
      <c r="AA266"/>
      <c r="AB266"/>
      <c r="AC266"/>
      <c r="AD266">
        <v>2.777777777777778E-2</v>
      </c>
      <c r="AE266">
        <v>153</v>
      </c>
      <c r="AF266">
        <v>1</v>
      </c>
      <c r="AG266" s="9">
        <v>1.55E-2</v>
      </c>
      <c r="AH266" s="9">
        <v>1.55</v>
      </c>
      <c r="AI266" s="9">
        <v>0.7</v>
      </c>
      <c r="AJ266" s="9">
        <v>1.2E-2</v>
      </c>
      <c r="AK266" s="9">
        <v>1.4E-2</v>
      </c>
      <c r="AL266" s="9">
        <v>18.75</v>
      </c>
      <c r="AM266" s="9">
        <v>9.73</v>
      </c>
      <c r="AN266" s="9">
        <v>0.05</v>
      </c>
      <c r="AO266" s="9">
        <v>4.1500000000000002E-2</v>
      </c>
      <c r="AQ266" s="8"/>
    </row>
    <row r="267" spans="1:43" x14ac:dyDescent="0.3">
      <c r="A267" t="s">
        <v>1258</v>
      </c>
      <c r="B267" s="8" t="s">
        <v>1587</v>
      </c>
      <c r="C267">
        <v>17</v>
      </c>
      <c r="D267" s="8">
        <v>1.4300999999999999</v>
      </c>
      <c r="F267">
        <v>5</v>
      </c>
      <c r="G267" t="s">
        <v>29</v>
      </c>
      <c r="I267"/>
      <c r="J267"/>
      <c r="K267"/>
      <c r="L267" t="s">
        <v>172</v>
      </c>
      <c r="N267" s="3">
        <v>1</v>
      </c>
      <c r="O267" s="3">
        <v>0</v>
      </c>
      <c r="P267">
        <v>22</v>
      </c>
      <c r="Q267">
        <v>4</v>
      </c>
      <c r="R267" t="s">
        <v>102</v>
      </c>
      <c r="S267">
        <v>0</v>
      </c>
      <c r="T267" s="6">
        <f>10^-(14-Q267)</f>
        <v>1E-10</v>
      </c>
      <c r="U267" s="6">
        <v>0</v>
      </c>
      <c r="V267" s="6">
        <v>0</v>
      </c>
      <c r="W267" s="6">
        <v>0</v>
      </c>
      <c r="X267" s="6">
        <v>0</v>
      </c>
      <c r="Y267" t="s">
        <v>171</v>
      </c>
      <c r="AA267"/>
      <c r="AB267"/>
      <c r="AC267"/>
      <c r="AD267">
        <v>2.777777777777778E-2</v>
      </c>
      <c r="AE267">
        <v>151</v>
      </c>
      <c r="AF267">
        <v>1</v>
      </c>
      <c r="AG267" s="9">
        <v>1.55E-2</v>
      </c>
      <c r="AH267" s="9">
        <v>1.55</v>
      </c>
      <c r="AI267" s="9">
        <v>0.7</v>
      </c>
      <c r="AJ267" s="9">
        <v>1.2E-2</v>
      </c>
      <c r="AK267" s="9">
        <v>1.4E-2</v>
      </c>
      <c r="AL267" s="9">
        <v>18.75</v>
      </c>
      <c r="AM267" s="9">
        <v>9.73</v>
      </c>
      <c r="AN267" s="9">
        <v>0.05</v>
      </c>
      <c r="AO267" s="9">
        <v>4.1500000000000002E-2</v>
      </c>
      <c r="AQ267" s="8"/>
    </row>
    <row r="268" spans="1:43" x14ac:dyDescent="0.3">
      <c r="A268" t="s">
        <v>1259</v>
      </c>
      <c r="B268" s="8" t="s">
        <v>1587</v>
      </c>
      <c r="C268">
        <v>17</v>
      </c>
      <c r="D268" s="8">
        <v>1.4300999999999999</v>
      </c>
      <c r="F268">
        <v>5</v>
      </c>
      <c r="G268" t="s">
        <v>29</v>
      </c>
      <c r="I268"/>
      <c r="J268"/>
      <c r="K268"/>
      <c r="L268" t="s">
        <v>172</v>
      </c>
      <c r="N268" s="3">
        <v>1</v>
      </c>
      <c r="O268" s="3">
        <v>0</v>
      </c>
      <c r="P268">
        <v>22</v>
      </c>
      <c r="Q268">
        <v>4</v>
      </c>
      <c r="R268" t="s">
        <v>102</v>
      </c>
      <c r="S268">
        <v>0</v>
      </c>
      <c r="T268" s="6">
        <f>10^-(14-Q268)</f>
        <v>1E-10</v>
      </c>
      <c r="U268" s="6">
        <v>0</v>
      </c>
      <c r="V268" s="6">
        <v>0</v>
      </c>
      <c r="W268" s="6">
        <v>0</v>
      </c>
      <c r="X268" s="6">
        <v>0</v>
      </c>
      <c r="Y268" t="s">
        <v>171</v>
      </c>
      <c r="AA268"/>
      <c r="AB268"/>
      <c r="AC268"/>
      <c r="AD268">
        <v>2.777777777777778E-2</v>
      </c>
      <c r="AE268">
        <v>148</v>
      </c>
      <c r="AF268">
        <v>1</v>
      </c>
      <c r="AG268" s="9">
        <v>1.55E-2</v>
      </c>
      <c r="AH268" s="9">
        <v>1.55</v>
      </c>
      <c r="AI268" s="9">
        <v>0.7</v>
      </c>
      <c r="AJ268" s="9">
        <v>1.2E-2</v>
      </c>
      <c r="AK268" s="9">
        <v>1.4E-2</v>
      </c>
      <c r="AL268" s="9">
        <v>18.75</v>
      </c>
      <c r="AM268" s="9">
        <v>9.73</v>
      </c>
      <c r="AN268" s="9">
        <v>0.05</v>
      </c>
      <c r="AO268" s="9">
        <v>4.1500000000000002E-2</v>
      </c>
      <c r="AQ268" s="8"/>
    </row>
    <row r="269" spans="1:43" x14ac:dyDescent="0.3">
      <c r="A269" t="s">
        <v>1260</v>
      </c>
      <c r="B269" s="8" t="s">
        <v>1587</v>
      </c>
      <c r="C269">
        <v>17</v>
      </c>
      <c r="D269" s="8">
        <v>1.4300999999999999</v>
      </c>
      <c r="F269">
        <v>3</v>
      </c>
      <c r="G269" t="s">
        <v>29</v>
      </c>
      <c r="I269"/>
      <c r="J269"/>
      <c r="K269"/>
      <c r="L269" t="s">
        <v>172</v>
      </c>
      <c r="N269" s="3">
        <v>1</v>
      </c>
      <c r="O269" s="3">
        <v>0</v>
      </c>
      <c r="P269">
        <v>22</v>
      </c>
      <c r="Q269">
        <v>4</v>
      </c>
      <c r="R269" t="s">
        <v>102</v>
      </c>
      <c r="S269">
        <v>0</v>
      </c>
      <c r="T269" s="6">
        <f>10^-(14-Q269)</f>
        <v>1E-10</v>
      </c>
      <c r="U269" s="6">
        <v>0</v>
      </c>
      <c r="V269" s="6">
        <v>0</v>
      </c>
      <c r="W269" s="6">
        <v>0</v>
      </c>
      <c r="X269" s="6">
        <v>0</v>
      </c>
      <c r="Y269" t="s">
        <v>171</v>
      </c>
      <c r="AA269"/>
      <c r="AB269"/>
      <c r="AC269"/>
      <c r="AD269">
        <v>2.777777777777778E-2</v>
      </c>
      <c r="AE269">
        <v>148</v>
      </c>
      <c r="AF269">
        <v>1</v>
      </c>
      <c r="AG269" s="9">
        <v>1.55E-2</v>
      </c>
      <c r="AH269" s="9">
        <v>1.55</v>
      </c>
      <c r="AI269" s="9">
        <v>0.7</v>
      </c>
      <c r="AJ269" s="9">
        <v>1.2E-2</v>
      </c>
      <c r="AK269" s="9">
        <v>1.4E-2</v>
      </c>
      <c r="AL269" s="9">
        <v>18.75</v>
      </c>
      <c r="AM269" s="9">
        <v>9.73</v>
      </c>
      <c r="AN269" s="9">
        <v>0.05</v>
      </c>
      <c r="AO269" s="9">
        <v>4.1500000000000002E-2</v>
      </c>
      <c r="AQ269" s="8"/>
    </row>
    <row r="270" spans="1:43" x14ac:dyDescent="0.3">
      <c r="A270" t="s">
        <v>1261</v>
      </c>
      <c r="B270" s="8" t="s">
        <v>1587</v>
      </c>
      <c r="C270">
        <v>17</v>
      </c>
      <c r="D270" s="8">
        <v>1.4300999999999999</v>
      </c>
      <c r="F270">
        <v>3</v>
      </c>
      <c r="G270" t="s">
        <v>29</v>
      </c>
      <c r="I270"/>
      <c r="J270"/>
      <c r="K270"/>
      <c r="L270" t="s">
        <v>172</v>
      </c>
      <c r="N270" s="3">
        <v>1</v>
      </c>
      <c r="O270" s="3">
        <v>0</v>
      </c>
      <c r="P270">
        <v>22</v>
      </c>
      <c r="Q270">
        <v>4</v>
      </c>
      <c r="R270" t="s">
        <v>102</v>
      </c>
      <c r="S270">
        <v>0</v>
      </c>
      <c r="T270" s="6">
        <f>10^-(14-Q270)</f>
        <v>1E-10</v>
      </c>
      <c r="U270" s="6">
        <v>0</v>
      </c>
      <c r="V270" s="6">
        <v>0</v>
      </c>
      <c r="W270" s="6">
        <v>0</v>
      </c>
      <c r="X270" s="6">
        <v>0</v>
      </c>
      <c r="Y270" t="s">
        <v>171</v>
      </c>
      <c r="AA270"/>
      <c r="AB270"/>
      <c r="AC270"/>
      <c r="AD270">
        <v>2.777777777777778E-2</v>
      </c>
      <c r="AE270">
        <v>158</v>
      </c>
      <c r="AF270">
        <v>1</v>
      </c>
      <c r="AG270" s="9">
        <v>1.55E-2</v>
      </c>
      <c r="AH270" s="9">
        <v>1.55</v>
      </c>
      <c r="AI270" s="9">
        <v>0.7</v>
      </c>
      <c r="AJ270" s="9">
        <v>1.2E-2</v>
      </c>
      <c r="AK270" s="9">
        <v>1.4E-2</v>
      </c>
      <c r="AL270" s="9">
        <v>18.75</v>
      </c>
      <c r="AM270" s="9">
        <v>9.73</v>
      </c>
      <c r="AN270" s="9">
        <v>0.05</v>
      </c>
      <c r="AO270" s="9">
        <v>4.1500000000000002E-2</v>
      </c>
      <c r="AQ270" s="8"/>
    </row>
    <row r="271" spans="1:43" x14ac:dyDescent="0.3">
      <c r="A271" t="s">
        <v>1262</v>
      </c>
      <c r="B271" s="8" t="s">
        <v>1587</v>
      </c>
      <c r="C271">
        <v>17</v>
      </c>
      <c r="D271" s="8">
        <v>1.4300999999999999</v>
      </c>
      <c r="F271">
        <v>0.7</v>
      </c>
      <c r="G271" t="s">
        <v>29</v>
      </c>
      <c r="I271"/>
      <c r="J271"/>
      <c r="K271"/>
      <c r="L271" t="s">
        <v>172</v>
      </c>
      <c r="N271" s="3">
        <v>1</v>
      </c>
      <c r="O271" s="3">
        <v>0</v>
      </c>
      <c r="P271">
        <v>22</v>
      </c>
      <c r="Q271">
        <v>4</v>
      </c>
      <c r="R271" t="s">
        <v>102</v>
      </c>
      <c r="S271">
        <v>0</v>
      </c>
      <c r="T271" s="6">
        <f>10^-(14-Q271)</f>
        <v>1E-10</v>
      </c>
      <c r="U271" s="6">
        <v>0</v>
      </c>
      <c r="V271" s="6">
        <v>0</v>
      </c>
      <c r="W271" s="6">
        <v>0</v>
      </c>
      <c r="X271" s="6">
        <v>0</v>
      </c>
      <c r="Y271" t="s">
        <v>171</v>
      </c>
      <c r="AA271"/>
      <c r="AB271"/>
      <c r="AC271"/>
      <c r="AD271">
        <v>2.777777777777778E-2</v>
      </c>
      <c r="AE271">
        <v>160</v>
      </c>
      <c r="AF271">
        <v>1</v>
      </c>
      <c r="AG271" s="9">
        <v>1.55E-2</v>
      </c>
      <c r="AH271" s="9">
        <v>1.55</v>
      </c>
      <c r="AI271" s="9">
        <v>0.7</v>
      </c>
      <c r="AJ271" s="9">
        <v>1.2E-2</v>
      </c>
      <c r="AK271" s="9">
        <v>1.4E-2</v>
      </c>
      <c r="AL271" s="9">
        <v>18.75</v>
      </c>
      <c r="AM271" s="9">
        <v>9.73</v>
      </c>
      <c r="AN271" s="9">
        <v>0.05</v>
      </c>
      <c r="AO271" s="9">
        <v>4.1500000000000002E-2</v>
      </c>
      <c r="AQ271" s="8"/>
    </row>
    <row r="272" spans="1:43" x14ac:dyDescent="0.3">
      <c r="A272" t="s">
        <v>1263</v>
      </c>
      <c r="B272" s="8" t="s">
        <v>1587</v>
      </c>
      <c r="C272">
        <v>17</v>
      </c>
      <c r="D272" s="8">
        <v>1.4300999999999999</v>
      </c>
      <c r="F272">
        <v>0.7</v>
      </c>
      <c r="G272" t="s">
        <v>29</v>
      </c>
      <c r="I272"/>
      <c r="J272"/>
      <c r="K272"/>
      <c r="L272" t="s">
        <v>172</v>
      </c>
      <c r="N272" s="3">
        <v>1</v>
      </c>
      <c r="O272" s="3">
        <v>0</v>
      </c>
      <c r="P272">
        <v>22</v>
      </c>
      <c r="Q272">
        <v>4</v>
      </c>
      <c r="R272" t="s">
        <v>102</v>
      </c>
      <c r="S272">
        <v>0</v>
      </c>
      <c r="T272" s="6">
        <f>10^-(14-Q272)</f>
        <v>1E-10</v>
      </c>
      <c r="U272" s="6">
        <v>0</v>
      </c>
      <c r="V272" s="6">
        <v>0</v>
      </c>
      <c r="W272" s="6">
        <v>0</v>
      </c>
      <c r="X272" s="6">
        <v>0</v>
      </c>
      <c r="Y272" t="s">
        <v>171</v>
      </c>
      <c r="AA272"/>
      <c r="AB272"/>
      <c r="AC272"/>
      <c r="AD272">
        <v>2.777777777777778E-2</v>
      </c>
      <c r="AE272">
        <v>163</v>
      </c>
      <c r="AF272">
        <v>1</v>
      </c>
      <c r="AG272" s="9">
        <v>1.55E-2</v>
      </c>
      <c r="AH272" s="9">
        <v>1.55</v>
      </c>
      <c r="AI272" s="9">
        <v>0.7</v>
      </c>
      <c r="AJ272" s="9">
        <v>1.2E-2</v>
      </c>
      <c r="AK272" s="9">
        <v>1.4E-2</v>
      </c>
      <c r="AL272" s="9">
        <v>18.75</v>
      </c>
      <c r="AM272" s="9">
        <v>9.73</v>
      </c>
      <c r="AN272" s="9">
        <v>0.05</v>
      </c>
      <c r="AO272" s="9">
        <v>4.1500000000000002E-2</v>
      </c>
      <c r="AQ272" s="8"/>
    </row>
    <row r="273" spans="1:43" x14ac:dyDescent="0.3">
      <c r="A273" t="s">
        <v>1264</v>
      </c>
      <c r="B273" s="8" t="s">
        <v>1587</v>
      </c>
      <c r="C273">
        <v>17</v>
      </c>
      <c r="D273" s="8">
        <v>1.4300999999999999</v>
      </c>
      <c r="F273">
        <v>0.7</v>
      </c>
      <c r="G273" t="s">
        <v>29</v>
      </c>
      <c r="I273"/>
      <c r="J273"/>
      <c r="K273"/>
      <c r="L273" t="s">
        <v>172</v>
      </c>
      <c r="N273" s="3">
        <v>1</v>
      </c>
      <c r="O273" s="3">
        <v>0</v>
      </c>
      <c r="P273">
        <v>22</v>
      </c>
      <c r="Q273">
        <v>4</v>
      </c>
      <c r="R273" t="s">
        <v>102</v>
      </c>
      <c r="S273">
        <v>0</v>
      </c>
      <c r="T273" s="6">
        <f>10^-(14-Q273)</f>
        <v>1E-10</v>
      </c>
      <c r="U273" s="6">
        <v>0</v>
      </c>
      <c r="V273" s="6">
        <v>0</v>
      </c>
      <c r="W273" s="6">
        <v>0</v>
      </c>
      <c r="X273" s="6">
        <v>0</v>
      </c>
      <c r="Y273" t="s">
        <v>171</v>
      </c>
      <c r="AA273"/>
      <c r="AB273"/>
      <c r="AC273"/>
      <c r="AD273">
        <v>2.777777777777778E-2</v>
      </c>
      <c r="AE273">
        <v>151</v>
      </c>
      <c r="AF273">
        <v>1</v>
      </c>
      <c r="AG273" s="9">
        <v>1.55E-2</v>
      </c>
      <c r="AH273" s="9">
        <v>1.55</v>
      </c>
      <c r="AI273" s="9">
        <v>0.7</v>
      </c>
      <c r="AJ273" s="9">
        <v>1.2E-2</v>
      </c>
      <c r="AK273" s="9">
        <v>1.4E-2</v>
      </c>
      <c r="AL273" s="9">
        <v>18.75</v>
      </c>
      <c r="AM273" s="9">
        <v>9.73</v>
      </c>
      <c r="AN273" s="9">
        <v>0.05</v>
      </c>
      <c r="AO273" s="9">
        <v>4.1500000000000002E-2</v>
      </c>
      <c r="AQ273" s="8"/>
    </row>
    <row r="274" spans="1:43" x14ac:dyDescent="0.3">
      <c r="A274" t="s">
        <v>1265</v>
      </c>
      <c r="B274" s="8" t="s">
        <v>1587</v>
      </c>
      <c r="C274">
        <v>17</v>
      </c>
      <c r="D274" s="8">
        <v>1.4300999999999999</v>
      </c>
      <c r="F274">
        <v>0.7</v>
      </c>
      <c r="G274" t="s">
        <v>29</v>
      </c>
      <c r="I274"/>
      <c r="J274"/>
      <c r="K274"/>
      <c r="L274" t="s">
        <v>172</v>
      </c>
      <c r="N274" s="3">
        <v>1</v>
      </c>
      <c r="O274" s="3">
        <v>0</v>
      </c>
      <c r="P274">
        <v>22</v>
      </c>
      <c r="Q274">
        <v>4</v>
      </c>
      <c r="R274" t="s">
        <v>102</v>
      </c>
      <c r="S274">
        <v>0</v>
      </c>
      <c r="T274" s="6">
        <f>10^-(14-Q274)</f>
        <v>1E-10</v>
      </c>
      <c r="U274" s="6">
        <v>0</v>
      </c>
      <c r="V274" s="6">
        <v>0</v>
      </c>
      <c r="W274" s="6">
        <v>0</v>
      </c>
      <c r="X274" s="6">
        <v>0</v>
      </c>
      <c r="Y274" t="s">
        <v>171</v>
      </c>
      <c r="AA274"/>
      <c r="AB274"/>
      <c r="AC274"/>
      <c r="AD274">
        <v>2.777777777777778E-2</v>
      </c>
      <c r="AE274">
        <v>143</v>
      </c>
      <c r="AF274">
        <v>1</v>
      </c>
      <c r="AG274" s="9">
        <v>1.55E-2</v>
      </c>
      <c r="AH274" s="9">
        <v>1.55</v>
      </c>
      <c r="AI274" s="9">
        <v>0.7</v>
      </c>
      <c r="AJ274" s="9">
        <v>1.2E-2</v>
      </c>
      <c r="AK274" s="9">
        <v>1.4E-2</v>
      </c>
      <c r="AL274" s="9">
        <v>18.75</v>
      </c>
      <c r="AM274" s="9">
        <v>9.73</v>
      </c>
      <c r="AN274" s="9">
        <v>0.05</v>
      </c>
      <c r="AO274" s="9">
        <v>4.1500000000000002E-2</v>
      </c>
      <c r="AQ274" s="8"/>
    </row>
    <row r="275" spans="1:43" x14ac:dyDescent="0.3">
      <c r="A275" t="s">
        <v>1266</v>
      </c>
      <c r="B275" s="8" t="s">
        <v>1587</v>
      </c>
      <c r="C275">
        <v>17</v>
      </c>
      <c r="D275" s="8">
        <v>1.4300999999999999</v>
      </c>
      <c r="E275">
        <v>600</v>
      </c>
      <c r="F275">
        <v>0.3</v>
      </c>
      <c r="G275" t="s">
        <v>29</v>
      </c>
      <c r="I275"/>
      <c r="J275"/>
      <c r="K275"/>
      <c r="L275" t="s">
        <v>172</v>
      </c>
      <c r="N275" s="3">
        <v>1</v>
      </c>
      <c r="O275" s="3">
        <v>0</v>
      </c>
      <c r="P275">
        <v>22</v>
      </c>
      <c r="Q275">
        <v>4</v>
      </c>
      <c r="R275" t="s">
        <v>102</v>
      </c>
      <c r="S275">
        <v>0</v>
      </c>
      <c r="T275" s="6">
        <f>10^-(14-Q275)</f>
        <v>1E-10</v>
      </c>
      <c r="U275" s="6">
        <v>0</v>
      </c>
      <c r="V275" s="6">
        <v>0</v>
      </c>
      <c r="W275" s="6">
        <v>0</v>
      </c>
      <c r="X275" s="6">
        <v>0</v>
      </c>
      <c r="Y275" t="s">
        <v>171</v>
      </c>
      <c r="AA275"/>
      <c r="AB275"/>
      <c r="AC275"/>
      <c r="AD275">
        <v>2.777777777777778E-2</v>
      </c>
      <c r="AE275">
        <v>143</v>
      </c>
      <c r="AF275">
        <v>1</v>
      </c>
      <c r="AG275" s="9">
        <v>1.55E-2</v>
      </c>
      <c r="AH275" s="9">
        <v>1.55</v>
      </c>
      <c r="AI275" s="9">
        <v>0.7</v>
      </c>
      <c r="AJ275" s="9">
        <v>1.2E-2</v>
      </c>
      <c r="AK275" s="9">
        <v>1.4E-2</v>
      </c>
      <c r="AL275" s="9">
        <v>18.75</v>
      </c>
      <c r="AM275" s="9">
        <v>9.73</v>
      </c>
      <c r="AN275" s="9">
        <v>0.05</v>
      </c>
      <c r="AO275" s="9">
        <v>4.1500000000000002E-2</v>
      </c>
      <c r="AQ275" s="8"/>
    </row>
    <row r="276" spans="1:43" x14ac:dyDescent="0.3">
      <c r="A276" t="s">
        <v>1267</v>
      </c>
      <c r="B276" s="8" t="s">
        <v>1587</v>
      </c>
      <c r="C276">
        <v>17</v>
      </c>
      <c r="D276" s="8">
        <v>1.4300999999999999</v>
      </c>
      <c r="F276">
        <v>5</v>
      </c>
      <c r="G276" t="s">
        <v>31</v>
      </c>
      <c r="H276">
        <v>-1.2</v>
      </c>
      <c r="I276" s="4">
        <v>1</v>
      </c>
      <c r="K276"/>
      <c r="L276" t="s">
        <v>172</v>
      </c>
      <c r="N276" s="3">
        <v>1</v>
      </c>
      <c r="O276" s="3">
        <v>0</v>
      </c>
      <c r="P276">
        <v>22</v>
      </c>
      <c r="Q276">
        <v>4</v>
      </c>
      <c r="R276" t="s">
        <v>102</v>
      </c>
      <c r="S276">
        <v>0</v>
      </c>
      <c r="T276" s="6">
        <f>10^-(14-Q276)</f>
        <v>1E-10</v>
      </c>
      <c r="U276" s="6">
        <v>0</v>
      </c>
      <c r="V276" s="6">
        <v>0</v>
      </c>
      <c r="W276" s="6">
        <v>0</v>
      </c>
      <c r="X276" s="6">
        <v>0</v>
      </c>
      <c r="Y276" t="s">
        <v>171</v>
      </c>
      <c r="AA276"/>
      <c r="AB276"/>
      <c r="AC276"/>
      <c r="AD276">
        <v>2.777777777777778E-2</v>
      </c>
      <c r="AE276">
        <v>192</v>
      </c>
      <c r="AF276">
        <v>1</v>
      </c>
      <c r="AG276" s="9">
        <v>1.55E-2</v>
      </c>
      <c r="AH276" s="9">
        <v>1.55</v>
      </c>
      <c r="AI276" s="9">
        <v>0.7</v>
      </c>
      <c r="AJ276" s="9">
        <v>1.2E-2</v>
      </c>
      <c r="AK276" s="9">
        <v>1.4E-2</v>
      </c>
      <c r="AL276" s="9">
        <v>18.75</v>
      </c>
      <c r="AM276" s="9">
        <v>9.73</v>
      </c>
      <c r="AN276" s="9">
        <v>0.05</v>
      </c>
      <c r="AO276" s="9">
        <v>4.1500000000000002E-2</v>
      </c>
      <c r="AQ276" s="8"/>
    </row>
    <row r="277" spans="1:43" x14ac:dyDescent="0.3">
      <c r="A277" t="s">
        <v>1268</v>
      </c>
      <c r="B277" s="8" t="s">
        <v>1587</v>
      </c>
      <c r="C277">
        <v>17</v>
      </c>
      <c r="D277" s="8">
        <v>1.4300999999999999</v>
      </c>
      <c r="E277">
        <v>600</v>
      </c>
      <c r="F277">
        <v>0.3</v>
      </c>
      <c r="G277" t="s">
        <v>31</v>
      </c>
      <c r="H277">
        <v>-1.2</v>
      </c>
      <c r="I277" s="4">
        <v>1</v>
      </c>
      <c r="K277"/>
      <c r="L277" t="s">
        <v>172</v>
      </c>
      <c r="N277" s="3">
        <v>1</v>
      </c>
      <c r="O277" s="3">
        <v>0</v>
      </c>
      <c r="P277">
        <v>22</v>
      </c>
      <c r="Q277">
        <v>4</v>
      </c>
      <c r="R277" t="s">
        <v>102</v>
      </c>
      <c r="S277">
        <v>0</v>
      </c>
      <c r="T277" s="6">
        <f>10^-(14-Q277)</f>
        <v>1E-10</v>
      </c>
      <c r="U277" s="6">
        <v>0</v>
      </c>
      <c r="V277" s="6">
        <v>0</v>
      </c>
      <c r="W277" s="6">
        <v>0</v>
      </c>
      <c r="X277" s="6">
        <v>0</v>
      </c>
      <c r="Y277" t="s">
        <v>171</v>
      </c>
      <c r="AA277"/>
      <c r="AB277"/>
      <c r="AC277"/>
      <c r="AD277">
        <v>2.777777777777778E-2</v>
      </c>
      <c r="AE277">
        <v>254</v>
      </c>
      <c r="AF277">
        <v>1</v>
      </c>
      <c r="AG277" s="9">
        <v>1.55E-2</v>
      </c>
      <c r="AH277" s="9">
        <v>1.55</v>
      </c>
      <c r="AI277" s="9">
        <v>0.7</v>
      </c>
      <c r="AJ277" s="9">
        <v>1.2E-2</v>
      </c>
      <c r="AK277" s="9">
        <v>1.4E-2</v>
      </c>
      <c r="AL277" s="9">
        <v>18.75</v>
      </c>
      <c r="AM277" s="9">
        <v>9.73</v>
      </c>
      <c r="AN277" s="9">
        <v>0.05</v>
      </c>
      <c r="AO277" s="9">
        <v>4.1500000000000002E-2</v>
      </c>
      <c r="AQ277" s="8"/>
    </row>
    <row r="278" spans="1:43" x14ac:dyDescent="0.3">
      <c r="A278" t="s">
        <v>1269</v>
      </c>
      <c r="B278" s="8" t="s">
        <v>1588</v>
      </c>
      <c r="C278">
        <v>18</v>
      </c>
      <c r="D278" s="8">
        <v>1.4300999999999999</v>
      </c>
      <c r="H278" t="s">
        <v>987</v>
      </c>
      <c r="N278" s="3">
        <v>0.1</v>
      </c>
      <c r="O278" s="3">
        <v>0</v>
      </c>
      <c r="P278">
        <v>0</v>
      </c>
      <c r="Q278">
        <v>6.5</v>
      </c>
      <c r="R278" t="s">
        <v>102</v>
      </c>
      <c r="S278">
        <v>0</v>
      </c>
      <c r="T278" s="6">
        <f>10^-(14-Q278)</f>
        <v>3.1622776601683699E-8</v>
      </c>
      <c r="U278" s="6">
        <v>0</v>
      </c>
      <c r="V278" s="6">
        <v>0</v>
      </c>
      <c r="W278" s="6">
        <v>0</v>
      </c>
      <c r="X278" s="6">
        <v>0</v>
      </c>
      <c r="Y278" t="s">
        <v>171</v>
      </c>
      <c r="AE278" s="1">
        <v>920</v>
      </c>
      <c r="AF278">
        <v>1</v>
      </c>
      <c r="AL278" s="9">
        <v>18</v>
      </c>
      <c r="AM278" s="9">
        <v>8</v>
      </c>
      <c r="AQ278" s="8"/>
    </row>
    <row r="279" spans="1:43" x14ac:dyDescent="0.3">
      <c r="A279" t="s">
        <v>1270</v>
      </c>
      <c r="B279" s="8" t="s">
        <v>1588</v>
      </c>
      <c r="C279">
        <v>18</v>
      </c>
      <c r="D279" s="8">
        <v>1.4300999999999999</v>
      </c>
      <c r="I279"/>
      <c r="J279"/>
      <c r="K279"/>
      <c r="N279" s="3">
        <v>0.1</v>
      </c>
      <c r="O279" s="3">
        <v>0</v>
      </c>
      <c r="P279">
        <v>5</v>
      </c>
      <c r="Q279">
        <v>6.5</v>
      </c>
      <c r="R279" t="s">
        <v>102</v>
      </c>
      <c r="S279">
        <v>0</v>
      </c>
      <c r="T279" s="6">
        <f>10^-(14-Q279)</f>
        <v>3.1622776601683699E-8</v>
      </c>
      <c r="U279" s="6">
        <v>0</v>
      </c>
      <c r="V279" s="6">
        <v>0</v>
      </c>
      <c r="W279" s="6">
        <v>0</v>
      </c>
      <c r="X279" s="6">
        <v>0</v>
      </c>
      <c r="Y279" t="s">
        <v>171</v>
      </c>
      <c r="AA279"/>
      <c r="AB279"/>
      <c r="AC279"/>
      <c r="AE279">
        <v>800</v>
      </c>
      <c r="AF279">
        <v>1</v>
      </c>
      <c r="AL279" s="9">
        <v>18</v>
      </c>
      <c r="AM279" s="9">
        <v>8</v>
      </c>
      <c r="AQ279" s="8"/>
    </row>
    <row r="280" spans="1:43" x14ac:dyDescent="0.3">
      <c r="A280" t="s">
        <v>1271</v>
      </c>
      <c r="B280" s="8" t="s">
        <v>1588</v>
      </c>
      <c r="C280">
        <v>18</v>
      </c>
      <c r="D280" s="8">
        <v>1.4300999999999999</v>
      </c>
      <c r="I280"/>
      <c r="J280"/>
      <c r="K280"/>
      <c r="N280" s="3">
        <v>0.1</v>
      </c>
      <c r="O280" s="3">
        <v>0</v>
      </c>
      <c r="P280">
        <v>15</v>
      </c>
      <c r="Q280">
        <v>6.5</v>
      </c>
      <c r="R280" t="s">
        <v>102</v>
      </c>
      <c r="S280">
        <v>0</v>
      </c>
      <c r="T280" s="6">
        <f>10^-(14-Q280)</f>
        <v>3.1622776601683699E-8</v>
      </c>
      <c r="U280" s="6">
        <v>0</v>
      </c>
      <c r="V280" s="6">
        <v>0</v>
      </c>
      <c r="W280" s="6">
        <v>0</v>
      </c>
      <c r="X280" s="6">
        <v>0</v>
      </c>
      <c r="Y280" t="s">
        <v>171</v>
      </c>
      <c r="AA280"/>
      <c r="AB280"/>
      <c r="AC280"/>
      <c r="AE280">
        <v>520</v>
      </c>
      <c r="AF280">
        <v>1</v>
      </c>
      <c r="AL280" s="9">
        <v>18</v>
      </c>
      <c r="AM280" s="9">
        <v>8</v>
      </c>
      <c r="AQ280" s="8"/>
    </row>
    <row r="281" spans="1:43" x14ac:dyDescent="0.3">
      <c r="A281" t="s">
        <v>1272</v>
      </c>
      <c r="B281" s="8" t="s">
        <v>1588</v>
      </c>
      <c r="C281">
        <v>18</v>
      </c>
      <c r="D281" s="8">
        <v>1.4300999999999999</v>
      </c>
      <c r="I281"/>
      <c r="J281"/>
      <c r="K281"/>
      <c r="N281" s="3">
        <v>0.1</v>
      </c>
      <c r="O281" s="3">
        <v>0</v>
      </c>
      <c r="P281">
        <v>22.5</v>
      </c>
      <c r="Q281">
        <v>6.5</v>
      </c>
      <c r="R281" t="s">
        <v>102</v>
      </c>
      <c r="S281">
        <v>0</v>
      </c>
      <c r="T281" s="6">
        <f>10^-(14-Q281)</f>
        <v>3.1622776601683699E-8</v>
      </c>
      <c r="U281" s="6">
        <v>0</v>
      </c>
      <c r="V281" s="6">
        <v>0</v>
      </c>
      <c r="W281" s="6">
        <v>0</v>
      </c>
      <c r="X281" s="6">
        <v>0</v>
      </c>
      <c r="Y281" t="s">
        <v>171</v>
      </c>
      <c r="AA281"/>
      <c r="AB281"/>
      <c r="AC281"/>
      <c r="AE281">
        <v>350</v>
      </c>
      <c r="AF281">
        <v>1</v>
      </c>
      <c r="AL281" s="9">
        <v>18</v>
      </c>
      <c r="AM281" s="9">
        <v>8</v>
      </c>
      <c r="AQ281" s="8"/>
    </row>
    <row r="282" spans="1:43" x14ac:dyDescent="0.3">
      <c r="A282" t="s">
        <v>1273</v>
      </c>
      <c r="B282" s="8" t="s">
        <v>1588</v>
      </c>
      <c r="C282">
        <v>18</v>
      </c>
      <c r="D282" s="8">
        <v>1.4300999999999999</v>
      </c>
      <c r="I282"/>
      <c r="J282"/>
      <c r="K282"/>
      <c r="N282" s="3">
        <v>0.1</v>
      </c>
      <c r="O282" s="3">
        <v>0</v>
      </c>
      <c r="P282">
        <v>40</v>
      </c>
      <c r="Q282">
        <v>6.5</v>
      </c>
      <c r="R282" t="s">
        <v>102</v>
      </c>
      <c r="S282">
        <v>0</v>
      </c>
      <c r="T282" s="6">
        <f>10^-(14-Q282)</f>
        <v>3.1622776601683699E-8</v>
      </c>
      <c r="U282" s="6">
        <v>0</v>
      </c>
      <c r="V282" s="6">
        <v>0</v>
      </c>
      <c r="W282" s="6">
        <v>0</v>
      </c>
      <c r="X282" s="6">
        <v>0</v>
      </c>
      <c r="Y282" t="s">
        <v>171</v>
      </c>
      <c r="AA282"/>
      <c r="AB282"/>
      <c r="AC282"/>
      <c r="AE282">
        <v>320</v>
      </c>
      <c r="AF282">
        <v>1</v>
      </c>
      <c r="AL282" s="9">
        <v>18</v>
      </c>
      <c r="AM282" s="9">
        <v>8</v>
      </c>
      <c r="AQ282" s="8"/>
    </row>
    <row r="283" spans="1:43" x14ac:dyDescent="0.3">
      <c r="A283" t="s">
        <v>1274</v>
      </c>
      <c r="B283" s="8" t="s">
        <v>1588</v>
      </c>
      <c r="C283">
        <v>18</v>
      </c>
      <c r="D283" s="8">
        <v>1.4300999999999999</v>
      </c>
      <c r="I283"/>
      <c r="J283"/>
      <c r="K283"/>
      <c r="N283" s="3">
        <v>0.1</v>
      </c>
      <c r="O283" s="3">
        <v>0</v>
      </c>
      <c r="P283">
        <v>50</v>
      </c>
      <c r="Q283">
        <v>6.5</v>
      </c>
      <c r="R283" t="s">
        <v>102</v>
      </c>
      <c r="S283">
        <v>0</v>
      </c>
      <c r="T283" s="6">
        <f>10^-(14-Q283)</f>
        <v>3.1622776601683699E-8</v>
      </c>
      <c r="U283" s="6">
        <v>0</v>
      </c>
      <c r="V283" s="6">
        <v>0</v>
      </c>
      <c r="W283" s="6">
        <v>0</v>
      </c>
      <c r="X283" s="6">
        <v>0</v>
      </c>
      <c r="Y283" t="s">
        <v>171</v>
      </c>
      <c r="AA283"/>
      <c r="AB283"/>
      <c r="AC283"/>
      <c r="AE283">
        <v>310</v>
      </c>
      <c r="AF283">
        <v>1</v>
      </c>
      <c r="AL283" s="9">
        <v>18</v>
      </c>
      <c r="AM283" s="9">
        <v>8</v>
      </c>
      <c r="AQ283" s="8"/>
    </row>
    <row r="284" spans="1:43" x14ac:dyDescent="0.3">
      <c r="A284" t="s">
        <v>1275</v>
      </c>
      <c r="B284" s="8" t="s">
        <v>1588</v>
      </c>
      <c r="C284">
        <v>18</v>
      </c>
      <c r="D284" s="8">
        <v>1.4300999999999999</v>
      </c>
      <c r="H284" t="s">
        <v>987</v>
      </c>
      <c r="N284" s="3">
        <v>0.1</v>
      </c>
      <c r="O284" s="3">
        <v>0</v>
      </c>
      <c r="P284">
        <v>25</v>
      </c>
      <c r="Q284">
        <v>1</v>
      </c>
      <c r="R284" t="s">
        <v>102</v>
      </c>
      <c r="S284">
        <v>0</v>
      </c>
      <c r="T284" s="6">
        <f>10^-(14-Q284)</f>
        <v>1E-13</v>
      </c>
      <c r="U284" s="6">
        <v>0</v>
      </c>
      <c r="V284" s="6">
        <v>0</v>
      </c>
      <c r="W284" s="6">
        <v>0</v>
      </c>
      <c r="X284" s="6">
        <v>0</v>
      </c>
      <c r="Y284" t="s">
        <v>171</v>
      </c>
      <c r="AE284">
        <v>350</v>
      </c>
      <c r="AF284">
        <v>1</v>
      </c>
      <c r="AL284" s="9">
        <v>18</v>
      </c>
      <c r="AM284" s="9">
        <v>8</v>
      </c>
      <c r="AQ284" s="8"/>
    </row>
    <row r="285" spans="1:43" x14ac:dyDescent="0.3">
      <c r="A285" t="s">
        <v>1276</v>
      </c>
      <c r="B285" s="8" t="s">
        <v>1588</v>
      </c>
      <c r="C285">
        <v>18</v>
      </c>
      <c r="D285" s="8">
        <v>1.4300999999999999</v>
      </c>
      <c r="I285"/>
      <c r="J285"/>
      <c r="K285"/>
      <c r="N285" s="3">
        <v>0.1</v>
      </c>
      <c r="O285" s="3">
        <v>0</v>
      </c>
      <c r="P285">
        <v>25</v>
      </c>
      <c r="Q285">
        <v>2.5</v>
      </c>
      <c r="R285" t="s">
        <v>102</v>
      </c>
      <c r="S285">
        <v>0</v>
      </c>
      <c r="T285" s="6">
        <f>10^-(14-Q285)</f>
        <v>3.1622776601683669E-12</v>
      </c>
      <c r="U285" s="6">
        <v>0</v>
      </c>
      <c r="V285" s="6">
        <v>0</v>
      </c>
      <c r="W285" s="6">
        <v>0</v>
      </c>
      <c r="X285" s="6">
        <v>0</v>
      </c>
      <c r="Y285" t="s">
        <v>171</v>
      </c>
      <c r="AA285"/>
      <c r="AB285"/>
      <c r="AC285"/>
      <c r="AE285">
        <v>350</v>
      </c>
      <c r="AF285">
        <v>1</v>
      </c>
      <c r="AL285" s="9">
        <v>18</v>
      </c>
      <c r="AM285" s="9">
        <v>8</v>
      </c>
      <c r="AQ285" s="8"/>
    </row>
    <row r="286" spans="1:43" x14ac:dyDescent="0.3">
      <c r="A286" t="s">
        <v>1277</v>
      </c>
      <c r="B286" s="8" t="s">
        <v>1588</v>
      </c>
      <c r="C286">
        <v>18</v>
      </c>
      <c r="D286" s="8">
        <v>1.4300999999999999</v>
      </c>
      <c r="I286"/>
      <c r="J286"/>
      <c r="K286"/>
      <c r="N286" s="3">
        <v>0.1</v>
      </c>
      <c r="O286" s="3">
        <v>0</v>
      </c>
      <c r="P286">
        <v>25</v>
      </c>
      <c r="Q286">
        <v>6</v>
      </c>
      <c r="R286" t="s">
        <v>102</v>
      </c>
      <c r="S286">
        <v>0</v>
      </c>
      <c r="T286" s="6">
        <f>10^-(14-Q286)</f>
        <v>1E-8</v>
      </c>
      <c r="U286" s="6">
        <v>0</v>
      </c>
      <c r="V286" s="6">
        <v>0</v>
      </c>
      <c r="W286" s="6">
        <v>0</v>
      </c>
      <c r="X286" s="6">
        <v>0</v>
      </c>
      <c r="Y286" t="s">
        <v>171</v>
      </c>
      <c r="AA286"/>
      <c r="AB286"/>
      <c r="AC286"/>
      <c r="AE286">
        <v>370</v>
      </c>
      <c r="AF286">
        <v>1</v>
      </c>
      <c r="AL286" s="9">
        <v>18</v>
      </c>
      <c r="AM286" s="9">
        <v>8</v>
      </c>
      <c r="AQ286" s="8"/>
    </row>
    <row r="287" spans="1:43" x14ac:dyDescent="0.3">
      <c r="A287" t="s">
        <v>1278</v>
      </c>
      <c r="B287" s="8" t="s">
        <v>1588</v>
      </c>
      <c r="C287">
        <v>18</v>
      </c>
      <c r="D287" s="8">
        <v>1.4300999999999999</v>
      </c>
      <c r="I287"/>
      <c r="J287"/>
      <c r="K287"/>
      <c r="N287" s="3">
        <v>0.1</v>
      </c>
      <c r="O287" s="3">
        <v>0</v>
      </c>
      <c r="P287">
        <v>25</v>
      </c>
      <c r="Q287">
        <v>8</v>
      </c>
      <c r="R287" t="s">
        <v>102</v>
      </c>
      <c r="S287">
        <v>0</v>
      </c>
      <c r="T287" s="6">
        <f>10^-(14-Q287)</f>
        <v>9.9999999999999995E-7</v>
      </c>
      <c r="U287" s="6">
        <v>0</v>
      </c>
      <c r="V287" s="6">
        <v>0</v>
      </c>
      <c r="W287" s="6">
        <v>0</v>
      </c>
      <c r="X287" s="6">
        <v>0</v>
      </c>
      <c r="Y287" t="s">
        <v>171</v>
      </c>
      <c r="AA287"/>
      <c r="AB287"/>
      <c r="AC287"/>
      <c r="AE287">
        <v>385</v>
      </c>
      <c r="AF287">
        <v>1</v>
      </c>
      <c r="AL287" s="9">
        <v>18</v>
      </c>
      <c r="AM287" s="9">
        <v>8</v>
      </c>
      <c r="AQ287" s="8"/>
    </row>
    <row r="288" spans="1:43" x14ac:dyDescent="0.3">
      <c r="A288" t="s">
        <v>1279</v>
      </c>
      <c r="B288" s="8" t="s">
        <v>1588</v>
      </c>
      <c r="C288">
        <v>18</v>
      </c>
      <c r="D288" s="8">
        <v>1.4300999999999999</v>
      </c>
      <c r="I288"/>
      <c r="J288"/>
      <c r="K288"/>
      <c r="N288" s="3">
        <v>0.1</v>
      </c>
      <c r="O288" s="3">
        <v>0</v>
      </c>
      <c r="P288">
        <v>25</v>
      </c>
      <c r="Q288">
        <v>9</v>
      </c>
      <c r="R288" t="s">
        <v>102</v>
      </c>
      <c r="S288">
        <v>0</v>
      </c>
      <c r="T288" s="6">
        <f>10^-(14-Q288)</f>
        <v>1.0000000000000001E-5</v>
      </c>
      <c r="U288" s="6">
        <v>0</v>
      </c>
      <c r="V288" s="6">
        <v>0</v>
      </c>
      <c r="W288" s="6">
        <v>0</v>
      </c>
      <c r="X288" s="6">
        <v>0</v>
      </c>
      <c r="Y288" t="s">
        <v>171</v>
      </c>
      <c r="AA288"/>
      <c r="AB288"/>
      <c r="AC288"/>
      <c r="AE288">
        <v>480</v>
      </c>
      <c r="AF288">
        <v>1</v>
      </c>
      <c r="AL288" s="9">
        <v>18</v>
      </c>
      <c r="AM288" s="9">
        <v>8</v>
      </c>
      <c r="AQ288" s="8"/>
    </row>
    <row r="289" spans="1:43" x14ac:dyDescent="0.3">
      <c r="A289" t="s">
        <v>1280</v>
      </c>
      <c r="B289" s="8" t="s">
        <v>1588</v>
      </c>
      <c r="C289">
        <v>18</v>
      </c>
      <c r="D289" s="8">
        <v>1.4300999999999999</v>
      </c>
      <c r="I289"/>
      <c r="J289"/>
      <c r="K289"/>
      <c r="N289" s="3">
        <v>0.1</v>
      </c>
      <c r="O289" s="3">
        <v>0</v>
      </c>
      <c r="P289">
        <v>25</v>
      </c>
      <c r="Q289">
        <v>9.5</v>
      </c>
      <c r="R289" t="s">
        <v>102</v>
      </c>
      <c r="S289">
        <v>0</v>
      </c>
      <c r="T289" s="6">
        <f>10^-(14-Q289)</f>
        <v>3.1622776601683748E-5</v>
      </c>
      <c r="U289" s="6">
        <v>0</v>
      </c>
      <c r="V289" s="6">
        <v>0</v>
      </c>
      <c r="W289" s="6">
        <v>0</v>
      </c>
      <c r="X289" s="6">
        <v>0</v>
      </c>
      <c r="Y289" t="s">
        <v>171</v>
      </c>
      <c r="AA289"/>
      <c r="AB289"/>
      <c r="AC289"/>
      <c r="AE289">
        <v>580</v>
      </c>
      <c r="AF289">
        <v>1</v>
      </c>
      <c r="AL289" s="9">
        <v>18</v>
      </c>
      <c r="AM289" s="9">
        <v>8</v>
      </c>
      <c r="AQ289" s="8"/>
    </row>
    <row r="290" spans="1:43" x14ac:dyDescent="0.3">
      <c r="A290" t="s">
        <v>1281</v>
      </c>
      <c r="B290" s="8" t="s">
        <v>1588</v>
      </c>
      <c r="C290">
        <v>18</v>
      </c>
      <c r="D290" s="8">
        <v>1.4300999999999999</v>
      </c>
      <c r="I290"/>
      <c r="J290"/>
      <c r="K290"/>
      <c r="N290" s="3">
        <v>0.1</v>
      </c>
      <c r="O290" s="3">
        <v>0</v>
      </c>
      <c r="P290">
        <v>25</v>
      </c>
      <c r="Q290">
        <v>10</v>
      </c>
      <c r="R290" t="s">
        <v>102</v>
      </c>
      <c r="S290">
        <v>0</v>
      </c>
      <c r="T290" s="6">
        <f>10^-(14-Q290)</f>
        <v>1E-4</v>
      </c>
      <c r="U290" s="6">
        <v>0</v>
      </c>
      <c r="V290" s="6">
        <v>0</v>
      </c>
      <c r="W290" s="6">
        <v>0</v>
      </c>
      <c r="X290" s="6">
        <v>0</v>
      </c>
      <c r="Y290" t="s">
        <v>171</v>
      </c>
      <c r="AA290"/>
      <c r="AB290"/>
      <c r="AC290"/>
      <c r="AE290">
        <v>950</v>
      </c>
      <c r="AF290">
        <v>1</v>
      </c>
      <c r="AL290" s="9">
        <v>18</v>
      </c>
      <c r="AM290" s="9">
        <v>8</v>
      </c>
      <c r="AQ290" s="8"/>
    </row>
    <row r="291" spans="1:43" x14ac:dyDescent="0.3">
      <c r="A291" t="s">
        <v>1282</v>
      </c>
      <c r="B291" s="8" t="s">
        <v>1588</v>
      </c>
      <c r="C291">
        <v>18</v>
      </c>
      <c r="D291" s="8">
        <v>1.4300999999999999</v>
      </c>
      <c r="I291"/>
      <c r="J291"/>
      <c r="K291"/>
      <c r="N291" s="3">
        <v>0.1</v>
      </c>
      <c r="O291" s="3">
        <v>0</v>
      </c>
      <c r="P291">
        <v>25</v>
      </c>
      <c r="Q291">
        <v>10.5</v>
      </c>
      <c r="R291" t="s">
        <v>102</v>
      </c>
      <c r="S291">
        <v>0</v>
      </c>
      <c r="T291" s="6">
        <f>10^-(14-Q291)</f>
        <v>3.1622776601683783E-4</v>
      </c>
      <c r="U291" s="6">
        <v>0</v>
      </c>
      <c r="V291" s="6">
        <v>0</v>
      </c>
      <c r="W291" s="6">
        <v>0</v>
      </c>
      <c r="X291" s="6">
        <v>0</v>
      </c>
      <c r="Y291" t="s">
        <v>171</v>
      </c>
      <c r="AA291"/>
      <c r="AB291"/>
      <c r="AC291"/>
      <c r="AE291">
        <v>900</v>
      </c>
      <c r="AF291">
        <v>1</v>
      </c>
      <c r="AL291" s="9">
        <v>18</v>
      </c>
      <c r="AM291" s="9">
        <v>8</v>
      </c>
      <c r="AQ291" s="8"/>
    </row>
    <row r="292" spans="1:43" x14ac:dyDescent="0.3">
      <c r="A292" t="s">
        <v>1283</v>
      </c>
      <c r="B292" s="8" t="s">
        <v>1588</v>
      </c>
      <c r="C292">
        <v>18</v>
      </c>
      <c r="D292" s="8">
        <v>1.4300999999999999</v>
      </c>
      <c r="I292"/>
      <c r="J292"/>
      <c r="K292"/>
      <c r="N292" s="3">
        <v>0.1</v>
      </c>
      <c r="O292" s="3">
        <v>0</v>
      </c>
      <c r="P292">
        <v>25</v>
      </c>
      <c r="Q292">
        <v>11.5</v>
      </c>
      <c r="R292" t="s">
        <v>102</v>
      </c>
      <c r="S292">
        <v>0</v>
      </c>
      <c r="T292" s="6">
        <f>10^-(14-Q292)</f>
        <v>3.1622776601683764E-3</v>
      </c>
      <c r="U292" s="6">
        <v>0</v>
      </c>
      <c r="V292" s="6">
        <v>0</v>
      </c>
      <c r="W292" s="6">
        <v>0</v>
      </c>
      <c r="X292" s="6">
        <v>0</v>
      </c>
      <c r="Y292" t="s">
        <v>171</v>
      </c>
      <c r="AA292"/>
      <c r="AB292"/>
      <c r="AC292"/>
      <c r="AE292">
        <v>820</v>
      </c>
      <c r="AF292">
        <v>1</v>
      </c>
      <c r="AL292" s="9">
        <v>18</v>
      </c>
      <c r="AM292" s="9">
        <v>8</v>
      </c>
      <c r="AQ292" s="8"/>
    </row>
    <row r="293" spans="1:43" x14ac:dyDescent="0.3">
      <c r="A293" t="s">
        <v>1284</v>
      </c>
      <c r="B293" s="8" t="s">
        <v>1588</v>
      </c>
      <c r="C293">
        <v>18</v>
      </c>
      <c r="D293" s="8">
        <v>1.4300999999999999</v>
      </c>
      <c r="I293"/>
      <c r="J293"/>
      <c r="K293"/>
      <c r="N293" s="3">
        <v>0.1</v>
      </c>
      <c r="O293" s="3">
        <v>0</v>
      </c>
      <c r="P293">
        <v>25</v>
      </c>
      <c r="Q293">
        <v>12</v>
      </c>
      <c r="R293" t="s">
        <v>102</v>
      </c>
      <c r="S293">
        <v>0</v>
      </c>
      <c r="T293" s="6">
        <f>10^-(14-Q293)</f>
        <v>0.01</v>
      </c>
      <c r="U293" s="6">
        <v>0</v>
      </c>
      <c r="V293" s="6">
        <v>0</v>
      </c>
      <c r="W293" s="6">
        <v>0</v>
      </c>
      <c r="X293" s="6">
        <v>0</v>
      </c>
      <c r="Y293" t="s">
        <v>171</v>
      </c>
      <c r="AA293"/>
      <c r="AB293"/>
      <c r="AC293"/>
      <c r="AE293">
        <v>780</v>
      </c>
      <c r="AF293">
        <v>1</v>
      </c>
      <c r="AL293" s="9">
        <v>18</v>
      </c>
      <c r="AM293" s="9">
        <v>8</v>
      </c>
      <c r="AQ293" s="8"/>
    </row>
    <row r="294" spans="1:43" x14ac:dyDescent="0.3">
      <c r="A294">
        <v>54</v>
      </c>
      <c r="B294" t="s">
        <v>1676</v>
      </c>
      <c r="C294">
        <v>19</v>
      </c>
      <c r="D294"/>
      <c r="E294">
        <v>600</v>
      </c>
      <c r="G294" t="s">
        <v>29</v>
      </c>
      <c r="I294"/>
      <c r="J294">
        <v>0.16666666666666666</v>
      </c>
      <c r="K294">
        <v>0.83333333333333337</v>
      </c>
      <c r="L294" t="s">
        <v>172</v>
      </c>
      <c r="N294">
        <v>1</v>
      </c>
      <c r="O294">
        <v>0</v>
      </c>
      <c r="P294">
        <v>30</v>
      </c>
      <c r="Q294">
        <v>7</v>
      </c>
      <c r="R294" t="s">
        <v>102</v>
      </c>
      <c r="T294" s="6">
        <f>10^-(14-Q294)</f>
        <v>9.9999999999999995E-8</v>
      </c>
      <c r="U294" s="6">
        <v>0</v>
      </c>
      <c r="V294" s="6">
        <v>0</v>
      </c>
      <c r="W294" s="6">
        <v>0</v>
      </c>
      <c r="X294" s="6">
        <v>0</v>
      </c>
      <c r="Y294" t="s">
        <v>171</v>
      </c>
      <c r="Z294"/>
      <c r="AA294"/>
      <c r="AB294"/>
      <c r="AC294"/>
      <c r="AD294">
        <v>0.33329999999999999</v>
      </c>
      <c r="AE294">
        <v>163</v>
      </c>
      <c r="AF294">
        <v>1</v>
      </c>
      <c r="AG294" s="9">
        <v>1.2E-2</v>
      </c>
      <c r="AH294" s="9">
        <v>15.6</v>
      </c>
      <c r="AI294" s="9">
        <v>0.3</v>
      </c>
      <c r="AL294" s="9">
        <v>17.8</v>
      </c>
      <c r="AM294" s="9">
        <v>6</v>
      </c>
      <c r="AN294" s="9">
        <v>2.1</v>
      </c>
      <c r="AO294" s="9">
        <v>0.26800000000000002</v>
      </c>
      <c r="AQ294" s="8"/>
    </row>
    <row r="295" spans="1:43" x14ac:dyDescent="0.3">
      <c r="A295">
        <v>54</v>
      </c>
      <c r="B295" t="s">
        <v>1676</v>
      </c>
      <c r="C295">
        <v>19</v>
      </c>
      <c r="D295"/>
      <c r="E295">
        <v>600</v>
      </c>
      <c r="G295" t="s">
        <v>29</v>
      </c>
      <c r="I295"/>
      <c r="J295">
        <v>0.16666666666666666</v>
      </c>
      <c r="K295">
        <v>0.83333333333333337</v>
      </c>
      <c r="L295" t="s">
        <v>172</v>
      </c>
      <c r="N295">
        <v>1.5</v>
      </c>
      <c r="O295">
        <v>0</v>
      </c>
      <c r="P295">
        <v>50</v>
      </c>
      <c r="Q295">
        <v>0.69</v>
      </c>
      <c r="R295" t="s">
        <v>102</v>
      </c>
      <c r="T295" s="6">
        <f>10^-(14-Q295)</f>
        <v>4.8977881936844408E-14</v>
      </c>
      <c r="U295" s="6">
        <v>0</v>
      </c>
      <c r="V295" s="6">
        <v>0</v>
      </c>
      <c r="W295" s="6">
        <v>0</v>
      </c>
      <c r="X295" s="6">
        <v>0</v>
      </c>
      <c r="Y295" t="s">
        <v>171</v>
      </c>
      <c r="Z295"/>
      <c r="AA295"/>
      <c r="AB295"/>
      <c r="AC295"/>
      <c r="AD295">
        <v>0.33329999999999999</v>
      </c>
      <c r="AE295">
        <v>-185</v>
      </c>
      <c r="AF295">
        <v>1</v>
      </c>
      <c r="AG295" s="9">
        <v>1.2E-2</v>
      </c>
      <c r="AH295" s="9">
        <v>15.6</v>
      </c>
      <c r="AI295" s="9">
        <v>0.3</v>
      </c>
      <c r="AL295" s="9">
        <v>17.8</v>
      </c>
      <c r="AM295" s="9">
        <v>6</v>
      </c>
      <c r="AN295" s="9">
        <v>2.1</v>
      </c>
      <c r="AO295" s="9">
        <v>0.26800000000000002</v>
      </c>
      <c r="AQ295" s="8"/>
    </row>
    <row r="296" spans="1:43" x14ac:dyDescent="0.3">
      <c r="A296">
        <v>54</v>
      </c>
      <c r="B296" t="s">
        <v>1676</v>
      </c>
      <c r="C296">
        <v>19</v>
      </c>
      <c r="D296"/>
      <c r="E296">
        <v>600</v>
      </c>
      <c r="G296" t="s">
        <v>29</v>
      </c>
      <c r="I296"/>
      <c r="J296">
        <v>0.16666666666666666</v>
      </c>
      <c r="K296">
        <v>0.83333333333333337</v>
      </c>
      <c r="L296" t="s">
        <v>172</v>
      </c>
      <c r="N296">
        <v>1.5</v>
      </c>
      <c r="O296">
        <v>0</v>
      </c>
      <c r="P296">
        <v>50</v>
      </c>
      <c r="Q296">
        <v>0.69</v>
      </c>
      <c r="R296" t="s">
        <v>102</v>
      </c>
      <c r="T296" s="6">
        <f>10^-(14-Q296)</f>
        <v>4.8977881936844408E-14</v>
      </c>
      <c r="U296" s="6">
        <v>0</v>
      </c>
      <c r="V296" s="6">
        <v>0</v>
      </c>
      <c r="W296" s="6">
        <v>0</v>
      </c>
      <c r="X296" s="6">
        <v>0</v>
      </c>
      <c r="Y296" t="s">
        <v>171</v>
      </c>
      <c r="Z296"/>
      <c r="AA296"/>
      <c r="AB296"/>
      <c r="AC296"/>
      <c r="AD296">
        <v>0.33329999999999999</v>
      </c>
      <c r="AE296">
        <v>145</v>
      </c>
      <c r="AF296">
        <v>1</v>
      </c>
      <c r="AG296" s="9">
        <v>0.02</v>
      </c>
      <c r="AH296" s="9">
        <v>13.13</v>
      </c>
      <c r="AI296" s="9">
        <v>0.42</v>
      </c>
      <c r="AL296" s="9">
        <v>17.93</v>
      </c>
      <c r="AM296" s="9">
        <v>25.92</v>
      </c>
      <c r="AN296" s="9">
        <v>5</v>
      </c>
      <c r="AO296" s="9">
        <v>0.255</v>
      </c>
      <c r="AQ296" s="8"/>
    </row>
    <row r="297" spans="1:43" x14ac:dyDescent="0.3">
      <c r="A297">
        <v>54</v>
      </c>
      <c r="B297" t="s">
        <v>1676</v>
      </c>
      <c r="C297">
        <v>19</v>
      </c>
      <c r="D297"/>
      <c r="E297">
        <v>600</v>
      </c>
      <c r="G297" t="s">
        <v>29</v>
      </c>
      <c r="I297"/>
      <c r="J297">
        <v>0.16666666666666666</v>
      </c>
      <c r="K297">
        <v>0.83333333333333337</v>
      </c>
      <c r="L297" t="s">
        <v>172</v>
      </c>
      <c r="N297">
        <v>1</v>
      </c>
      <c r="O297">
        <v>0</v>
      </c>
      <c r="P297">
        <v>30</v>
      </c>
      <c r="Q297">
        <v>7</v>
      </c>
      <c r="R297" t="s">
        <v>102</v>
      </c>
      <c r="T297" s="6">
        <f>10^-(14-Q297)</f>
        <v>9.9999999999999995E-8</v>
      </c>
      <c r="U297" s="6">
        <v>0</v>
      </c>
      <c r="V297" s="6">
        <v>0</v>
      </c>
      <c r="W297" s="6">
        <v>0</v>
      </c>
      <c r="X297" s="6">
        <v>0</v>
      </c>
      <c r="Y297" t="s">
        <v>171</v>
      </c>
      <c r="Z297"/>
      <c r="AA297"/>
      <c r="AB297"/>
      <c r="AC297"/>
      <c r="AD297">
        <v>0.33329999999999999</v>
      </c>
      <c r="AE297">
        <v>-32</v>
      </c>
      <c r="AF297">
        <v>1</v>
      </c>
      <c r="AG297" s="9">
        <v>0.02</v>
      </c>
      <c r="AH297" s="9">
        <v>14.46</v>
      </c>
      <c r="AI297" s="9">
        <v>0.44</v>
      </c>
      <c r="AL297" s="9">
        <v>18.02</v>
      </c>
      <c r="AM297" s="9">
        <v>15.92</v>
      </c>
      <c r="AN297" s="9">
        <v>3.56</v>
      </c>
      <c r="AO297" s="9">
        <v>0.30599999999999999</v>
      </c>
      <c r="AQ297" s="8"/>
    </row>
    <row r="298" spans="1:43" x14ac:dyDescent="0.3">
      <c r="A298">
        <v>54</v>
      </c>
      <c r="B298" t="s">
        <v>1676</v>
      </c>
      <c r="C298">
        <v>19</v>
      </c>
      <c r="D298"/>
      <c r="E298">
        <v>600</v>
      </c>
      <c r="G298" t="s">
        <v>29</v>
      </c>
      <c r="I298"/>
      <c r="J298">
        <v>0.16666666666666666</v>
      </c>
      <c r="K298">
        <v>0.83333333333333337</v>
      </c>
      <c r="L298" t="s">
        <v>172</v>
      </c>
      <c r="N298">
        <v>1</v>
      </c>
      <c r="O298">
        <v>0</v>
      </c>
      <c r="P298">
        <v>30</v>
      </c>
      <c r="Q298">
        <v>7</v>
      </c>
      <c r="R298" t="s">
        <v>102</v>
      </c>
      <c r="T298" s="6">
        <f>10^-(14-Q298)</f>
        <v>9.9999999999999995E-8</v>
      </c>
      <c r="U298" s="6">
        <v>0</v>
      </c>
      <c r="V298" s="6">
        <v>0</v>
      </c>
      <c r="W298" s="6">
        <v>0</v>
      </c>
      <c r="X298" s="6">
        <v>0</v>
      </c>
      <c r="Y298" t="s">
        <v>171</v>
      </c>
      <c r="Z298"/>
      <c r="AA298"/>
      <c r="AB298"/>
      <c r="AC298"/>
      <c r="AD298">
        <v>0.33329999999999999</v>
      </c>
      <c r="AE298">
        <v>16</v>
      </c>
      <c r="AF298">
        <v>1</v>
      </c>
      <c r="AG298" s="9">
        <v>1.7000000000000001E-2</v>
      </c>
      <c r="AH298" s="9">
        <v>12.02</v>
      </c>
      <c r="AI298" s="9">
        <v>0.23</v>
      </c>
      <c r="AL298" s="9">
        <v>18.07</v>
      </c>
      <c r="AM298" s="9">
        <v>14.9</v>
      </c>
      <c r="AN298" s="9">
        <v>2.16</v>
      </c>
      <c r="AO298" s="9">
        <v>0.23499999999999999</v>
      </c>
      <c r="AQ298" s="8"/>
    </row>
    <row r="299" spans="1:43" x14ac:dyDescent="0.3">
      <c r="A299">
        <v>54</v>
      </c>
      <c r="B299" t="s">
        <v>1676</v>
      </c>
      <c r="C299">
        <v>19</v>
      </c>
      <c r="D299"/>
      <c r="E299">
        <v>600</v>
      </c>
      <c r="G299" t="s">
        <v>29</v>
      </c>
      <c r="I299"/>
      <c r="J299">
        <v>0.16666666666666666</v>
      </c>
      <c r="K299">
        <v>0.83333333333333337</v>
      </c>
      <c r="L299" t="s">
        <v>172</v>
      </c>
      <c r="N299">
        <v>1</v>
      </c>
      <c r="O299">
        <v>0</v>
      </c>
      <c r="P299">
        <v>30</v>
      </c>
      <c r="Q299">
        <v>7</v>
      </c>
      <c r="R299" t="s">
        <v>102</v>
      </c>
      <c r="T299" s="6">
        <f>10^-(14-Q299)</f>
        <v>9.9999999999999995E-8</v>
      </c>
      <c r="U299" s="6">
        <v>0</v>
      </c>
      <c r="V299" s="6">
        <v>0</v>
      </c>
      <c r="W299" s="6">
        <v>0</v>
      </c>
      <c r="X299" s="6">
        <v>0</v>
      </c>
      <c r="Y299" t="s">
        <v>171</v>
      </c>
      <c r="Z299"/>
      <c r="AA299"/>
      <c r="AB299"/>
      <c r="AC299"/>
      <c r="AD299">
        <v>0.33329999999999999</v>
      </c>
      <c r="AE299">
        <v>52</v>
      </c>
      <c r="AF299">
        <v>1</v>
      </c>
      <c r="AG299" s="9">
        <v>0.02</v>
      </c>
      <c r="AH299" s="9">
        <v>11.66</v>
      </c>
      <c r="AI299" s="9">
        <v>0.32</v>
      </c>
      <c r="AL299" s="9">
        <v>18.190000000000001</v>
      </c>
      <c r="AM299" s="9">
        <v>24.46</v>
      </c>
      <c r="AN299" s="9">
        <v>2.1800000000000002</v>
      </c>
      <c r="AO299" s="9">
        <v>0.25</v>
      </c>
      <c r="AQ299" s="8"/>
    </row>
    <row r="300" spans="1:43" x14ac:dyDescent="0.3">
      <c r="A300">
        <v>54</v>
      </c>
      <c r="B300" t="s">
        <v>1676</v>
      </c>
      <c r="C300">
        <v>19</v>
      </c>
      <c r="D300"/>
      <c r="E300">
        <v>600</v>
      </c>
      <c r="G300" t="s">
        <v>29</v>
      </c>
      <c r="I300"/>
      <c r="J300">
        <v>0.16666666666666666</v>
      </c>
      <c r="K300">
        <v>0.83333333333333337</v>
      </c>
      <c r="L300" t="s">
        <v>172</v>
      </c>
      <c r="N300">
        <v>1</v>
      </c>
      <c r="O300">
        <v>0</v>
      </c>
      <c r="P300">
        <v>30</v>
      </c>
      <c r="Q300">
        <v>7</v>
      </c>
      <c r="R300" t="s">
        <v>102</v>
      </c>
      <c r="T300" s="6">
        <f>10^-(14-Q300)</f>
        <v>9.9999999999999995E-8</v>
      </c>
      <c r="U300" s="6">
        <v>0</v>
      </c>
      <c r="V300" s="6">
        <v>0</v>
      </c>
      <c r="W300" s="6">
        <v>0</v>
      </c>
      <c r="X300" s="6">
        <v>0</v>
      </c>
      <c r="Y300" t="s">
        <v>171</v>
      </c>
      <c r="Z300"/>
      <c r="AA300"/>
      <c r="AB300"/>
      <c r="AC300"/>
      <c r="AD300">
        <v>0.33329999999999999</v>
      </c>
      <c r="AE300">
        <v>-8</v>
      </c>
      <c r="AF300">
        <v>1</v>
      </c>
      <c r="AG300" s="9">
        <v>0.02</v>
      </c>
      <c r="AH300" s="9">
        <v>21.99</v>
      </c>
      <c r="AI300" s="9">
        <v>0.62</v>
      </c>
      <c r="AL300" s="9">
        <v>18.32</v>
      </c>
      <c r="AM300" s="9">
        <v>26.65</v>
      </c>
      <c r="AN300" s="9">
        <v>6.42</v>
      </c>
      <c r="AO300" s="9">
        <v>0.39600000000000002</v>
      </c>
      <c r="AQ300" s="8"/>
    </row>
    <row r="301" spans="1:43" x14ac:dyDescent="0.3">
      <c r="A301">
        <v>54</v>
      </c>
      <c r="B301" t="s">
        <v>1676</v>
      </c>
      <c r="C301">
        <v>19</v>
      </c>
      <c r="D301"/>
      <c r="E301">
        <v>600</v>
      </c>
      <c r="G301" t="s">
        <v>29</v>
      </c>
      <c r="I301"/>
      <c r="J301">
        <v>0.16666666666666666</v>
      </c>
      <c r="K301">
        <v>0.83333333333333337</v>
      </c>
      <c r="L301" t="s">
        <v>172</v>
      </c>
      <c r="N301">
        <v>1.5</v>
      </c>
      <c r="O301">
        <v>0</v>
      </c>
      <c r="P301">
        <v>50</v>
      </c>
      <c r="Q301">
        <v>0.69</v>
      </c>
      <c r="R301" t="s">
        <v>102</v>
      </c>
      <c r="T301" s="6">
        <f>10^-(14-Q301)</f>
        <v>4.8977881936844408E-14</v>
      </c>
      <c r="U301" s="6">
        <v>0</v>
      </c>
      <c r="V301" s="6">
        <v>0</v>
      </c>
      <c r="W301" s="6">
        <v>0</v>
      </c>
      <c r="X301" s="6">
        <v>0</v>
      </c>
      <c r="Y301" t="s">
        <v>171</v>
      </c>
      <c r="Z301"/>
      <c r="AA301"/>
      <c r="AB301"/>
      <c r="AC301"/>
      <c r="AD301">
        <v>0.33329999999999999</v>
      </c>
      <c r="AE301">
        <v>281</v>
      </c>
      <c r="AF301">
        <v>1</v>
      </c>
      <c r="AG301" s="9">
        <v>1.0999999999999999E-2</v>
      </c>
      <c r="AH301" s="9">
        <v>0</v>
      </c>
      <c r="AI301" s="9">
        <v>0.28999999999999998</v>
      </c>
      <c r="AL301" s="9">
        <v>18.350000000000001</v>
      </c>
      <c r="AM301" s="9">
        <v>25.9</v>
      </c>
      <c r="AN301" s="9">
        <v>6.11</v>
      </c>
      <c r="AO301" s="9">
        <v>0.39</v>
      </c>
      <c r="AQ301" s="8"/>
    </row>
    <row r="302" spans="1:43" x14ac:dyDescent="0.3">
      <c r="A302">
        <v>54</v>
      </c>
      <c r="B302" t="s">
        <v>1676</v>
      </c>
      <c r="C302">
        <v>19</v>
      </c>
      <c r="D302"/>
      <c r="E302">
        <v>600</v>
      </c>
      <c r="G302" t="s">
        <v>29</v>
      </c>
      <c r="I302"/>
      <c r="J302">
        <v>0.16666666666666666</v>
      </c>
      <c r="K302">
        <v>0.83333333333333337</v>
      </c>
      <c r="L302" t="s">
        <v>172</v>
      </c>
      <c r="N302">
        <v>1.5</v>
      </c>
      <c r="O302">
        <v>0</v>
      </c>
      <c r="P302">
        <v>30</v>
      </c>
      <c r="Q302">
        <v>7</v>
      </c>
      <c r="R302" t="s">
        <v>102</v>
      </c>
      <c r="T302" s="6">
        <f>10^-(14-Q302)</f>
        <v>9.9999999999999995E-8</v>
      </c>
      <c r="U302" s="6">
        <v>0</v>
      </c>
      <c r="V302" s="6">
        <v>0</v>
      </c>
      <c r="W302" s="6">
        <v>0</v>
      </c>
      <c r="X302" s="6">
        <v>0</v>
      </c>
      <c r="Y302" t="s">
        <v>171</v>
      </c>
      <c r="Z302"/>
      <c r="AA302"/>
      <c r="AB302"/>
      <c r="AC302"/>
      <c r="AD302">
        <v>0.33329999999999999</v>
      </c>
      <c r="AE302">
        <v>268</v>
      </c>
      <c r="AF302">
        <v>1</v>
      </c>
      <c r="AG302" s="9">
        <v>0.02</v>
      </c>
      <c r="AH302" s="9">
        <v>9.94</v>
      </c>
      <c r="AI302" s="9">
        <v>0.49</v>
      </c>
      <c r="AL302" s="9">
        <v>18.36</v>
      </c>
      <c r="AM302" s="9">
        <v>5.9</v>
      </c>
      <c r="AN302" s="9">
        <v>1.39</v>
      </c>
      <c r="AO302" s="9">
        <v>0.33800000000000002</v>
      </c>
      <c r="AQ302" s="8"/>
    </row>
    <row r="303" spans="1:43" x14ac:dyDescent="0.3">
      <c r="A303">
        <v>54</v>
      </c>
      <c r="B303" t="s">
        <v>1676</v>
      </c>
      <c r="C303">
        <v>19</v>
      </c>
      <c r="D303"/>
      <c r="E303">
        <v>600</v>
      </c>
      <c r="G303" t="s">
        <v>29</v>
      </c>
      <c r="I303"/>
      <c r="J303">
        <v>0.16666666666666666</v>
      </c>
      <c r="K303">
        <v>0.83333333333333337</v>
      </c>
      <c r="L303" t="s">
        <v>172</v>
      </c>
      <c r="N303">
        <v>1</v>
      </c>
      <c r="O303">
        <v>0</v>
      </c>
      <c r="P303">
        <v>30</v>
      </c>
      <c r="Q303">
        <v>7</v>
      </c>
      <c r="R303" t="s">
        <v>102</v>
      </c>
      <c r="T303" s="6">
        <f>10^-(14-Q303)</f>
        <v>9.9999999999999995E-8</v>
      </c>
      <c r="U303" s="6">
        <v>0</v>
      </c>
      <c r="V303" s="6">
        <v>0</v>
      </c>
      <c r="W303" s="6">
        <v>0</v>
      </c>
      <c r="X303" s="6">
        <v>0</v>
      </c>
      <c r="Y303" t="s">
        <v>171</v>
      </c>
      <c r="Z303"/>
      <c r="AA303"/>
      <c r="AB303"/>
      <c r="AC303"/>
      <c r="AD303">
        <v>0.33329999999999999</v>
      </c>
      <c r="AE303">
        <v>605</v>
      </c>
      <c r="AF303">
        <v>1</v>
      </c>
      <c r="AG303" s="9">
        <v>2.7E-2</v>
      </c>
      <c r="AH303" s="9">
        <v>7.52</v>
      </c>
      <c r="AI303" s="9">
        <v>0.24</v>
      </c>
      <c r="AL303" s="9">
        <v>18.41</v>
      </c>
      <c r="AM303" s="9">
        <v>15.08</v>
      </c>
      <c r="AN303" s="9">
        <v>3.72</v>
      </c>
      <c r="AO303" s="9">
        <v>0.371</v>
      </c>
      <c r="AQ303" s="8"/>
    </row>
    <row r="304" spans="1:43" x14ac:dyDescent="0.3">
      <c r="A304">
        <v>54</v>
      </c>
      <c r="B304" t="s">
        <v>1676</v>
      </c>
      <c r="C304">
        <v>19</v>
      </c>
      <c r="D304"/>
      <c r="E304">
        <v>600</v>
      </c>
      <c r="G304" t="s">
        <v>29</v>
      </c>
      <c r="I304"/>
      <c r="J304">
        <v>0.16666666666666666</v>
      </c>
      <c r="K304">
        <v>0.83333333333333337</v>
      </c>
      <c r="L304" t="s">
        <v>172</v>
      </c>
      <c r="N304">
        <v>1.5</v>
      </c>
      <c r="O304">
        <v>0</v>
      </c>
      <c r="P304">
        <v>50</v>
      </c>
      <c r="Q304">
        <v>0.69</v>
      </c>
      <c r="R304" t="s">
        <v>102</v>
      </c>
      <c r="T304" s="6">
        <f>10^-(14-Q304)</f>
        <v>4.8977881936844408E-14</v>
      </c>
      <c r="U304" s="6">
        <v>0</v>
      </c>
      <c r="V304" s="6">
        <v>0</v>
      </c>
      <c r="W304" s="6">
        <v>0</v>
      </c>
      <c r="X304" s="6">
        <v>0</v>
      </c>
      <c r="Y304" t="s">
        <v>171</v>
      </c>
      <c r="Z304"/>
      <c r="AA304"/>
      <c r="AB304"/>
      <c r="AC304"/>
      <c r="AD304">
        <v>0.33329999999999999</v>
      </c>
      <c r="AE304">
        <v>-88</v>
      </c>
      <c r="AF304">
        <v>1</v>
      </c>
      <c r="AG304" s="9">
        <v>2.7E-2</v>
      </c>
      <c r="AH304" s="9">
        <v>7.52</v>
      </c>
      <c r="AI304" s="9">
        <v>0.24</v>
      </c>
      <c r="AL304" s="9">
        <v>18.41</v>
      </c>
      <c r="AM304" s="9">
        <v>15.08</v>
      </c>
      <c r="AN304" s="9">
        <v>3.72</v>
      </c>
      <c r="AO304" s="9">
        <v>0.371</v>
      </c>
      <c r="AQ304" s="8"/>
    </row>
    <row r="305" spans="1:43" x14ac:dyDescent="0.3">
      <c r="A305">
        <v>54</v>
      </c>
      <c r="B305" t="s">
        <v>1676</v>
      </c>
      <c r="C305">
        <v>19</v>
      </c>
      <c r="D305"/>
      <c r="E305">
        <v>600</v>
      </c>
      <c r="G305" t="s">
        <v>29</v>
      </c>
      <c r="I305"/>
      <c r="J305">
        <v>0.16666666666666666</v>
      </c>
      <c r="K305">
        <v>0.83333333333333337</v>
      </c>
      <c r="L305" t="s">
        <v>172</v>
      </c>
      <c r="N305">
        <v>1</v>
      </c>
      <c r="O305">
        <v>0</v>
      </c>
      <c r="P305">
        <v>30</v>
      </c>
      <c r="Q305">
        <v>7</v>
      </c>
      <c r="R305" t="s">
        <v>102</v>
      </c>
      <c r="T305" s="6">
        <f>10^-(14-Q305)</f>
        <v>9.9999999999999995E-8</v>
      </c>
      <c r="U305" s="6">
        <v>0</v>
      </c>
      <c r="V305" s="6">
        <v>0</v>
      </c>
      <c r="W305" s="6">
        <v>0</v>
      </c>
      <c r="X305" s="6">
        <v>0</v>
      </c>
      <c r="Y305" t="s">
        <v>171</v>
      </c>
      <c r="Z305"/>
      <c r="AA305"/>
      <c r="AB305"/>
      <c r="AC305"/>
      <c r="AD305">
        <v>0.33329999999999999</v>
      </c>
      <c r="AE305">
        <v>398</v>
      </c>
      <c r="AF305">
        <v>1</v>
      </c>
      <c r="AG305" s="9">
        <v>0.01</v>
      </c>
      <c r="AH305" s="9">
        <v>2.38</v>
      </c>
      <c r="AI305" s="9">
        <v>0.3</v>
      </c>
      <c r="AL305" s="9">
        <v>18.579999999999998</v>
      </c>
      <c r="AM305" s="9">
        <v>15.78</v>
      </c>
      <c r="AN305" s="9">
        <v>3.84</v>
      </c>
      <c r="AO305" s="9">
        <v>0.31</v>
      </c>
      <c r="AQ305" s="8"/>
    </row>
    <row r="306" spans="1:43" x14ac:dyDescent="0.3">
      <c r="A306">
        <v>54</v>
      </c>
      <c r="B306" t="s">
        <v>1676</v>
      </c>
      <c r="C306">
        <v>19</v>
      </c>
      <c r="D306"/>
      <c r="E306">
        <v>600</v>
      </c>
      <c r="G306" t="s">
        <v>29</v>
      </c>
      <c r="I306"/>
      <c r="J306">
        <v>0.16666666666666666</v>
      </c>
      <c r="K306">
        <v>0.83333333333333337</v>
      </c>
      <c r="L306" t="s">
        <v>172</v>
      </c>
      <c r="N306">
        <v>1.5</v>
      </c>
      <c r="O306">
        <v>0</v>
      </c>
      <c r="P306">
        <v>50</v>
      </c>
      <c r="Q306">
        <v>0.69</v>
      </c>
      <c r="R306" t="s">
        <v>102</v>
      </c>
      <c r="T306" s="6">
        <f>10^-(14-Q306)</f>
        <v>4.8977881936844408E-14</v>
      </c>
      <c r="U306" s="6">
        <v>0</v>
      </c>
      <c r="V306" s="6">
        <v>0</v>
      </c>
      <c r="W306" s="6">
        <v>0</v>
      </c>
      <c r="X306" s="6">
        <v>0</v>
      </c>
      <c r="Y306" t="s">
        <v>171</v>
      </c>
      <c r="Z306"/>
      <c r="AA306"/>
      <c r="AB306"/>
      <c r="AC306"/>
      <c r="AD306">
        <v>0.33329999999999999</v>
      </c>
      <c r="AE306">
        <v>-155</v>
      </c>
      <c r="AF306">
        <v>1</v>
      </c>
      <c r="AG306" s="9">
        <v>0.01</v>
      </c>
      <c r="AH306" s="9">
        <v>2.38</v>
      </c>
      <c r="AI306" s="9">
        <v>0.3</v>
      </c>
      <c r="AL306" s="9">
        <v>18.579999999999998</v>
      </c>
      <c r="AM306" s="9">
        <v>15.78</v>
      </c>
      <c r="AN306" s="9">
        <v>3.84</v>
      </c>
      <c r="AO306" s="9">
        <v>0.31</v>
      </c>
      <c r="AQ306" s="8"/>
    </row>
    <row r="307" spans="1:43" x14ac:dyDescent="0.3">
      <c r="A307">
        <v>54</v>
      </c>
      <c r="B307" t="s">
        <v>1676</v>
      </c>
      <c r="C307">
        <v>19</v>
      </c>
      <c r="D307"/>
      <c r="E307">
        <v>600</v>
      </c>
      <c r="G307" t="s">
        <v>29</v>
      </c>
      <c r="I307"/>
      <c r="J307">
        <v>0.16666666666666666</v>
      </c>
      <c r="K307">
        <v>0.83333333333333337</v>
      </c>
      <c r="L307" t="s">
        <v>172</v>
      </c>
      <c r="N307">
        <v>1</v>
      </c>
      <c r="O307">
        <v>0</v>
      </c>
      <c r="P307">
        <v>30</v>
      </c>
      <c r="Q307">
        <v>7</v>
      </c>
      <c r="R307" t="s">
        <v>102</v>
      </c>
      <c r="T307" s="6">
        <f>10^-(14-Q307)</f>
        <v>9.9999999999999995E-8</v>
      </c>
      <c r="U307" s="6">
        <v>0</v>
      </c>
      <c r="V307" s="6">
        <v>0</v>
      </c>
      <c r="W307" s="6">
        <v>0</v>
      </c>
      <c r="X307" s="6">
        <v>0</v>
      </c>
      <c r="Y307" t="s">
        <v>171</v>
      </c>
      <c r="Z307"/>
      <c r="AA307"/>
      <c r="AB307"/>
      <c r="AC307"/>
      <c r="AD307">
        <v>0.33329999999999999</v>
      </c>
      <c r="AE307">
        <v>249</v>
      </c>
      <c r="AF307">
        <v>1</v>
      </c>
      <c r="AG307" s="9">
        <v>1.6E-2</v>
      </c>
      <c r="AH307" s="9">
        <v>8.74</v>
      </c>
      <c r="AI307" s="9">
        <v>0.27</v>
      </c>
      <c r="AL307" s="9">
        <v>18.600000000000001</v>
      </c>
      <c r="AM307" s="9">
        <v>15.03</v>
      </c>
      <c r="AN307" s="9">
        <v>1.48</v>
      </c>
      <c r="AO307" s="9">
        <v>0.24399999999999999</v>
      </c>
      <c r="AQ307" s="8"/>
    </row>
    <row r="308" spans="1:43" x14ac:dyDescent="0.3">
      <c r="A308">
        <v>54</v>
      </c>
      <c r="B308" t="s">
        <v>1676</v>
      </c>
      <c r="C308">
        <v>19</v>
      </c>
      <c r="D308"/>
      <c r="E308">
        <v>600</v>
      </c>
      <c r="G308" t="s">
        <v>29</v>
      </c>
      <c r="I308"/>
      <c r="J308">
        <v>0.16666666666666666</v>
      </c>
      <c r="K308">
        <v>0.83333333333333337</v>
      </c>
      <c r="L308" t="s">
        <v>172</v>
      </c>
      <c r="N308">
        <v>1.5</v>
      </c>
      <c r="O308">
        <v>0</v>
      </c>
      <c r="P308">
        <v>50</v>
      </c>
      <c r="Q308">
        <v>0.69</v>
      </c>
      <c r="R308" t="s">
        <v>102</v>
      </c>
      <c r="T308" s="6">
        <f>10^-(14-Q308)</f>
        <v>4.8977881936844408E-14</v>
      </c>
      <c r="U308" s="6">
        <v>0</v>
      </c>
      <c r="V308" s="6">
        <v>0</v>
      </c>
      <c r="W308" s="6">
        <v>0</v>
      </c>
      <c r="X308" s="6">
        <v>0</v>
      </c>
      <c r="Y308" t="s">
        <v>171</v>
      </c>
      <c r="Z308"/>
      <c r="AA308"/>
      <c r="AB308"/>
      <c r="AC308"/>
      <c r="AD308">
        <v>0.33329999999999999</v>
      </c>
      <c r="AE308">
        <v>-152</v>
      </c>
      <c r="AF308">
        <v>1</v>
      </c>
      <c r="AG308" s="9">
        <v>1.6E-2</v>
      </c>
      <c r="AH308" s="9">
        <v>8.74</v>
      </c>
      <c r="AI308" s="9">
        <v>0.27</v>
      </c>
      <c r="AL308" s="9">
        <v>18.600000000000001</v>
      </c>
      <c r="AM308" s="9">
        <v>15.03</v>
      </c>
      <c r="AN308" s="9">
        <v>1.48</v>
      </c>
      <c r="AO308" s="9">
        <v>0.24399999999999999</v>
      </c>
      <c r="AQ308" s="8"/>
    </row>
    <row r="309" spans="1:43" x14ac:dyDescent="0.3">
      <c r="A309">
        <v>54</v>
      </c>
      <c r="B309" t="s">
        <v>1676</v>
      </c>
      <c r="C309">
        <v>19</v>
      </c>
      <c r="D309"/>
      <c r="E309">
        <v>600</v>
      </c>
      <c r="G309" t="s">
        <v>29</v>
      </c>
      <c r="I309"/>
      <c r="J309">
        <v>0.16666666666666666</v>
      </c>
      <c r="K309">
        <v>0.83333333333333337</v>
      </c>
      <c r="L309" t="s">
        <v>172</v>
      </c>
      <c r="N309">
        <v>1</v>
      </c>
      <c r="O309">
        <v>0</v>
      </c>
      <c r="P309">
        <v>30</v>
      </c>
      <c r="Q309">
        <v>7</v>
      </c>
      <c r="R309" t="s">
        <v>102</v>
      </c>
      <c r="T309" s="6">
        <f>10^-(14-Q309)</f>
        <v>9.9999999999999995E-8</v>
      </c>
      <c r="U309" s="6">
        <v>0</v>
      </c>
      <c r="V309" s="6">
        <v>0</v>
      </c>
      <c r="W309" s="6">
        <v>0</v>
      </c>
      <c r="X309" s="6">
        <v>0</v>
      </c>
      <c r="Y309" t="s">
        <v>171</v>
      </c>
      <c r="Z309"/>
      <c r="AA309"/>
      <c r="AB309"/>
      <c r="AC309"/>
      <c r="AD309">
        <v>0.33329999999999999</v>
      </c>
      <c r="AE309">
        <v>2</v>
      </c>
      <c r="AF309">
        <v>1</v>
      </c>
      <c r="AG309" s="9">
        <v>0.02</v>
      </c>
      <c r="AH309" s="9">
        <v>16.649999999999999</v>
      </c>
      <c r="AI309" s="9">
        <v>0.33</v>
      </c>
      <c r="AL309" s="9">
        <v>18.71</v>
      </c>
      <c r="AM309" s="9">
        <v>14.67</v>
      </c>
      <c r="AN309" s="9">
        <v>1.85</v>
      </c>
      <c r="AO309" s="9">
        <v>0.30399999999999999</v>
      </c>
      <c r="AQ309" s="8"/>
    </row>
    <row r="310" spans="1:43" x14ac:dyDescent="0.3">
      <c r="A310">
        <v>54</v>
      </c>
      <c r="B310" t="s">
        <v>1676</v>
      </c>
      <c r="C310">
        <v>19</v>
      </c>
      <c r="D310"/>
      <c r="E310">
        <v>600</v>
      </c>
      <c r="G310" t="s">
        <v>29</v>
      </c>
      <c r="I310"/>
      <c r="J310">
        <v>0.16666666666666666</v>
      </c>
      <c r="K310">
        <v>0.83333333333333337</v>
      </c>
      <c r="L310" t="s">
        <v>172</v>
      </c>
      <c r="N310">
        <v>1</v>
      </c>
      <c r="O310">
        <v>0</v>
      </c>
      <c r="P310">
        <v>30</v>
      </c>
      <c r="Q310">
        <v>7</v>
      </c>
      <c r="R310" t="s">
        <v>102</v>
      </c>
      <c r="T310" s="6">
        <f>10^-(14-Q310)</f>
        <v>9.9999999999999995E-8</v>
      </c>
      <c r="U310" s="6">
        <v>0</v>
      </c>
      <c r="V310" s="6">
        <v>0</v>
      </c>
      <c r="W310" s="6">
        <v>0</v>
      </c>
      <c r="X310" s="6">
        <v>0</v>
      </c>
      <c r="Y310" t="s">
        <v>171</v>
      </c>
      <c r="Z310"/>
      <c r="AA310"/>
      <c r="AB310"/>
      <c r="AC310"/>
      <c r="AD310">
        <v>0.33329999999999999</v>
      </c>
      <c r="AE310">
        <v>456</v>
      </c>
      <c r="AF310">
        <v>1</v>
      </c>
      <c r="AG310" s="9">
        <v>1.2999999999999999E-2</v>
      </c>
      <c r="AH310" s="9">
        <v>4.66</v>
      </c>
      <c r="AI310" s="9">
        <v>0.44</v>
      </c>
      <c r="AL310" s="9">
        <v>18.75</v>
      </c>
      <c r="AM310" s="9">
        <v>24.68</v>
      </c>
      <c r="AN310" s="9">
        <v>5.72</v>
      </c>
      <c r="AO310" s="9">
        <v>6.0999999999999999E-2</v>
      </c>
      <c r="AQ310" s="8"/>
    </row>
    <row r="311" spans="1:43" x14ac:dyDescent="0.3">
      <c r="A311">
        <v>54</v>
      </c>
      <c r="B311" t="s">
        <v>1676</v>
      </c>
      <c r="C311">
        <v>19</v>
      </c>
      <c r="D311"/>
      <c r="E311">
        <v>600</v>
      </c>
      <c r="G311" t="s">
        <v>29</v>
      </c>
      <c r="I311"/>
      <c r="J311">
        <v>0.16666666666666666</v>
      </c>
      <c r="K311">
        <v>0.83333333333333337</v>
      </c>
      <c r="L311" t="s">
        <v>172</v>
      </c>
      <c r="N311">
        <v>1.5</v>
      </c>
      <c r="O311">
        <v>0</v>
      </c>
      <c r="P311">
        <v>50</v>
      </c>
      <c r="Q311">
        <v>0.69</v>
      </c>
      <c r="R311" t="s">
        <v>102</v>
      </c>
      <c r="T311" s="6">
        <f>10^-(14-Q311)</f>
        <v>4.8977881936844408E-14</v>
      </c>
      <c r="U311" s="6">
        <v>0</v>
      </c>
      <c r="V311" s="6">
        <v>0</v>
      </c>
      <c r="W311" s="6">
        <v>0</v>
      </c>
      <c r="X311" s="6">
        <v>0</v>
      </c>
      <c r="Y311" t="s">
        <v>171</v>
      </c>
      <c r="Z311"/>
      <c r="AA311"/>
      <c r="AB311"/>
      <c r="AC311"/>
      <c r="AD311">
        <v>0.33329999999999999</v>
      </c>
      <c r="AE311">
        <v>149</v>
      </c>
      <c r="AF311">
        <v>1</v>
      </c>
      <c r="AG311" s="9">
        <v>1.2999999999999999E-2</v>
      </c>
      <c r="AH311" s="9">
        <v>4.66</v>
      </c>
      <c r="AI311" s="9">
        <v>0.44</v>
      </c>
      <c r="AL311" s="9">
        <v>18.75</v>
      </c>
      <c r="AM311" s="9">
        <v>24.68</v>
      </c>
      <c r="AN311" s="9">
        <v>5.72</v>
      </c>
      <c r="AO311" s="9">
        <v>6.0999999999999999E-2</v>
      </c>
      <c r="AQ311" s="8"/>
    </row>
    <row r="312" spans="1:43" x14ac:dyDescent="0.3">
      <c r="A312">
        <v>54</v>
      </c>
      <c r="B312" t="s">
        <v>1676</v>
      </c>
      <c r="C312">
        <v>19</v>
      </c>
      <c r="D312"/>
      <c r="E312">
        <v>600</v>
      </c>
      <c r="G312" t="s">
        <v>29</v>
      </c>
      <c r="I312"/>
      <c r="J312">
        <v>0.16666666666666666</v>
      </c>
      <c r="K312">
        <v>0.83333333333333337</v>
      </c>
      <c r="L312" t="s">
        <v>172</v>
      </c>
      <c r="N312">
        <v>1</v>
      </c>
      <c r="O312">
        <v>0</v>
      </c>
      <c r="P312">
        <v>30</v>
      </c>
      <c r="Q312">
        <v>7</v>
      </c>
      <c r="R312" t="s">
        <v>102</v>
      </c>
      <c r="T312" s="6">
        <f>10^-(14-Q312)</f>
        <v>9.9999999999999995E-8</v>
      </c>
      <c r="U312" s="6">
        <v>0</v>
      </c>
      <c r="V312" s="6">
        <v>0</v>
      </c>
      <c r="W312" s="6">
        <v>0</v>
      </c>
      <c r="X312" s="6">
        <v>0</v>
      </c>
      <c r="Y312" t="s">
        <v>171</v>
      </c>
      <c r="Z312"/>
      <c r="AA312"/>
      <c r="AB312"/>
      <c r="AC312"/>
      <c r="AD312">
        <v>0.33329999999999999</v>
      </c>
      <c r="AE312">
        <v>29</v>
      </c>
      <c r="AF312">
        <v>1</v>
      </c>
      <c r="AG312" s="9">
        <v>8.0000000000000002E-3</v>
      </c>
      <c r="AH312" s="9">
        <v>3.47</v>
      </c>
      <c r="AI312" s="9">
        <v>0.5</v>
      </c>
      <c r="AL312" s="9">
        <v>18.8</v>
      </c>
      <c r="AM312" s="9">
        <v>6</v>
      </c>
      <c r="AN312" s="9">
        <v>1.01</v>
      </c>
      <c r="AO312" s="9">
        <v>8.7999999999999995E-2</v>
      </c>
      <c r="AQ312" s="8"/>
    </row>
    <row r="313" spans="1:43" x14ac:dyDescent="0.3">
      <c r="A313">
        <v>54</v>
      </c>
      <c r="B313" t="s">
        <v>1676</v>
      </c>
      <c r="C313">
        <v>19</v>
      </c>
      <c r="D313"/>
      <c r="E313">
        <v>600</v>
      </c>
      <c r="G313" t="s">
        <v>29</v>
      </c>
      <c r="I313"/>
      <c r="J313">
        <v>0.16666666666666666</v>
      </c>
      <c r="K313">
        <v>0.83333333333333337</v>
      </c>
      <c r="L313" t="s">
        <v>172</v>
      </c>
      <c r="N313">
        <v>1</v>
      </c>
      <c r="O313">
        <v>0</v>
      </c>
      <c r="P313">
        <v>30</v>
      </c>
      <c r="Q313">
        <v>7</v>
      </c>
      <c r="R313" t="s">
        <v>102</v>
      </c>
      <c r="T313" s="6">
        <f>10^-(14-Q313)</f>
        <v>9.9999999999999995E-8</v>
      </c>
      <c r="U313" s="6">
        <v>0</v>
      </c>
      <c r="V313" s="6">
        <v>0</v>
      </c>
      <c r="W313" s="6">
        <v>0</v>
      </c>
      <c r="X313" s="6">
        <v>0</v>
      </c>
      <c r="Y313" t="s">
        <v>171</v>
      </c>
      <c r="Z313"/>
      <c r="AA313"/>
      <c r="AB313"/>
      <c r="AC313"/>
      <c r="AD313">
        <v>0.33329999999999999</v>
      </c>
      <c r="AE313">
        <v>93</v>
      </c>
      <c r="AF313">
        <v>1</v>
      </c>
      <c r="AG313" s="9">
        <v>0.03</v>
      </c>
      <c r="AH313" s="9">
        <v>3.5</v>
      </c>
      <c r="AI313" s="9">
        <v>0.5</v>
      </c>
      <c r="AL313" s="9">
        <v>18.8</v>
      </c>
      <c r="AM313" s="9">
        <v>6</v>
      </c>
      <c r="AN313" s="9">
        <v>1.98</v>
      </c>
      <c r="AO313" s="9">
        <v>6.3E-2</v>
      </c>
      <c r="AQ313" s="8"/>
    </row>
    <row r="314" spans="1:43" x14ac:dyDescent="0.3">
      <c r="A314">
        <v>54</v>
      </c>
      <c r="B314" t="s">
        <v>1676</v>
      </c>
      <c r="C314">
        <v>19</v>
      </c>
      <c r="D314"/>
      <c r="E314">
        <v>600</v>
      </c>
      <c r="G314" t="s">
        <v>29</v>
      </c>
      <c r="I314"/>
      <c r="J314">
        <v>0.16666666666666666</v>
      </c>
      <c r="K314">
        <v>0.83333333333333337</v>
      </c>
      <c r="L314" t="s">
        <v>172</v>
      </c>
      <c r="N314">
        <v>1</v>
      </c>
      <c r="O314">
        <v>0</v>
      </c>
      <c r="P314">
        <v>30</v>
      </c>
      <c r="Q314">
        <v>7</v>
      </c>
      <c r="R314" t="s">
        <v>102</v>
      </c>
      <c r="T314" s="6">
        <f>10^-(14-Q314)</f>
        <v>9.9999999999999995E-8</v>
      </c>
      <c r="U314" s="6">
        <v>0</v>
      </c>
      <c r="V314" s="6">
        <v>0</v>
      </c>
      <c r="W314" s="6">
        <v>0</v>
      </c>
      <c r="X314" s="6">
        <v>0</v>
      </c>
      <c r="Y314" t="s">
        <v>171</v>
      </c>
      <c r="Z314"/>
      <c r="AA314"/>
      <c r="AB314"/>
      <c r="AC314"/>
      <c r="AD314">
        <v>0.33329999999999999</v>
      </c>
      <c r="AE314">
        <v>267</v>
      </c>
      <c r="AF314">
        <v>1</v>
      </c>
      <c r="AG314" s="9">
        <v>5.0000000000000001E-3</v>
      </c>
      <c r="AH314" s="9">
        <v>3.41</v>
      </c>
      <c r="AI314" s="9">
        <v>0.42</v>
      </c>
      <c r="AL314" s="9">
        <v>18.8</v>
      </c>
      <c r="AM314" s="9">
        <v>6.1</v>
      </c>
      <c r="AN314" s="9">
        <v>1.01</v>
      </c>
      <c r="AO314" s="9">
        <v>0.22800000000000001</v>
      </c>
      <c r="AQ314" s="8"/>
    </row>
    <row r="315" spans="1:43" x14ac:dyDescent="0.3">
      <c r="A315">
        <v>54</v>
      </c>
      <c r="B315" t="s">
        <v>1676</v>
      </c>
      <c r="C315">
        <v>19</v>
      </c>
      <c r="D315"/>
      <c r="E315">
        <v>600</v>
      </c>
      <c r="G315" t="s">
        <v>29</v>
      </c>
      <c r="I315"/>
      <c r="J315">
        <v>0.16666666666666666</v>
      </c>
      <c r="K315">
        <v>0.83333333333333337</v>
      </c>
      <c r="L315" t="s">
        <v>172</v>
      </c>
      <c r="N315">
        <v>1</v>
      </c>
      <c r="O315">
        <v>0</v>
      </c>
      <c r="P315">
        <v>30</v>
      </c>
      <c r="Q315">
        <v>7</v>
      </c>
      <c r="R315" t="s">
        <v>102</v>
      </c>
      <c r="T315" s="6">
        <f>10^-(14-Q315)</f>
        <v>9.9999999999999995E-8</v>
      </c>
      <c r="U315" s="6">
        <v>0</v>
      </c>
      <c r="V315" s="6">
        <v>0</v>
      </c>
      <c r="W315" s="6">
        <v>0</v>
      </c>
      <c r="X315" s="6">
        <v>0</v>
      </c>
      <c r="Y315" t="s">
        <v>171</v>
      </c>
      <c r="Z315"/>
      <c r="AA315"/>
      <c r="AB315"/>
      <c r="AC315"/>
      <c r="AD315">
        <v>0.33329999999999999</v>
      </c>
      <c r="AE315">
        <v>325</v>
      </c>
      <c r="AF315">
        <v>1</v>
      </c>
      <c r="AG315" s="9">
        <v>3.0000000000000001E-3</v>
      </c>
      <c r="AH315" s="9">
        <v>2.94</v>
      </c>
      <c r="AI315" s="9">
        <v>0.5</v>
      </c>
      <c r="AL315" s="9">
        <v>18.8</v>
      </c>
      <c r="AM315" s="9">
        <v>6</v>
      </c>
      <c r="AN315" s="9">
        <v>2.09</v>
      </c>
      <c r="AO315" s="9">
        <v>0.189</v>
      </c>
      <c r="AQ315" s="8"/>
    </row>
    <row r="316" spans="1:43" x14ac:dyDescent="0.3">
      <c r="A316">
        <v>54</v>
      </c>
      <c r="B316" t="s">
        <v>1676</v>
      </c>
      <c r="C316">
        <v>19</v>
      </c>
      <c r="D316"/>
      <c r="E316">
        <v>600</v>
      </c>
      <c r="G316" t="s">
        <v>29</v>
      </c>
      <c r="I316"/>
      <c r="J316">
        <v>0.16666666666666666</v>
      </c>
      <c r="K316">
        <v>0.83333333333333337</v>
      </c>
      <c r="L316" t="s">
        <v>172</v>
      </c>
      <c r="N316">
        <v>1</v>
      </c>
      <c r="O316">
        <v>0</v>
      </c>
      <c r="P316">
        <v>30</v>
      </c>
      <c r="Q316">
        <v>7</v>
      </c>
      <c r="R316" t="s">
        <v>102</v>
      </c>
      <c r="T316" s="6">
        <f>10^-(14-Q316)</f>
        <v>9.9999999999999995E-8</v>
      </c>
      <c r="U316" s="6">
        <v>0</v>
      </c>
      <c r="V316" s="6">
        <v>0</v>
      </c>
      <c r="W316" s="6">
        <v>0</v>
      </c>
      <c r="X316" s="6">
        <v>0</v>
      </c>
      <c r="Y316" t="s">
        <v>171</v>
      </c>
      <c r="Z316"/>
      <c r="AA316"/>
      <c r="AB316"/>
      <c r="AC316"/>
      <c r="AD316">
        <v>0.33329999999999999</v>
      </c>
      <c r="AE316">
        <v>405</v>
      </c>
      <c r="AF316">
        <v>1</v>
      </c>
      <c r="AG316" s="9">
        <v>0.03</v>
      </c>
      <c r="AH316" s="9">
        <v>5.39</v>
      </c>
      <c r="AI316" s="9">
        <v>0.56999999999999995</v>
      </c>
      <c r="AL316" s="9">
        <v>18.8</v>
      </c>
      <c r="AM316" s="9">
        <v>6.47</v>
      </c>
      <c r="AN316" s="9">
        <v>1.02</v>
      </c>
      <c r="AO316" s="9">
        <v>0.318</v>
      </c>
      <c r="AQ316" s="8"/>
    </row>
    <row r="317" spans="1:43" x14ac:dyDescent="0.3">
      <c r="A317">
        <v>54</v>
      </c>
      <c r="B317" t="s">
        <v>1676</v>
      </c>
      <c r="C317">
        <v>19</v>
      </c>
      <c r="D317"/>
      <c r="E317">
        <v>600</v>
      </c>
      <c r="G317" t="s">
        <v>29</v>
      </c>
      <c r="I317"/>
      <c r="J317">
        <v>0.16666666666666666</v>
      </c>
      <c r="K317">
        <v>0.83333333333333337</v>
      </c>
      <c r="L317" t="s">
        <v>172</v>
      </c>
      <c r="N317">
        <v>1</v>
      </c>
      <c r="O317">
        <v>0</v>
      </c>
      <c r="P317">
        <v>30</v>
      </c>
      <c r="Q317">
        <v>7</v>
      </c>
      <c r="R317" t="s">
        <v>102</v>
      </c>
      <c r="T317" s="6">
        <f>10^-(14-Q317)</f>
        <v>9.9999999999999995E-8</v>
      </c>
      <c r="U317" s="6">
        <v>0</v>
      </c>
      <c r="V317" s="6">
        <v>0</v>
      </c>
      <c r="W317" s="6">
        <v>0</v>
      </c>
      <c r="X317" s="6">
        <v>0</v>
      </c>
      <c r="Y317" t="s">
        <v>171</v>
      </c>
      <c r="Z317"/>
      <c r="AA317"/>
      <c r="AB317"/>
      <c r="AC317"/>
      <c r="AD317">
        <v>0.33329999999999999</v>
      </c>
      <c r="AE317">
        <v>404</v>
      </c>
      <c r="AF317">
        <v>1</v>
      </c>
      <c r="AG317" s="9">
        <v>0.03</v>
      </c>
      <c r="AH317" s="9">
        <v>4.28</v>
      </c>
      <c r="AI317" s="9">
        <v>0.62</v>
      </c>
      <c r="AL317" s="9">
        <v>18.8</v>
      </c>
      <c r="AM317" s="9">
        <v>6.18</v>
      </c>
      <c r="AN317" s="9">
        <v>2.13</v>
      </c>
      <c r="AO317" s="9">
        <v>0.26800000000000002</v>
      </c>
      <c r="AQ317" s="8"/>
    </row>
    <row r="318" spans="1:43" x14ac:dyDescent="0.3">
      <c r="A318">
        <v>54</v>
      </c>
      <c r="B318" t="s">
        <v>1676</v>
      </c>
      <c r="C318">
        <v>19</v>
      </c>
      <c r="D318"/>
      <c r="E318">
        <v>600</v>
      </c>
      <c r="G318" t="s">
        <v>29</v>
      </c>
      <c r="I318"/>
      <c r="J318">
        <v>0.16666666666666666</v>
      </c>
      <c r="K318">
        <v>0.83333333333333337</v>
      </c>
      <c r="L318" t="s">
        <v>172</v>
      </c>
      <c r="N318">
        <v>1</v>
      </c>
      <c r="O318">
        <v>0</v>
      </c>
      <c r="P318">
        <v>30</v>
      </c>
      <c r="Q318">
        <v>7</v>
      </c>
      <c r="R318" t="s">
        <v>102</v>
      </c>
      <c r="T318" s="6">
        <f>10^-(14-Q318)</f>
        <v>9.9999999999999995E-8</v>
      </c>
      <c r="U318" s="6">
        <v>0</v>
      </c>
      <c r="V318" s="6">
        <v>0</v>
      </c>
      <c r="W318" s="6">
        <v>0</v>
      </c>
      <c r="X318" s="6">
        <v>0</v>
      </c>
      <c r="Y318" t="s">
        <v>171</v>
      </c>
      <c r="Z318"/>
      <c r="AA318"/>
      <c r="AB318"/>
      <c r="AC318"/>
      <c r="AD318">
        <v>0.33329999999999999</v>
      </c>
      <c r="AE318">
        <v>105</v>
      </c>
      <c r="AF318">
        <v>1</v>
      </c>
      <c r="AG318" s="9">
        <v>0.03</v>
      </c>
      <c r="AH318" s="9">
        <v>3.5</v>
      </c>
      <c r="AI318" s="9">
        <v>0.5</v>
      </c>
      <c r="AL318" s="9">
        <v>18.8</v>
      </c>
      <c r="AM318" s="9">
        <v>15.83</v>
      </c>
      <c r="AN318" s="9">
        <v>2.0099999999999998</v>
      </c>
      <c r="AO318" s="9">
        <v>4.2999999999999997E-2</v>
      </c>
      <c r="AQ318" s="8"/>
    </row>
    <row r="319" spans="1:43" x14ac:dyDescent="0.3">
      <c r="A319">
        <v>54</v>
      </c>
      <c r="B319" t="s">
        <v>1676</v>
      </c>
      <c r="C319">
        <v>19</v>
      </c>
      <c r="D319"/>
      <c r="E319">
        <v>600</v>
      </c>
      <c r="G319" t="s">
        <v>29</v>
      </c>
      <c r="I319"/>
      <c r="J319">
        <v>0.16666666666666666</v>
      </c>
      <c r="K319">
        <v>0.83333333333333337</v>
      </c>
      <c r="L319" t="s">
        <v>172</v>
      </c>
      <c r="N319">
        <v>1</v>
      </c>
      <c r="O319">
        <v>0</v>
      </c>
      <c r="P319">
        <v>30</v>
      </c>
      <c r="Q319">
        <v>7</v>
      </c>
      <c r="R319" t="s">
        <v>102</v>
      </c>
      <c r="T319" s="6">
        <f>10^-(14-Q319)</f>
        <v>9.9999999999999995E-8</v>
      </c>
      <c r="U319" s="6">
        <v>0</v>
      </c>
      <c r="V319" s="6">
        <v>0</v>
      </c>
      <c r="W319" s="6">
        <v>0</v>
      </c>
      <c r="X319" s="6">
        <v>0</v>
      </c>
      <c r="Y319" t="s">
        <v>171</v>
      </c>
      <c r="Z319"/>
      <c r="AA319"/>
      <c r="AB319"/>
      <c r="AC319"/>
      <c r="AD319">
        <v>0.33329999999999999</v>
      </c>
      <c r="AE319">
        <v>112</v>
      </c>
      <c r="AF319">
        <v>1</v>
      </c>
      <c r="AG319" s="9">
        <v>0.03</v>
      </c>
      <c r="AH319" s="9">
        <v>3.7</v>
      </c>
      <c r="AI319" s="9">
        <v>0.33</v>
      </c>
      <c r="AL319" s="9">
        <v>18.8</v>
      </c>
      <c r="AM319" s="9">
        <v>14.53</v>
      </c>
      <c r="AN319" s="9">
        <v>4.0199999999999996</v>
      </c>
      <c r="AO319" s="9">
        <v>3.9E-2</v>
      </c>
      <c r="AQ319" s="8"/>
    </row>
    <row r="320" spans="1:43" x14ac:dyDescent="0.3">
      <c r="A320">
        <v>54</v>
      </c>
      <c r="B320" t="s">
        <v>1676</v>
      </c>
      <c r="C320">
        <v>19</v>
      </c>
      <c r="D320"/>
      <c r="E320">
        <v>600</v>
      </c>
      <c r="G320" t="s">
        <v>29</v>
      </c>
      <c r="I320"/>
      <c r="J320">
        <v>0.16666666666666666</v>
      </c>
      <c r="K320">
        <v>0.83333333333333337</v>
      </c>
      <c r="L320" t="s">
        <v>172</v>
      </c>
      <c r="N320">
        <v>1</v>
      </c>
      <c r="O320">
        <v>0</v>
      </c>
      <c r="P320">
        <v>30</v>
      </c>
      <c r="Q320">
        <v>7</v>
      </c>
      <c r="R320" t="s">
        <v>102</v>
      </c>
      <c r="T320" s="6">
        <f>10^-(14-Q320)</f>
        <v>9.9999999999999995E-8</v>
      </c>
      <c r="U320" s="6">
        <v>0</v>
      </c>
      <c r="V320" s="6">
        <v>0</v>
      </c>
      <c r="W320" s="6">
        <v>0</v>
      </c>
      <c r="X320" s="6">
        <v>0</v>
      </c>
      <c r="Y320" t="s">
        <v>171</v>
      </c>
      <c r="Z320"/>
      <c r="AA320"/>
      <c r="AB320"/>
      <c r="AC320"/>
      <c r="AD320">
        <v>0.33329999999999999</v>
      </c>
      <c r="AE320">
        <v>198</v>
      </c>
      <c r="AF320">
        <v>1</v>
      </c>
      <c r="AG320" s="9">
        <v>0.03</v>
      </c>
      <c r="AH320" s="9">
        <v>3.15</v>
      </c>
      <c r="AI320" s="9">
        <v>0.77</v>
      </c>
      <c r="AL320" s="9">
        <v>18.8</v>
      </c>
      <c r="AM320" s="9">
        <v>26.42</v>
      </c>
      <c r="AN320" s="9">
        <v>2.5099999999999998</v>
      </c>
      <c r="AO320" s="9">
        <v>0.06</v>
      </c>
      <c r="AQ320" s="8"/>
    </row>
    <row r="321" spans="1:43" x14ac:dyDescent="0.3">
      <c r="A321">
        <v>54</v>
      </c>
      <c r="B321" t="s">
        <v>1676</v>
      </c>
      <c r="C321">
        <v>19</v>
      </c>
      <c r="D321"/>
      <c r="E321">
        <v>600</v>
      </c>
      <c r="G321" t="s">
        <v>29</v>
      </c>
      <c r="I321"/>
      <c r="J321">
        <v>0.16666666666666666</v>
      </c>
      <c r="K321">
        <v>0.83333333333333337</v>
      </c>
      <c r="L321" t="s">
        <v>172</v>
      </c>
      <c r="N321">
        <v>1</v>
      </c>
      <c r="O321">
        <v>0</v>
      </c>
      <c r="P321">
        <v>30</v>
      </c>
      <c r="Q321">
        <v>7</v>
      </c>
      <c r="R321" t="s">
        <v>102</v>
      </c>
      <c r="T321" s="6">
        <f>10^-(14-Q321)</f>
        <v>9.9999999999999995E-8</v>
      </c>
      <c r="U321" s="6">
        <v>0</v>
      </c>
      <c r="V321" s="6">
        <v>0</v>
      </c>
      <c r="W321" s="6">
        <v>0</v>
      </c>
      <c r="X321" s="6">
        <v>0</v>
      </c>
      <c r="Y321" t="s">
        <v>171</v>
      </c>
      <c r="Z321"/>
      <c r="AA321"/>
      <c r="AB321"/>
      <c r="AC321"/>
      <c r="AD321">
        <v>0.33329999999999999</v>
      </c>
      <c r="AE321">
        <v>74</v>
      </c>
      <c r="AF321">
        <v>1</v>
      </c>
      <c r="AG321" s="9">
        <v>0.02</v>
      </c>
      <c r="AH321" s="9">
        <v>22.46</v>
      </c>
      <c r="AI321" s="9">
        <v>0.31</v>
      </c>
      <c r="AL321" s="9">
        <v>18.8</v>
      </c>
      <c r="AM321" s="9">
        <v>25.21</v>
      </c>
      <c r="AN321" s="9">
        <v>2.2999999999999998</v>
      </c>
      <c r="AO321" s="9">
        <v>0.34899999999999998</v>
      </c>
      <c r="AQ321" s="8"/>
    </row>
    <row r="322" spans="1:43" x14ac:dyDescent="0.3">
      <c r="A322">
        <v>54</v>
      </c>
      <c r="B322" t="s">
        <v>1676</v>
      </c>
      <c r="C322">
        <v>19</v>
      </c>
      <c r="D322"/>
      <c r="E322">
        <v>600</v>
      </c>
      <c r="G322" t="s">
        <v>29</v>
      </c>
      <c r="I322"/>
      <c r="J322">
        <v>0.16666666666666666</v>
      </c>
      <c r="K322">
        <v>0.83333333333333337</v>
      </c>
      <c r="L322" t="s">
        <v>172</v>
      </c>
      <c r="N322">
        <v>1</v>
      </c>
      <c r="O322">
        <v>0</v>
      </c>
      <c r="P322">
        <v>30</v>
      </c>
      <c r="Q322">
        <v>7</v>
      </c>
      <c r="R322" t="s">
        <v>102</v>
      </c>
      <c r="T322" s="6">
        <f>10^-(14-Q322)</f>
        <v>9.9999999999999995E-8</v>
      </c>
      <c r="U322" s="6">
        <v>0</v>
      </c>
      <c r="V322" s="6">
        <v>0</v>
      </c>
      <c r="W322" s="6">
        <v>0</v>
      </c>
      <c r="X322" s="6">
        <v>0</v>
      </c>
      <c r="Y322" t="s">
        <v>171</v>
      </c>
      <c r="Z322"/>
      <c r="AA322"/>
      <c r="AB322"/>
      <c r="AC322"/>
      <c r="AD322">
        <v>0.33329999999999999</v>
      </c>
      <c r="AE322">
        <v>317</v>
      </c>
      <c r="AF322">
        <v>1</v>
      </c>
      <c r="AG322" s="9">
        <v>2.3E-2</v>
      </c>
      <c r="AH322" s="9">
        <v>4.4400000000000004</v>
      </c>
      <c r="AI322" s="9">
        <v>0.45</v>
      </c>
      <c r="AL322" s="9">
        <v>18.829999999999998</v>
      </c>
      <c r="AM322" s="9">
        <v>6.5</v>
      </c>
      <c r="AN322" s="9">
        <v>1.02</v>
      </c>
      <c r="AO322" s="9">
        <v>0.216</v>
      </c>
      <c r="AQ322" s="8"/>
    </row>
    <row r="323" spans="1:43" x14ac:dyDescent="0.3">
      <c r="A323">
        <v>54</v>
      </c>
      <c r="B323" t="s">
        <v>1676</v>
      </c>
      <c r="C323">
        <v>19</v>
      </c>
      <c r="D323"/>
      <c r="E323">
        <v>600</v>
      </c>
      <c r="G323" t="s">
        <v>29</v>
      </c>
      <c r="I323"/>
      <c r="J323">
        <v>0.16666666666666666</v>
      </c>
      <c r="K323">
        <v>0.83333333333333337</v>
      </c>
      <c r="L323" t="s">
        <v>172</v>
      </c>
      <c r="N323">
        <v>1</v>
      </c>
      <c r="O323">
        <v>0</v>
      </c>
      <c r="P323">
        <v>30</v>
      </c>
      <c r="Q323">
        <v>7</v>
      </c>
      <c r="R323" t="s">
        <v>102</v>
      </c>
      <c r="T323" s="6">
        <f>10^-(14-Q323)</f>
        <v>9.9999999999999995E-8</v>
      </c>
      <c r="U323" s="6">
        <v>0</v>
      </c>
      <c r="V323" s="6">
        <v>0</v>
      </c>
      <c r="W323" s="6">
        <v>0</v>
      </c>
      <c r="X323" s="6">
        <v>0</v>
      </c>
      <c r="Y323" t="s">
        <v>171</v>
      </c>
      <c r="Z323"/>
      <c r="AA323"/>
      <c r="AB323"/>
      <c r="AC323"/>
      <c r="AD323">
        <v>0.33329999999999999</v>
      </c>
      <c r="AE323">
        <v>165</v>
      </c>
      <c r="AF323">
        <v>1</v>
      </c>
      <c r="AG323" s="9">
        <v>0.02</v>
      </c>
      <c r="AH323" s="9">
        <v>20.399999999999999</v>
      </c>
      <c r="AI323" s="9">
        <v>0.48</v>
      </c>
      <c r="AL323" s="9">
        <v>19.23</v>
      </c>
      <c r="AM323" s="9">
        <v>26.13</v>
      </c>
      <c r="AN323" s="9">
        <v>6.75</v>
      </c>
      <c r="AO323" s="9">
        <v>0.33900000000000002</v>
      </c>
      <c r="AQ323" s="8"/>
    </row>
    <row r="324" spans="1:43" x14ac:dyDescent="0.3">
      <c r="A324">
        <v>73</v>
      </c>
      <c r="B324" t="s">
        <v>1655</v>
      </c>
      <c r="C324">
        <v>20</v>
      </c>
      <c r="D324"/>
      <c r="E324">
        <v>1000</v>
      </c>
      <c r="I324"/>
      <c r="J324"/>
      <c r="K324"/>
      <c r="N324">
        <v>0.1</v>
      </c>
      <c r="O324" s="3">
        <v>0</v>
      </c>
      <c r="P324">
        <v>60</v>
      </c>
      <c r="Q324">
        <v>1</v>
      </c>
      <c r="R324" t="s">
        <v>102</v>
      </c>
      <c r="T324" s="6">
        <f>10^-(14-Q324)</f>
        <v>1E-13</v>
      </c>
      <c r="U324" s="6">
        <v>0</v>
      </c>
      <c r="V324" s="6">
        <v>0</v>
      </c>
      <c r="W324" s="6">
        <v>0</v>
      </c>
      <c r="X324" s="6">
        <v>0</v>
      </c>
      <c r="Y324" t="s">
        <v>171</v>
      </c>
      <c r="Z324"/>
      <c r="AA324"/>
      <c r="AB324"/>
      <c r="AC324"/>
      <c r="AD324">
        <v>0.33333333333333331</v>
      </c>
      <c r="AE324">
        <v>208.47457627118601</v>
      </c>
      <c r="AF324">
        <v>1</v>
      </c>
      <c r="AG324" s="9">
        <v>6.0000000000000001E-3</v>
      </c>
      <c r="AH324" s="9">
        <v>0.32</v>
      </c>
      <c r="AI324" s="9">
        <v>0.4</v>
      </c>
      <c r="AL324" s="9">
        <v>16.170000000000002</v>
      </c>
      <c r="AM324" s="9">
        <v>14.1</v>
      </c>
      <c r="AN324" s="9">
        <v>0</v>
      </c>
      <c r="AQ324" s="8"/>
    </row>
    <row r="325" spans="1:43" x14ac:dyDescent="0.3">
      <c r="A325">
        <v>73</v>
      </c>
      <c r="B325" t="s">
        <v>1655</v>
      </c>
      <c r="C325">
        <v>20</v>
      </c>
      <c r="D325"/>
      <c r="E325">
        <v>1000</v>
      </c>
      <c r="I325"/>
      <c r="J325"/>
      <c r="K325"/>
      <c r="N325">
        <v>0.2</v>
      </c>
      <c r="O325" s="3">
        <v>0</v>
      </c>
      <c r="P325">
        <v>60</v>
      </c>
      <c r="Q325">
        <v>1</v>
      </c>
      <c r="R325" t="s">
        <v>102</v>
      </c>
      <c r="T325" s="6">
        <f>10^-(14-Q325)</f>
        <v>1E-13</v>
      </c>
      <c r="U325" s="6">
        <v>0</v>
      </c>
      <c r="V325" s="6">
        <v>0</v>
      </c>
      <c r="W325" s="6">
        <v>0</v>
      </c>
      <c r="X325" s="6">
        <v>0</v>
      </c>
      <c r="Y325" t="s">
        <v>171</v>
      </c>
      <c r="Z325"/>
      <c r="AA325"/>
      <c r="AB325"/>
      <c r="AC325"/>
      <c r="AD325">
        <v>0.33333333333333331</v>
      </c>
      <c r="AE325">
        <v>286.25954198473198</v>
      </c>
      <c r="AF325">
        <v>1</v>
      </c>
      <c r="AG325" s="9">
        <v>6.0000000000000001E-3</v>
      </c>
      <c r="AH325" s="9">
        <v>0.32</v>
      </c>
      <c r="AI325" s="9">
        <v>0.4</v>
      </c>
      <c r="AL325" s="9">
        <v>16.170000000000002</v>
      </c>
      <c r="AM325" s="9">
        <v>14.1</v>
      </c>
      <c r="AN325" s="9">
        <v>0</v>
      </c>
      <c r="AQ325" s="8"/>
    </row>
    <row r="326" spans="1:43" x14ac:dyDescent="0.3">
      <c r="A326">
        <v>73</v>
      </c>
      <c r="B326" t="s">
        <v>1655</v>
      </c>
      <c r="C326">
        <v>20</v>
      </c>
      <c r="D326"/>
      <c r="E326">
        <v>1000</v>
      </c>
      <c r="I326"/>
      <c r="J326"/>
      <c r="K326"/>
      <c r="N326">
        <v>0.1</v>
      </c>
      <c r="O326" s="3">
        <v>0</v>
      </c>
      <c r="P326">
        <v>60</v>
      </c>
      <c r="Q326">
        <v>1</v>
      </c>
      <c r="R326" t="s">
        <v>102</v>
      </c>
      <c r="T326" s="6">
        <f>10^-(14-Q326)</f>
        <v>1E-13</v>
      </c>
      <c r="U326" s="6">
        <v>0</v>
      </c>
      <c r="V326" s="6">
        <v>0</v>
      </c>
      <c r="W326" s="6">
        <v>0</v>
      </c>
      <c r="X326" s="6">
        <v>0</v>
      </c>
      <c r="Y326" t="s">
        <v>171</v>
      </c>
      <c r="Z326"/>
      <c r="AA326"/>
      <c r="AB326"/>
      <c r="AC326"/>
      <c r="AD326">
        <v>0.33333333333333331</v>
      </c>
      <c r="AE326">
        <v>252.05811138014499</v>
      </c>
      <c r="AF326">
        <v>1</v>
      </c>
      <c r="AG326" s="9">
        <v>6.0000000000000001E-3</v>
      </c>
      <c r="AH326" s="9">
        <v>0.3</v>
      </c>
      <c r="AI326" s="9">
        <v>0.43</v>
      </c>
      <c r="AL326" s="9">
        <v>16.22</v>
      </c>
      <c r="AM326" s="9">
        <v>14</v>
      </c>
      <c r="AN326" s="9">
        <v>0</v>
      </c>
      <c r="AQ326" s="8"/>
    </row>
    <row r="327" spans="1:43" x14ac:dyDescent="0.3">
      <c r="A327">
        <v>73</v>
      </c>
      <c r="B327" t="s">
        <v>1655</v>
      </c>
      <c r="C327">
        <v>20</v>
      </c>
      <c r="D327"/>
      <c r="E327">
        <v>1000</v>
      </c>
      <c r="I327"/>
      <c r="J327"/>
      <c r="K327"/>
      <c r="N327">
        <v>0.2</v>
      </c>
      <c r="O327" s="3">
        <v>0</v>
      </c>
      <c r="P327">
        <v>60</v>
      </c>
      <c r="Q327">
        <v>1</v>
      </c>
      <c r="R327" t="s">
        <v>102</v>
      </c>
      <c r="T327" s="6">
        <f>10^-(14-Q327)</f>
        <v>1E-13</v>
      </c>
      <c r="U327" s="6">
        <v>0</v>
      </c>
      <c r="V327" s="6">
        <v>0</v>
      </c>
      <c r="W327" s="6">
        <v>0</v>
      </c>
      <c r="X327" s="6">
        <v>0</v>
      </c>
      <c r="Y327" t="s">
        <v>171</v>
      </c>
      <c r="Z327"/>
      <c r="AA327"/>
      <c r="AB327"/>
      <c r="AC327"/>
      <c r="AD327">
        <v>0.33333333333333331</v>
      </c>
      <c r="AE327">
        <v>315.26717557251902</v>
      </c>
      <c r="AF327">
        <v>1</v>
      </c>
      <c r="AG327" s="9">
        <v>6.0000000000000001E-3</v>
      </c>
      <c r="AH327" s="9">
        <v>0.3</v>
      </c>
      <c r="AI327" s="9">
        <v>0.43</v>
      </c>
      <c r="AL327" s="9">
        <v>16.22</v>
      </c>
      <c r="AM327" s="9">
        <v>14</v>
      </c>
      <c r="AN327" s="9">
        <v>0</v>
      </c>
      <c r="AQ327" s="8"/>
    </row>
    <row r="328" spans="1:43" x14ac:dyDescent="0.3">
      <c r="A328">
        <v>73</v>
      </c>
      <c r="B328" t="s">
        <v>1655</v>
      </c>
      <c r="C328">
        <v>20</v>
      </c>
      <c r="D328"/>
      <c r="E328">
        <v>1000</v>
      </c>
      <c r="I328"/>
      <c r="J328"/>
      <c r="K328"/>
      <c r="N328">
        <v>0.1</v>
      </c>
      <c r="O328" s="3">
        <v>0</v>
      </c>
      <c r="P328">
        <v>60</v>
      </c>
      <c r="Q328">
        <v>7</v>
      </c>
      <c r="R328" t="s">
        <v>102</v>
      </c>
      <c r="T328" s="6">
        <f>10^-(14-Q328)</f>
        <v>9.9999999999999995E-8</v>
      </c>
      <c r="U328" s="6">
        <v>0</v>
      </c>
      <c r="V328" s="6">
        <v>0</v>
      </c>
      <c r="W328" s="6">
        <v>0</v>
      </c>
      <c r="X328" s="6">
        <v>0</v>
      </c>
      <c r="Y328" t="s">
        <v>171</v>
      </c>
      <c r="Z328"/>
      <c r="AA328"/>
      <c r="AB328"/>
      <c r="AC328"/>
      <c r="AD328">
        <v>0.33333333333333331</v>
      </c>
      <c r="AE328">
        <v>77.7</v>
      </c>
      <c r="AF328">
        <v>1</v>
      </c>
      <c r="AG328" s="9">
        <v>6.0000000000000001E-3</v>
      </c>
      <c r="AH328" s="9">
        <v>0.43</v>
      </c>
      <c r="AI328" s="9">
        <v>0.33</v>
      </c>
      <c r="AL328" s="9">
        <v>16.3</v>
      </c>
      <c r="AM328" s="9">
        <v>14.4</v>
      </c>
      <c r="AN328" s="9">
        <v>0</v>
      </c>
      <c r="AQ328" s="8"/>
    </row>
    <row r="329" spans="1:43" x14ac:dyDescent="0.3">
      <c r="A329">
        <v>73</v>
      </c>
      <c r="B329" t="s">
        <v>1655</v>
      </c>
      <c r="C329">
        <v>20</v>
      </c>
      <c r="D329"/>
      <c r="E329">
        <v>1000</v>
      </c>
      <c r="I329"/>
      <c r="J329"/>
      <c r="K329"/>
      <c r="N329">
        <v>0.1</v>
      </c>
      <c r="O329" s="3">
        <v>0</v>
      </c>
      <c r="P329">
        <v>60</v>
      </c>
      <c r="Q329">
        <v>7</v>
      </c>
      <c r="R329" t="s">
        <v>102</v>
      </c>
      <c r="T329" s="6">
        <f>10^-(14-Q329)</f>
        <v>9.9999999999999995E-8</v>
      </c>
      <c r="U329" s="6">
        <v>0</v>
      </c>
      <c r="V329" s="6">
        <v>0</v>
      </c>
      <c r="W329" s="6">
        <v>0</v>
      </c>
      <c r="X329" s="6">
        <v>0</v>
      </c>
      <c r="Y329" t="s">
        <v>171</v>
      </c>
      <c r="Z329"/>
      <c r="AA329"/>
      <c r="AB329"/>
      <c r="AC329"/>
      <c r="AD329">
        <v>0.33333333333333331</v>
      </c>
      <c r="AE329">
        <v>214.3</v>
      </c>
      <c r="AF329">
        <v>1</v>
      </c>
      <c r="AG329" s="9">
        <v>5.0000000000000001E-3</v>
      </c>
      <c r="AH329" s="9">
        <v>0.33</v>
      </c>
      <c r="AI329" s="9">
        <v>0.4</v>
      </c>
      <c r="AL329" s="9">
        <v>16.3</v>
      </c>
      <c r="AM329" s="9">
        <v>14</v>
      </c>
      <c r="AN329" s="9">
        <v>0</v>
      </c>
      <c r="AQ329" s="8"/>
    </row>
    <row r="330" spans="1:43" x14ac:dyDescent="0.3">
      <c r="A330">
        <v>73</v>
      </c>
      <c r="B330" t="s">
        <v>1655</v>
      </c>
      <c r="C330">
        <v>20</v>
      </c>
      <c r="D330"/>
      <c r="E330">
        <v>1000</v>
      </c>
      <c r="I330"/>
      <c r="J330"/>
      <c r="K330"/>
      <c r="N330">
        <v>0.1</v>
      </c>
      <c r="O330" s="3">
        <v>0</v>
      </c>
      <c r="P330">
        <v>60</v>
      </c>
      <c r="Q330">
        <v>1</v>
      </c>
      <c r="R330" t="s">
        <v>102</v>
      </c>
      <c r="T330" s="6">
        <f>10^-(14-Q330)</f>
        <v>1E-13</v>
      </c>
      <c r="U330" s="6">
        <v>0</v>
      </c>
      <c r="V330" s="6">
        <v>0</v>
      </c>
      <c r="W330" s="6">
        <v>0</v>
      </c>
      <c r="X330" s="6">
        <v>0</v>
      </c>
      <c r="Y330" t="s">
        <v>171</v>
      </c>
      <c r="Z330"/>
      <c r="AA330"/>
      <c r="AB330"/>
      <c r="AC330"/>
      <c r="AD330">
        <v>0.33333333333333331</v>
      </c>
      <c r="AE330">
        <v>58.837772397094398</v>
      </c>
      <c r="AF330">
        <v>1</v>
      </c>
      <c r="AG330" s="9">
        <v>5.0000000000000001E-3</v>
      </c>
      <c r="AH330" s="9">
        <v>0.33</v>
      </c>
      <c r="AI330" s="9">
        <v>0.4</v>
      </c>
      <c r="AL330" s="9">
        <v>16.3</v>
      </c>
      <c r="AM330" s="9">
        <v>14</v>
      </c>
      <c r="AN330" s="9">
        <v>0</v>
      </c>
      <c r="AQ330" s="8"/>
    </row>
    <row r="331" spans="1:43" x14ac:dyDescent="0.3">
      <c r="A331">
        <v>73</v>
      </c>
      <c r="B331" t="s">
        <v>1655</v>
      </c>
      <c r="C331">
        <v>20</v>
      </c>
      <c r="D331"/>
      <c r="E331">
        <v>1000</v>
      </c>
      <c r="I331"/>
      <c r="J331"/>
      <c r="K331"/>
      <c r="N331">
        <v>0.2</v>
      </c>
      <c r="O331" s="3">
        <v>0</v>
      </c>
      <c r="P331">
        <v>60</v>
      </c>
      <c r="Q331">
        <v>1</v>
      </c>
      <c r="R331" t="s">
        <v>102</v>
      </c>
      <c r="T331" s="6">
        <f>10^-(14-Q331)</f>
        <v>1E-13</v>
      </c>
      <c r="U331" s="6">
        <v>0</v>
      </c>
      <c r="V331" s="6">
        <v>0</v>
      </c>
      <c r="W331" s="6">
        <v>0</v>
      </c>
      <c r="X331" s="6">
        <v>0</v>
      </c>
      <c r="Y331" t="s">
        <v>171</v>
      </c>
      <c r="Z331"/>
      <c r="AA331"/>
      <c r="AB331"/>
      <c r="AC331"/>
      <c r="AD331">
        <v>0.33333333333333331</v>
      </c>
      <c r="AE331">
        <v>122.90076335877799</v>
      </c>
      <c r="AF331">
        <v>1</v>
      </c>
      <c r="AG331" s="9">
        <v>5.0000000000000001E-3</v>
      </c>
      <c r="AH331" s="9">
        <v>0.33</v>
      </c>
      <c r="AI331" s="9">
        <v>0.4</v>
      </c>
      <c r="AL331" s="9">
        <v>16.3</v>
      </c>
      <c r="AM331" s="9">
        <v>14</v>
      </c>
      <c r="AN331" s="9">
        <v>0</v>
      </c>
      <c r="AQ331" s="8"/>
    </row>
    <row r="332" spans="1:43" x14ac:dyDescent="0.3">
      <c r="A332">
        <v>73</v>
      </c>
      <c r="B332" t="s">
        <v>1655</v>
      </c>
      <c r="C332">
        <v>20</v>
      </c>
      <c r="D332"/>
      <c r="E332">
        <v>1000</v>
      </c>
      <c r="I332"/>
      <c r="J332"/>
      <c r="K332"/>
      <c r="N332">
        <v>0.1</v>
      </c>
      <c r="O332">
        <v>0</v>
      </c>
      <c r="Q332">
        <v>7</v>
      </c>
      <c r="R332" t="s">
        <v>102</v>
      </c>
      <c r="T332" s="6">
        <f>10^-(14-Q332)</f>
        <v>9.9999999999999995E-8</v>
      </c>
      <c r="U332" s="6">
        <v>0</v>
      </c>
      <c r="V332" s="6">
        <v>0</v>
      </c>
      <c r="W332" s="6">
        <v>0</v>
      </c>
      <c r="X332" s="6">
        <v>0</v>
      </c>
      <c r="Y332" t="s">
        <v>171</v>
      </c>
      <c r="Z332"/>
      <c r="AA332"/>
      <c r="AB332"/>
      <c r="AC332"/>
      <c r="AD332">
        <v>0.33</v>
      </c>
      <c r="AE332">
        <v>80</v>
      </c>
      <c r="AF332">
        <v>1</v>
      </c>
      <c r="AG332" s="9">
        <v>6.0000000000000001E-3</v>
      </c>
      <c r="AH332" s="9">
        <v>0.43</v>
      </c>
      <c r="AI332" s="9">
        <v>0.33</v>
      </c>
      <c r="AL332" s="9">
        <v>16.3</v>
      </c>
      <c r="AM332" s="9">
        <v>14.4</v>
      </c>
      <c r="AN332" s="9">
        <v>0</v>
      </c>
      <c r="AQ332" s="8"/>
    </row>
    <row r="333" spans="1:43" x14ac:dyDescent="0.3">
      <c r="A333">
        <v>73</v>
      </c>
      <c r="B333" t="s">
        <v>1655</v>
      </c>
      <c r="C333">
        <v>20</v>
      </c>
      <c r="D333"/>
      <c r="E333">
        <v>1000</v>
      </c>
      <c r="I333"/>
      <c r="J333"/>
      <c r="K333"/>
      <c r="N333">
        <v>0.1</v>
      </c>
      <c r="O333">
        <v>0</v>
      </c>
      <c r="Q333">
        <v>7</v>
      </c>
      <c r="R333" t="s">
        <v>102</v>
      </c>
      <c r="T333" s="6">
        <f>10^-(14-Q333)</f>
        <v>9.9999999999999995E-8</v>
      </c>
      <c r="U333" s="6">
        <v>0</v>
      </c>
      <c r="V333" s="6">
        <v>0</v>
      </c>
      <c r="W333" s="6">
        <v>0</v>
      </c>
      <c r="X333" s="6">
        <v>0</v>
      </c>
      <c r="Y333" t="s">
        <v>171</v>
      </c>
      <c r="Z333"/>
      <c r="AA333"/>
      <c r="AB333"/>
      <c r="AC333"/>
      <c r="AD333">
        <v>0.33</v>
      </c>
      <c r="AE333">
        <v>210</v>
      </c>
      <c r="AF333">
        <v>1</v>
      </c>
      <c r="AG333" s="9">
        <v>5.0000000000000001E-3</v>
      </c>
      <c r="AH333" s="9">
        <v>0.33</v>
      </c>
      <c r="AI333" s="9">
        <v>0.4</v>
      </c>
      <c r="AL333" s="9">
        <v>16.3</v>
      </c>
      <c r="AM333" s="9">
        <v>14</v>
      </c>
      <c r="AN333" s="9">
        <v>0</v>
      </c>
      <c r="AQ333" s="8"/>
    </row>
    <row r="334" spans="1:43" x14ac:dyDescent="0.3">
      <c r="A334">
        <v>73</v>
      </c>
      <c r="B334" t="s">
        <v>1655</v>
      </c>
      <c r="C334">
        <v>20</v>
      </c>
      <c r="D334"/>
      <c r="E334">
        <v>1000</v>
      </c>
      <c r="I334"/>
      <c r="J334"/>
      <c r="K334"/>
      <c r="N334">
        <v>0.1</v>
      </c>
      <c r="O334">
        <v>0</v>
      </c>
      <c r="P334">
        <v>60</v>
      </c>
      <c r="Q334">
        <v>7</v>
      </c>
      <c r="R334" t="s">
        <v>102</v>
      </c>
      <c r="T334" s="6">
        <f>10^-(14-Q334)</f>
        <v>9.9999999999999995E-8</v>
      </c>
      <c r="U334" s="6">
        <v>0</v>
      </c>
      <c r="V334" s="6">
        <v>0</v>
      </c>
      <c r="W334" s="6">
        <v>0</v>
      </c>
      <c r="X334" s="6">
        <v>0</v>
      </c>
      <c r="Y334" t="s">
        <v>171</v>
      </c>
      <c r="Z334"/>
      <c r="AA334"/>
      <c r="AB334"/>
      <c r="AC334"/>
      <c r="AD334">
        <v>0.33</v>
      </c>
      <c r="AE334">
        <v>80</v>
      </c>
      <c r="AF334">
        <v>1</v>
      </c>
      <c r="AG334" s="9">
        <v>6.0000000000000001E-3</v>
      </c>
      <c r="AH334" s="9">
        <v>0.43</v>
      </c>
      <c r="AI334" s="9">
        <v>0.33</v>
      </c>
      <c r="AL334" s="9">
        <v>16.3</v>
      </c>
      <c r="AM334" s="9">
        <v>14.4</v>
      </c>
      <c r="AN334" s="9">
        <v>0</v>
      </c>
      <c r="AQ334" s="8"/>
    </row>
    <row r="335" spans="1:43" x14ac:dyDescent="0.3">
      <c r="A335">
        <v>73</v>
      </c>
      <c r="B335" t="s">
        <v>1655</v>
      </c>
      <c r="C335">
        <v>20</v>
      </c>
      <c r="D335"/>
      <c r="E335">
        <v>1000</v>
      </c>
      <c r="I335"/>
      <c r="J335"/>
      <c r="K335"/>
      <c r="N335">
        <v>0.1</v>
      </c>
      <c r="O335">
        <v>0</v>
      </c>
      <c r="P335">
        <v>60</v>
      </c>
      <c r="Q335">
        <v>7</v>
      </c>
      <c r="R335" t="s">
        <v>102</v>
      </c>
      <c r="T335" s="6">
        <f>10^-(14-Q335)</f>
        <v>9.9999999999999995E-8</v>
      </c>
      <c r="U335" s="6">
        <v>0</v>
      </c>
      <c r="V335" s="6">
        <v>0</v>
      </c>
      <c r="W335" s="6">
        <v>0</v>
      </c>
      <c r="X335" s="6">
        <v>0</v>
      </c>
      <c r="Y335" t="s">
        <v>171</v>
      </c>
      <c r="Z335"/>
      <c r="AA335"/>
      <c r="AB335"/>
      <c r="AC335"/>
      <c r="AD335">
        <v>0.33</v>
      </c>
      <c r="AE335">
        <v>150</v>
      </c>
      <c r="AF335">
        <v>1</v>
      </c>
      <c r="AG335" s="9">
        <v>6.0000000000000001E-3</v>
      </c>
      <c r="AH335" s="9">
        <v>0.43</v>
      </c>
      <c r="AI335" s="9">
        <v>0.33</v>
      </c>
      <c r="AL335" s="9">
        <v>16.3</v>
      </c>
      <c r="AM335" s="9">
        <v>14.4</v>
      </c>
      <c r="AN335" s="9">
        <v>0</v>
      </c>
      <c r="AQ335" s="8"/>
    </row>
    <row r="336" spans="1:43" x14ac:dyDescent="0.3">
      <c r="A336">
        <v>73</v>
      </c>
      <c r="B336" t="s">
        <v>1655</v>
      </c>
      <c r="C336">
        <v>20</v>
      </c>
      <c r="D336"/>
      <c r="E336">
        <v>1000</v>
      </c>
      <c r="I336"/>
      <c r="J336"/>
      <c r="K336"/>
      <c r="N336">
        <v>0.1</v>
      </c>
      <c r="O336">
        <v>0</v>
      </c>
      <c r="P336">
        <v>60</v>
      </c>
      <c r="Q336">
        <v>7</v>
      </c>
      <c r="R336" t="s">
        <v>102</v>
      </c>
      <c r="T336" s="6">
        <f>10^-(14-Q336)</f>
        <v>9.9999999999999995E-8</v>
      </c>
      <c r="U336" s="6">
        <v>0</v>
      </c>
      <c r="V336" s="6">
        <v>0</v>
      </c>
      <c r="W336" s="6">
        <v>0</v>
      </c>
      <c r="X336" s="6">
        <v>0</v>
      </c>
      <c r="Y336" t="s">
        <v>171</v>
      </c>
      <c r="Z336"/>
      <c r="AA336"/>
      <c r="AB336"/>
      <c r="AC336"/>
      <c r="AD336">
        <v>0.33</v>
      </c>
      <c r="AE336">
        <v>220</v>
      </c>
      <c r="AF336">
        <v>1</v>
      </c>
      <c r="AG336" s="9">
        <v>6.0000000000000001E-3</v>
      </c>
      <c r="AH336" s="9">
        <v>0.43</v>
      </c>
      <c r="AI336" s="9">
        <v>0.33</v>
      </c>
      <c r="AL336" s="9">
        <v>16.3</v>
      </c>
      <c r="AM336" s="9">
        <v>14.4</v>
      </c>
      <c r="AN336" s="9">
        <v>0</v>
      </c>
      <c r="AQ336" s="8"/>
    </row>
    <row r="337" spans="1:43" x14ac:dyDescent="0.3">
      <c r="A337">
        <v>73</v>
      </c>
      <c r="B337" t="s">
        <v>1655</v>
      </c>
      <c r="C337">
        <v>20</v>
      </c>
      <c r="D337"/>
      <c r="E337">
        <v>1000</v>
      </c>
      <c r="I337"/>
      <c r="J337"/>
      <c r="K337"/>
      <c r="N337">
        <v>0.1</v>
      </c>
      <c r="O337" s="3">
        <v>0</v>
      </c>
      <c r="P337">
        <v>60</v>
      </c>
      <c r="Q337">
        <v>7</v>
      </c>
      <c r="R337" t="s">
        <v>102</v>
      </c>
      <c r="T337" s="6">
        <f>10^-(14-Q337)</f>
        <v>9.9999999999999995E-8</v>
      </c>
      <c r="U337" s="6">
        <v>0</v>
      </c>
      <c r="V337" s="6">
        <v>0</v>
      </c>
      <c r="W337" s="6">
        <v>0</v>
      </c>
      <c r="X337" s="6">
        <v>0</v>
      </c>
      <c r="Y337" t="s">
        <v>171</v>
      </c>
      <c r="Z337"/>
      <c r="AA337"/>
      <c r="AB337"/>
      <c r="AC337"/>
      <c r="AD337">
        <v>0.33333333333333331</v>
      </c>
      <c r="AE337">
        <v>297.10000000000002</v>
      </c>
      <c r="AF337">
        <v>1</v>
      </c>
      <c r="AG337" s="9">
        <v>6.0000000000000001E-3</v>
      </c>
      <c r="AH337" s="9">
        <v>0.3</v>
      </c>
      <c r="AI337" s="9">
        <v>0.41</v>
      </c>
      <c r="AL337" s="9">
        <v>16.5</v>
      </c>
      <c r="AM337" s="9">
        <v>14.1</v>
      </c>
      <c r="AN337" s="9">
        <v>0</v>
      </c>
      <c r="AQ337" s="8"/>
    </row>
    <row r="338" spans="1:43" x14ac:dyDescent="0.3">
      <c r="A338">
        <v>73</v>
      </c>
      <c r="B338" t="s">
        <v>1655</v>
      </c>
      <c r="C338">
        <v>20</v>
      </c>
      <c r="D338"/>
      <c r="E338">
        <v>1000</v>
      </c>
      <c r="I338"/>
      <c r="J338"/>
      <c r="K338"/>
      <c r="N338">
        <v>0.1</v>
      </c>
      <c r="O338" s="3">
        <v>0</v>
      </c>
      <c r="P338">
        <v>60</v>
      </c>
      <c r="Q338">
        <v>1</v>
      </c>
      <c r="R338" t="s">
        <v>102</v>
      </c>
      <c r="T338" s="6">
        <f>10^-(14-Q338)</f>
        <v>1E-13</v>
      </c>
      <c r="U338" s="6">
        <v>0</v>
      </c>
      <c r="V338" s="6">
        <v>0</v>
      </c>
      <c r="W338" s="6">
        <v>0</v>
      </c>
      <c r="X338" s="6">
        <v>0</v>
      </c>
      <c r="Y338" t="s">
        <v>171</v>
      </c>
      <c r="Z338"/>
      <c r="AA338"/>
      <c r="AB338"/>
      <c r="AC338"/>
      <c r="AD338">
        <v>0.33333333333333331</v>
      </c>
      <c r="AE338">
        <v>121.307506053268</v>
      </c>
      <c r="AF338">
        <v>1</v>
      </c>
      <c r="AG338" s="9">
        <v>6.0000000000000001E-3</v>
      </c>
      <c r="AH338" s="9">
        <v>0.3</v>
      </c>
      <c r="AI338" s="9">
        <v>0.41</v>
      </c>
      <c r="AL338" s="9">
        <v>16.5</v>
      </c>
      <c r="AM338" s="9">
        <v>14.1</v>
      </c>
      <c r="AN338" s="9">
        <v>0</v>
      </c>
      <c r="AQ338" s="8"/>
    </row>
    <row r="339" spans="1:43" x14ac:dyDescent="0.3">
      <c r="A339">
        <v>73</v>
      </c>
      <c r="B339" t="s">
        <v>1655</v>
      </c>
      <c r="C339">
        <v>20</v>
      </c>
      <c r="D339"/>
      <c r="E339">
        <v>1000</v>
      </c>
      <c r="I339"/>
      <c r="J339"/>
      <c r="K339"/>
      <c r="N339">
        <v>0.2</v>
      </c>
      <c r="O339" s="3">
        <v>0</v>
      </c>
      <c r="P339">
        <v>60</v>
      </c>
      <c r="Q339">
        <v>1</v>
      </c>
      <c r="R339" t="s">
        <v>102</v>
      </c>
      <c r="T339" s="6">
        <f>10^-(14-Q339)</f>
        <v>1E-13</v>
      </c>
      <c r="U339" s="6">
        <v>0</v>
      </c>
      <c r="V339" s="6">
        <v>0</v>
      </c>
      <c r="W339" s="6">
        <v>0</v>
      </c>
      <c r="X339" s="6">
        <v>0</v>
      </c>
      <c r="Y339" t="s">
        <v>171</v>
      </c>
      <c r="Z339"/>
      <c r="AA339"/>
      <c r="AB339"/>
      <c r="AC339"/>
      <c r="AD339">
        <v>0.33333333333333331</v>
      </c>
      <c r="AE339">
        <v>185.496183206106</v>
      </c>
      <c r="AF339">
        <v>1</v>
      </c>
      <c r="AG339" s="9">
        <v>6.0000000000000001E-3</v>
      </c>
      <c r="AH339" s="9">
        <v>0.3</v>
      </c>
      <c r="AI339" s="9">
        <v>0.41</v>
      </c>
      <c r="AL339" s="9">
        <v>16.5</v>
      </c>
      <c r="AM339" s="9">
        <v>14.1</v>
      </c>
      <c r="AN339" s="9">
        <v>0</v>
      </c>
      <c r="AQ339" s="8"/>
    </row>
    <row r="340" spans="1:43" x14ac:dyDescent="0.3">
      <c r="A340">
        <v>73</v>
      </c>
      <c r="B340" t="s">
        <v>1655</v>
      </c>
      <c r="C340">
        <v>20</v>
      </c>
      <c r="D340"/>
      <c r="E340">
        <v>1000</v>
      </c>
      <c r="I340"/>
      <c r="J340"/>
      <c r="K340"/>
      <c r="N340">
        <v>0.1</v>
      </c>
      <c r="O340">
        <v>0</v>
      </c>
      <c r="Q340">
        <v>7</v>
      </c>
      <c r="R340" t="s">
        <v>102</v>
      </c>
      <c r="T340" s="6">
        <f>10^-(14-Q340)</f>
        <v>9.9999999999999995E-8</v>
      </c>
      <c r="U340" s="6">
        <v>0</v>
      </c>
      <c r="V340" s="6">
        <v>0</v>
      </c>
      <c r="W340" s="6">
        <v>0</v>
      </c>
      <c r="X340" s="6">
        <v>0</v>
      </c>
      <c r="Y340" t="s">
        <v>171</v>
      </c>
      <c r="Z340"/>
      <c r="AA340"/>
      <c r="AB340"/>
      <c r="AC340"/>
      <c r="AD340">
        <v>0.33</v>
      </c>
      <c r="AE340">
        <v>300</v>
      </c>
      <c r="AF340">
        <v>1</v>
      </c>
      <c r="AG340" s="9">
        <v>6.0000000000000001E-3</v>
      </c>
      <c r="AH340" s="9">
        <v>0.3</v>
      </c>
      <c r="AI340" s="9">
        <v>0.41</v>
      </c>
      <c r="AL340" s="9">
        <v>16.5</v>
      </c>
      <c r="AM340" s="9">
        <v>14.1</v>
      </c>
      <c r="AN340" s="9">
        <v>0</v>
      </c>
      <c r="AQ340" s="8"/>
    </row>
    <row r="341" spans="1:43" x14ac:dyDescent="0.3">
      <c r="A341">
        <v>85</v>
      </c>
      <c r="B341" t="s">
        <v>1694</v>
      </c>
      <c r="C341">
        <v>21</v>
      </c>
      <c r="D341" t="s">
        <v>1697</v>
      </c>
      <c r="I341"/>
      <c r="J341"/>
      <c r="K341"/>
      <c r="N341">
        <v>0.53</v>
      </c>
      <c r="O341">
        <v>0</v>
      </c>
      <c r="P341">
        <v>20</v>
      </c>
      <c r="R341" t="s">
        <v>102</v>
      </c>
      <c r="T341" s="6">
        <f>10^-(14-Q341)</f>
        <v>1E-14</v>
      </c>
      <c r="U341" s="6">
        <v>0</v>
      </c>
      <c r="V341" s="6">
        <v>0</v>
      </c>
      <c r="W341" s="6">
        <v>0</v>
      </c>
      <c r="X341" s="6">
        <v>0</v>
      </c>
      <c r="Y341" t="s">
        <v>171</v>
      </c>
      <c r="Z341"/>
      <c r="AA341"/>
      <c r="AB341"/>
      <c r="AC341"/>
      <c r="AE341">
        <v>906</v>
      </c>
      <c r="AF341">
        <v>1</v>
      </c>
      <c r="AG341" s="9">
        <v>7.0000000000000007E-2</v>
      </c>
      <c r="AL341" s="9">
        <v>21</v>
      </c>
      <c r="AM341" s="9">
        <v>28.5</v>
      </c>
      <c r="AN341" s="9">
        <v>4</v>
      </c>
      <c r="AO341" s="9">
        <v>0.56000000000000005</v>
      </c>
      <c r="AQ341" s="8"/>
    </row>
    <row r="342" spans="1:43" x14ac:dyDescent="0.3">
      <c r="A342">
        <v>85</v>
      </c>
      <c r="B342" t="s">
        <v>1694</v>
      </c>
      <c r="C342">
        <v>21</v>
      </c>
      <c r="D342" t="s">
        <v>1697</v>
      </c>
      <c r="I342"/>
      <c r="J342"/>
      <c r="K342"/>
      <c r="N342">
        <v>0.53</v>
      </c>
      <c r="O342">
        <v>0</v>
      </c>
      <c r="P342">
        <v>30</v>
      </c>
      <c r="R342" t="s">
        <v>102</v>
      </c>
      <c r="T342" s="6">
        <f>10^-(14-Q342)</f>
        <v>1E-14</v>
      </c>
      <c r="U342" s="6">
        <v>0</v>
      </c>
      <c r="V342" s="6">
        <v>0</v>
      </c>
      <c r="W342" s="6">
        <v>0</v>
      </c>
      <c r="X342" s="6">
        <v>0</v>
      </c>
      <c r="Y342" t="s">
        <v>171</v>
      </c>
      <c r="Z342"/>
      <c r="AA342"/>
      <c r="AB342"/>
      <c r="AC342"/>
      <c r="AE342">
        <v>806</v>
      </c>
      <c r="AF342">
        <v>1</v>
      </c>
      <c r="AG342" s="9">
        <v>7.0000000000000007E-2</v>
      </c>
      <c r="AL342" s="9">
        <v>21</v>
      </c>
      <c r="AM342" s="9">
        <v>28.5</v>
      </c>
      <c r="AN342" s="9">
        <v>4</v>
      </c>
      <c r="AO342" s="9">
        <v>0.56000000000000005</v>
      </c>
      <c r="AQ342" s="8"/>
    </row>
    <row r="343" spans="1:43" x14ac:dyDescent="0.3">
      <c r="A343">
        <v>85</v>
      </c>
      <c r="B343" t="s">
        <v>1694</v>
      </c>
      <c r="C343">
        <v>21</v>
      </c>
      <c r="D343" t="s">
        <v>1697</v>
      </c>
      <c r="I343"/>
      <c r="J343"/>
      <c r="K343"/>
      <c r="N343">
        <v>0.53</v>
      </c>
      <c r="O343">
        <v>0</v>
      </c>
      <c r="P343">
        <v>40</v>
      </c>
      <c r="R343" t="s">
        <v>102</v>
      </c>
      <c r="T343" s="6">
        <f>10^-(14-Q343)</f>
        <v>1E-14</v>
      </c>
      <c r="U343" s="6">
        <v>0</v>
      </c>
      <c r="V343" s="6">
        <v>0</v>
      </c>
      <c r="W343" s="6">
        <v>0</v>
      </c>
      <c r="X343" s="6">
        <v>0</v>
      </c>
      <c r="Y343" t="s">
        <v>171</v>
      </c>
      <c r="Z343"/>
      <c r="AA343"/>
      <c r="AB343"/>
      <c r="AC343"/>
      <c r="AE343">
        <v>286</v>
      </c>
      <c r="AF343">
        <v>1</v>
      </c>
      <c r="AG343" s="9">
        <v>7.0000000000000007E-2</v>
      </c>
      <c r="AL343" s="9">
        <v>21</v>
      </c>
      <c r="AM343" s="9">
        <v>28.5</v>
      </c>
      <c r="AN343" s="9">
        <v>4</v>
      </c>
      <c r="AO343" s="9">
        <v>0.56000000000000005</v>
      </c>
      <c r="AQ343" s="8"/>
    </row>
    <row r="344" spans="1:43" x14ac:dyDescent="0.3">
      <c r="A344">
        <v>85</v>
      </c>
      <c r="B344" t="s">
        <v>1694</v>
      </c>
      <c r="C344">
        <v>21</v>
      </c>
      <c r="D344" t="s">
        <v>1695</v>
      </c>
      <c r="I344"/>
      <c r="J344"/>
      <c r="K344"/>
      <c r="N344">
        <v>0.53</v>
      </c>
      <c r="O344">
        <v>0</v>
      </c>
      <c r="P344">
        <v>30</v>
      </c>
      <c r="R344" t="s">
        <v>102</v>
      </c>
      <c r="T344" s="6">
        <f>10^-(14-Q344)</f>
        <v>1E-14</v>
      </c>
      <c r="U344" s="6">
        <v>0</v>
      </c>
      <c r="V344" s="6">
        <v>0</v>
      </c>
      <c r="W344" s="6">
        <v>0</v>
      </c>
      <c r="X344" s="6">
        <v>0</v>
      </c>
      <c r="Y344" t="s">
        <v>171</v>
      </c>
      <c r="Z344"/>
      <c r="AA344"/>
      <c r="AB344"/>
      <c r="AC344"/>
      <c r="AE344">
        <v>906</v>
      </c>
      <c r="AF344">
        <v>1</v>
      </c>
      <c r="AG344" s="9">
        <v>0.08</v>
      </c>
      <c r="AL344" s="9">
        <v>25.5</v>
      </c>
      <c r="AM344" s="9">
        <v>5.5</v>
      </c>
      <c r="AN344" s="9">
        <v>3</v>
      </c>
      <c r="AO344" s="9">
        <v>0.1</v>
      </c>
      <c r="AQ344" s="8"/>
    </row>
    <row r="345" spans="1:43" x14ac:dyDescent="0.3">
      <c r="A345">
        <v>85</v>
      </c>
      <c r="B345" t="s">
        <v>1694</v>
      </c>
      <c r="C345">
        <v>21</v>
      </c>
      <c r="D345" t="s">
        <v>1695</v>
      </c>
      <c r="I345"/>
      <c r="J345"/>
      <c r="K345"/>
      <c r="N345">
        <v>0.53</v>
      </c>
      <c r="O345">
        <v>0</v>
      </c>
      <c r="P345">
        <v>40</v>
      </c>
      <c r="R345" t="s">
        <v>102</v>
      </c>
      <c r="T345" s="6">
        <f>10^-(14-Q345)</f>
        <v>1E-14</v>
      </c>
      <c r="U345" s="6">
        <v>0</v>
      </c>
      <c r="V345" s="6">
        <v>0</v>
      </c>
      <c r="W345" s="6">
        <v>0</v>
      </c>
      <c r="X345" s="6">
        <v>0</v>
      </c>
      <c r="Y345" t="s">
        <v>171</v>
      </c>
      <c r="Z345"/>
      <c r="AA345"/>
      <c r="AB345"/>
      <c r="AC345"/>
      <c r="AE345">
        <v>406</v>
      </c>
      <c r="AF345">
        <v>1</v>
      </c>
      <c r="AG345" s="9">
        <v>0.08</v>
      </c>
      <c r="AL345" s="9">
        <v>25.5</v>
      </c>
      <c r="AM345" s="9">
        <v>5.5</v>
      </c>
      <c r="AN345" s="9">
        <v>3</v>
      </c>
      <c r="AO345" s="9">
        <v>0.1</v>
      </c>
      <c r="AQ345" s="8"/>
    </row>
    <row r="346" spans="1:43" x14ac:dyDescent="0.3">
      <c r="A346">
        <v>85</v>
      </c>
      <c r="B346" t="s">
        <v>1694</v>
      </c>
      <c r="C346">
        <v>21</v>
      </c>
      <c r="D346" t="s">
        <v>1696</v>
      </c>
      <c r="I346"/>
      <c r="J346"/>
      <c r="K346"/>
      <c r="N346">
        <v>0.53</v>
      </c>
      <c r="O346">
        <v>0</v>
      </c>
      <c r="P346">
        <v>40</v>
      </c>
      <c r="R346" t="s">
        <v>102</v>
      </c>
      <c r="T346" s="6">
        <f>10^-(14-Q346)</f>
        <v>1E-14</v>
      </c>
      <c r="U346" s="6">
        <v>0</v>
      </c>
      <c r="V346" s="6">
        <v>0</v>
      </c>
      <c r="W346" s="6">
        <v>0</v>
      </c>
      <c r="X346" s="6">
        <v>0</v>
      </c>
      <c r="Y346" t="s">
        <v>171</v>
      </c>
      <c r="Z346"/>
      <c r="AA346"/>
      <c r="AB346"/>
      <c r="AC346"/>
      <c r="AE346">
        <v>906</v>
      </c>
      <c r="AF346">
        <v>1</v>
      </c>
      <c r="AG346" s="9">
        <v>0.08</v>
      </c>
      <c r="AL346" s="9">
        <v>27.5</v>
      </c>
      <c r="AM346" s="9">
        <v>7.5</v>
      </c>
      <c r="AN346" s="9">
        <v>2.5</v>
      </c>
      <c r="AO346" s="9">
        <v>0.1</v>
      </c>
      <c r="AQ346" s="8"/>
    </row>
    <row r="347" spans="1:43" x14ac:dyDescent="0.3">
      <c r="A347">
        <v>85</v>
      </c>
      <c r="B347" t="s">
        <v>1694</v>
      </c>
      <c r="C347">
        <v>21</v>
      </c>
      <c r="D347" t="s">
        <v>1696</v>
      </c>
      <c r="I347"/>
      <c r="J347"/>
      <c r="K347"/>
      <c r="N347">
        <v>0.53</v>
      </c>
      <c r="O347">
        <v>0</v>
      </c>
      <c r="P347">
        <v>50</v>
      </c>
      <c r="R347" t="s">
        <v>102</v>
      </c>
      <c r="T347" s="6">
        <f>10^-(14-Q347)</f>
        <v>1E-14</v>
      </c>
      <c r="U347" s="6">
        <v>0</v>
      </c>
      <c r="V347" s="6">
        <v>0</v>
      </c>
      <c r="W347" s="6">
        <v>0</v>
      </c>
      <c r="X347" s="6">
        <v>0</v>
      </c>
      <c r="Y347" t="s">
        <v>171</v>
      </c>
      <c r="Z347"/>
      <c r="AA347"/>
      <c r="AB347"/>
      <c r="AC347"/>
      <c r="AE347">
        <v>806</v>
      </c>
      <c r="AF347">
        <v>1</v>
      </c>
      <c r="AG347" s="9">
        <v>0.08</v>
      </c>
      <c r="AL347" s="9">
        <v>27.5</v>
      </c>
      <c r="AM347" s="9">
        <v>7.5</v>
      </c>
      <c r="AN347" s="9">
        <v>2.5</v>
      </c>
      <c r="AO347" s="9">
        <v>0.1</v>
      </c>
      <c r="AQ347" s="8"/>
    </row>
    <row r="348" spans="1:43" x14ac:dyDescent="0.3">
      <c r="A348">
        <v>85</v>
      </c>
      <c r="B348" t="s">
        <v>1694</v>
      </c>
      <c r="C348">
        <v>21</v>
      </c>
      <c r="D348" t="s">
        <v>1696</v>
      </c>
      <c r="I348"/>
      <c r="J348"/>
      <c r="K348"/>
      <c r="N348">
        <v>0.53</v>
      </c>
      <c r="O348">
        <v>0</v>
      </c>
      <c r="P348">
        <v>60</v>
      </c>
      <c r="R348" t="s">
        <v>102</v>
      </c>
      <c r="T348" s="6">
        <f>10^-(14-Q348)</f>
        <v>1E-14</v>
      </c>
      <c r="U348" s="6">
        <v>0</v>
      </c>
      <c r="V348" s="6">
        <v>0</v>
      </c>
      <c r="W348" s="6">
        <v>0</v>
      </c>
      <c r="X348" s="6">
        <v>0</v>
      </c>
      <c r="Y348" t="s">
        <v>171</v>
      </c>
      <c r="Z348"/>
      <c r="AA348"/>
      <c r="AB348"/>
      <c r="AC348"/>
      <c r="AE348">
        <v>266</v>
      </c>
      <c r="AF348">
        <v>1</v>
      </c>
      <c r="AG348" s="9">
        <v>0.08</v>
      </c>
      <c r="AL348" s="9">
        <v>27.5</v>
      </c>
      <c r="AM348" s="9">
        <v>7.5</v>
      </c>
      <c r="AN348" s="9">
        <v>2.5</v>
      </c>
      <c r="AO348" s="9">
        <v>0.1</v>
      </c>
      <c r="AQ348" s="8"/>
    </row>
    <row r="349" spans="1:43" x14ac:dyDescent="0.3">
      <c r="A349">
        <v>77</v>
      </c>
      <c r="B349" t="s">
        <v>1727</v>
      </c>
      <c r="C349">
        <v>22</v>
      </c>
      <c r="D349"/>
      <c r="E349">
        <v>14000</v>
      </c>
      <c r="H349">
        <v>0</v>
      </c>
      <c r="I349">
        <v>-0.7</v>
      </c>
      <c r="J349">
        <v>0.16666666666666666</v>
      </c>
      <c r="K349"/>
      <c r="N349">
        <v>1</v>
      </c>
      <c r="O349">
        <v>0</v>
      </c>
      <c r="P349">
        <v>25</v>
      </c>
      <c r="Q349">
        <v>0</v>
      </c>
      <c r="R349" t="s">
        <v>102</v>
      </c>
      <c r="T349" s="6">
        <f>10^-(14-Q349)</f>
        <v>1E-14</v>
      </c>
      <c r="U349" s="6">
        <v>0</v>
      </c>
      <c r="V349" s="6">
        <v>0</v>
      </c>
      <c r="W349" s="6">
        <v>0</v>
      </c>
      <c r="X349" s="6">
        <v>0</v>
      </c>
      <c r="Y349" t="s">
        <v>171</v>
      </c>
      <c r="Z349"/>
      <c r="AA349"/>
      <c r="AB349"/>
      <c r="AC349"/>
      <c r="AD349">
        <v>0.05</v>
      </c>
      <c r="AE349">
        <v>601</v>
      </c>
      <c r="AF349">
        <v>1</v>
      </c>
      <c r="AG349" s="9">
        <v>6.0000000000000001E-3</v>
      </c>
      <c r="AH349" s="9">
        <v>0</v>
      </c>
      <c r="AI349" s="9">
        <v>0</v>
      </c>
      <c r="AK349" s="9">
        <v>8.9999999999999993E-3</v>
      </c>
      <c r="AL349" s="9">
        <v>12.2</v>
      </c>
      <c r="AM349" s="9">
        <v>0</v>
      </c>
      <c r="AN349" s="9">
        <v>11</v>
      </c>
      <c r="AQ349" s="8"/>
    </row>
    <row r="350" spans="1:43" x14ac:dyDescent="0.3">
      <c r="A350">
        <v>77</v>
      </c>
      <c r="B350" t="s">
        <v>1727</v>
      </c>
      <c r="C350">
        <v>22</v>
      </c>
      <c r="D350"/>
      <c r="E350">
        <v>14000</v>
      </c>
      <c r="H350">
        <v>0</v>
      </c>
      <c r="I350">
        <v>-0.7</v>
      </c>
      <c r="J350">
        <v>0.16666666666666666</v>
      </c>
      <c r="K350"/>
      <c r="N350">
        <v>1</v>
      </c>
      <c r="O350">
        <v>0</v>
      </c>
      <c r="P350">
        <v>25</v>
      </c>
      <c r="Q350">
        <v>0</v>
      </c>
      <c r="R350" t="s">
        <v>102</v>
      </c>
      <c r="T350" s="6">
        <f>10^-(14-Q350)</f>
        <v>1E-14</v>
      </c>
      <c r="U350" s="6">
        <v>0</v>
      </c>
      <c r="V350" s="6">
        <v>0</v>
      </c>
      <c r="W350" s="6">
        <v>0</v>
      </c>
      <c r="X350" s="6">
        <v>0</v>
      </c>
      <c r="Y350" t="s">
        <v>171</v>
      </c>
      <c r="Z350"/>
      <c r="AA350"/>
      <c r="AB350"/>
      <c r="AC350"/>
      <c r="AD350">
        <v>0.05</v>
      </c>
      <c r="AE350">
        <v>229</v>
      </c>
      <c r="AF350">
        <v>1</v>
      </c>
      <c r="AG350" s="9">
        <v>0.01</v>
      </c>
      <c r="AH350" s="9">
        <v>0.1</v>
      </c>
      <c r="AI350" s="9">
        <v>3</v>
      </c>
      <c r="AK350" s="9">
        <v>0.01</v>
      </c>
      <c r="AL350" s="9">
        <v>13.3</v>
      </c>
      <c r="AM350" s="9">
        <v>0</v>
      </c>
      <c r="AN350" s="9">
        <v>0</v>
      </c>
      <c r="AQ350" s="8"/>
    </row>
    <row r="351" spans="1:43" x14ac:dyDescent="0.3">
      <c r="A351">
        <v>77</v>
      </c>
      <c r="B351" t="s">
        <v>1727</v>
      </c>
      <c r="C351">
        <v>22</v>
      </c>
      <c r="D351"/>
      <c r="E351">
        <v>14000</v>
      </c>
      <c r="H351">
        <v>0</v>
      </c>
      <c r="I351">
        <v>-0.7</v>
      </c>
      <c r="J351">
        <v>0.16666666666666666</v>
      </c>
      <c r="K351"/>
      <c r="N351">
        <v>1</v>
      </c>
      <c r="O351">
        <v>0</v>
      </c>
      <c r="P351">
        <v>25</v>
      </c>
      <c r="Q351">
        <v>0</v>
      </c>
      <c r="R351" t="s">
        <v>102</v>
      </c>
      <c r="T351" s="6">
        <f>10^-(14-Q351)</f>
        <v>1E-14</v>
      </c>
      <c r="U351" s="6">
        <v>0</v>
      </c>
      <c r="V351" s="6">
        <v>0</v>
      </c>
      <c r="W351" s="6">
        <v>0</v>
      </c>
      <c r="X351" s="6">
        <v>0</v>
      </c>
      <c r="Y351" t="s">
        <v>171</v>
      </c>
      <c r="Z351"/>
      <c r="AA351"/>
      <c r="AB351"/>
      <c r="AC351"/>
      <c r="AD351">
        <v>0.05</v>
      </c>
      <c r="AE351">
        <v>-205</v>
      </c>
      <c r="AF351">
        <v>1</v>
      </c>
      <c r="AG351" s="9">
        <v>2E-3</v>
      </c>
      <c r="AH351" s="9">
        <v>0</v>
      </c>
      <c r="AI351" s="9">
        <v>3.1E-2</v>
      </c>
      <c r="AK351" s="9">
        <v>2E-3</v>
      </c>
      <c r="AL351" s="9">
        <v>13.9</v>
      </c>
      <c r="AM351" s="9">
        <v>0</v>
      </c>
      <c r="AN351" s="9">
        <v>0</v>
      </c>
      <c r="AQ351" s="8"/>
    </row>
    <row r="352" spans="1:43" x14ac:dyDescent="0.3">
      <c r="A352">
        <v>77</v>
      </c>
      <c r="B352" t="s">
        <v>1727</v>
      </c>
      <c r="C352">
        <v>22</v>
      </c>
      <c r="D352"/>
      <c r="E352">
        <v>14000</v>
      </c>
      <c r="H352">
        <v>0</v>
      </c>
      <c r="I352">
        <v>-0.7</v>
      </c>
      <c r="J352">
        <v>0.16666666666666666</v>
      </c>
      <c r="K352"/>
      <c r="N352">
        <v>1</v>
      </c>
      <c r="O352">
        <v>0</v>
      </c>
      <c r="P352">
        <v>25</v>
      </c>
      <c r="Q352">
        <v>0</v>
      </c>
      <c r="R352" t="s">
        <v>102</v>
      </c>
      <c r="T352" s="6">
        <f>10^-(14-Q352)</f>
        <v>1E-14</v>
      </c>
      <c r="U352" s="6">
        <v>0</v>
      </c>
      <c r="V352" s="6">
        <v>0</v>
      </c>
      <c r="W352" s="6">
        <v>0</v>
      </c>
      <c r="X352" s="6">
        <v>0</v>
      </c>
      <c r="Y352" t="s">
        <v>171</v>
      </c>
      <c r="Z352"/>
      <c r="AA352"/>
      <c r="AB352"/>
      <c r="AC352"/>
      <c r="AD352">
        <v>0.05</v>
      </c>
      <c r="AE352">
        <v>341</v>
      </c>
      <c r="AF352">
        <v>1</v>
      </c>
      <c r="AG352" s="9">
        <v>4.0000000000000001E-3</v>
      </c>
      <c r="AH352" s="9">
        <v>0.02</v>
      </c>
      <c r="AI352" s="9">
        <v>0.03</v>
      </c>
      <c r="AK352" s="9">
        <v>4.0000000000000001E-3</v>
      </c>
      <c r="AL352" s="9">
        <v>13.9</v>
      </c>
      <c r="AM352" s="9">
        <v>0</v>
      </c>
      <c r="AN352" s="9">
        <v>0</v>
      </c>
      <c r="AQ352" s="8"/>
    </row>
    <row r="353" spans="1:43" x14ac:dyDescent="0.3">
      <c r="A353">
        <v>68</v>
      </c>
      <c r="B353" t="s">
        <v>1724</v>
      </c>
      <c r="C353">
        <v>23</v>
      </c>
      <c r="D353"/>
      <c r="I353"/>
      <c r="J353"/>
      <c r="K353"/>
      <c r="N353">
        <v>1</v>
      </c>
      <c r="O353">
        <v>0</v>
      </c>
      <c r="P353">
        <v>22</v>
      </c>
      <c r="Q353">
        <v>7</v>
      </c>
      <c r="R353" t="s">
        <v>102</v>
      </c>
      <c r="T353" s="6">
        <f>10^-(14-Q353)</f>
        <v>9.9999999999999995E-8</v>
      </c>
      <c r="U353" s="6">
        <v>0</v>
      </c>
      <c r="V353" s="6">
        <v>0</v>
      </c>
      <c r="W353" s="6">
        <v>0</v>
      </c>
      <c r="X353" s="6">
        <v>0</v>
      </c>
      <c r="Y353" t="s">
        <v>171</v>
      </c>
      <c r="Z353"/>
      <c r="AA353"/>
      <c r="AB353"/>
      <c r="AC353"/>
      <c r="AD353">
        <v>6.25E-2</v>
      </c>
      <c r="AE353">
        <v>50</v>
      </c>
      <c r="AF353">
        <v>1</v>
      </c>
      <c r="AK353" s="9">
        <v>5.0000000000000001E-3</v>
      </c>
      <c r="AL353" s="9">
        <v>16.600000000000001</v>
      </c>
      <c r="AM353" s="9">
        <v>11</v>
      </c>
      <c r="AN353" s="9">
        <v>2.7</v>
      </c>
      <c r="AQ353" s="8"/>
    </row>
    <row r="354" spans="1:43" x14ac:dyDescent="0.3">
      <c r="A354">
        <v>68</v>
      </c>
      <c r="B354" t="s">
        <v>1724</v>
      </c>
      <c r="C354">
        <v>23</v>
      </c>
      <c r="D354"/>
      <c r="I354"/>
      <c r="J354"/>
      <c r="K354"/>
      <c r="N354">
        <v>1</v>
      </c>
      <c r="O354">
        <v>0</v>
      </c>
      <c r="P354">
        <v>22</v>
      </c>
      <c r="Q354">
        <v>7</v>
      </c>
      <c r="R354" t="s">
        <v>102</v>
      </c>
      <c r="T354" s="6">
        <f>10^-(14-Q354)</f>
        <v>9.9999999999999995E-8</v>
      </c>
      <c r="U354" s="6">
        <v>0</v>
      </c>
      <c r="V354" s="6">
        <v>0</v>
      </c>
      <c r="W354" s="6">
        <v>0</v>
      </c>
      <c r="X354" s="6">
        <v>0</v>
      </c>
      <c r="Y354" t="s">
        <v>171</v>
      </c>
      <c r="Z354"/>
      <c r="AA354"/>
      <c r="AB354"/>
      <c r="AC354"/>
      <c r="AD354">
        <v>6.25E-2</v>
      </c>
      <c r="AE354">
        <v>-75</v>
      </c>
      <c r="AF354">
        <v>1</v>
      </c>
      <c r="AK354" s="9">
        <v>5.0000000000000001E-3</v>
      </c>
      <c r="AL354" s="9">
        <v>18.7</v>
      </c>
      <c r="AM354" s="9">
        <v>10.3</v>
      </c>
      <c r="AN354" s="9">
        <v>0</v>
      </c>
      <c r="AQ354" s="8"/>
    </row>
    <row r="355" spans="1:43" x14ac:dyDescent="0.3">
      <c r="A355">
        <v>42</v>
      </c>
      <c r="B355" t="s">
        <v>1669</v>
      </c>
      <c r="C355">
        <v>24</v>
      </c>
      <c r="D355"/>
      <c r="E355">
        <v>600</v>
      </c>
      <c r="G355" t="s">
        <v>29</v>
      </c>
      <c r="I355"/>
      <c r="J355">
        <v>18</v>
      </c>
      <c r="K355"/>
      <c r="N355">
        <v>1</v>
      </c>
      <c r="O355" s="3">
        <v>0</v>
      </c>
      <c r="P355">
        <v>75</v>
      </c>
      <c r="Q355">
        <v>7</v>
      </c>
      <c r="R355" t="s">
        <v>102</v>
      </c>
      <c r="T355" s="6">
        <f>10^-(14-Q355)</f>
        <v>9.9999999999999995E-8</v>
      </c>
      <c r="U355" s="6">
        <v>0</v>
      </c>
      <c r="V355" s="6">
        <v>0</v>
      </c>
      <c r="W355" s="6">
        <v>0</v>
      </c>
      <c r="X355" s="6">
        <v>0</v>
      </c>
      <c r="Y355" t="s">
        <v>171</v>
      </c>
      <c r="Z355"/>
      <c r="AA355"/>
      <c r="AB355"/>
      <c r="AC355"/>
      <c r="AD355">
        <v>0.33</v>
      </c>
      <c r="AE355">
        <v>751.98</v>
      </c>
      <c r="AF355">
        <v>1</v>
      </c>
      <c r="AG355" s="9">
        <v>1.4E-2</v>
      </c>
      <c r="AH355" s="9">
        <v>1.44</v>
      </c>
      <c r="AI355" s="9">
        <v>0.54</v>
      </c>
      <c r="AJ355" s="9">
        <v>8.9999999999999993E-3</v>
      </c>
      <c r="AK355" s="9">
        <v>3.0000000000000001E-3</v>
      </c>
      <c r="AL355" s="9">
        <v>19.829999999999998</v>
      </c>
      <c r="AM355" s="9">
        <v>24.99</v>
      </c>
      <c r="AN355" s="9">
        <v>4.59</v>
      </c>
      <c r="AO355" s="9">
        <v>0.21</v>
      </c>
      <c r="AQ355" s="8"/>
    </row>
    <row r="356" spans="1:43" x14ac:dyDescent="0.3">
      <c r="A356">
        <v>42</v>
      </c>
      <c r="B356" t="s">
        <v>1669</v>
      </c>
      <c r="C356">
        <v>24</v>
      </c>
      <c r="D356"/>
      <c r="E356">
        <v>600</v>
      </c>
      <c r="G356" t="s">
        <v>29</v>
      </c>
      <c r="I356"/>
      <c r="J356">
        <v>18</v>
      </c>
      <c r="K356"/>
      <c r="N356">
        <v>1</v>
      </c>
      <c r="O356" s="3">
        <v>0</v>
      </c>
      <c r="P356">
        <v>75</v>
      </c>
      <c r="Q356">
        <v>7</v>
      </c>
      <c r="R356" t="s">
        <v>102</v>
      </c>
      <c r="T356" s="6">
        <f>10^-(14-Q356)</f>
        <v>9.9999999999999995E-8</v>
      </c>
      <c r="U356" s="6">
        <v>0</v>
      </c>
      <c r="V356" s="6">
        <v>0</v>
      </c>
      <c r="W356" s="6">
        <v>0</v>
      </c>
      <c r="X356" s="6">
        <v>0</v>
      </c>
      <c r="Y356" t="s">
        <v>171</v>
      </c>
      <c r="Z356"/>
      <c r="AA356"/>
      <c r="AB356"/>
      <c r="AC356"/>
      <c r="AD356">
        <v>0.33</v>
      </c>
      <c r="AE356">
        <v>441.12</v>
      </c>
      <c r="AF356">
        <v>1</v>
      </c>
      <c r="AG356" s="9">
        <v>3.0000000000000001E-3</v>
      </c>
      <c r="AH356" s="9">
        <v>1.42</v>
      </c>
      <c r="AI356" s="9">
        <v>0.54</v>
      </c>
      <c r="AJ356" s="9">
        <v>0.01</v>
      </c>
      <c r="AK356" s="9">
        <v>3.0000000000000001E-3</v>
      </c>
      <c r="AL356" s="9">
        <v>19.850000000000001</v>
      </c>
      <c r="AM356" s="9">
        <v>24.86</v>
      </c>
      <c r="AN356" s="9">
        <v>4.5</v>
      </c>
      <c r="AO356" s="9">
        <v>1.4999999999999999E-2</v>
      </c>
      <c r="AQ356" s="8"/>
    </row>
    <row r="357" spans="1:43" x14ac:dyDescent="0.3">
      <c r="A357">
        <v>42</v>
      </c>
      <c r="B357" t="s">
        <v>1669</v>
      </c>
      <c r="C357">
        <v>24</v>
      </c>
      <c r="D357"/>
      <c r="E357">
        <v>600</v>
      </c>
      <c r="G357" t="s">
        <v>29</v>
      </c>
      <c r="I357"/>
      <c r="J357">
        <v>18</v>
      </c>
      <c r="K357"/>
      <c r="N357">
        <v>1</v>
      </c>
      <c r="O357" s="3">
        <v>0</v>
      </c>
      <c r="P357">
        <v>75</v>
      </c>
      <c r="Q357">
        <v>7</v>
      </c>
      <c r="R357" t="s">
        <v>102</v>
      </c>
      <c r="T357" s="6">
        <f>10^-(14-Q357)</f>
        <v>9.9999999999999995E-8</v>
      </c>
      <c r="U357" s="6">
        <v>0</v>
      </c>
      <c r="V357" s="6">
        <v>0</v>
      </c>
      <c r="W357" s="6">
        <v>0</v>
      </c>
      <c r="X357" s="6">
        <v>0</v>
      </c>
      <c r="Y357" t="s">
        <v>171</v>
      </c>
      <c r="Z357"/>
      <c r="AA357"/>
      <c r="AB357"/>
      <c r="AC357"/>
      <c r="AD357">
        <v>0.33</v>
      </c>
      <c r="AE357">
        <v>443.98</v>
      </c>
      <c r="AF357">
        <v>1</v>
      </c>
      <c r="AG357" s="9">
        <v>0.02</v>
      </c>
      <c r="AH357" s="9">
        <v>1.42</v>
      </c>
      <c r="AI357" s="9">
        <v>0.54</v>
      </c>
      <c r="AJ357" s="9">
        <v>0.01</v>
      </c>
      <c r="AK357" s="9">
        <v>3.0000000000000001E-3</v>
      </c>
      <c r="AL357" s="9">
        <v>19.850000000000001</v>
      </c>
      <c r="AM357" s="9">
        <v>24.86</v>
      </c>
      <c r="AN357" s="9">
        <v>4.5</v>
      </c>
      <c r="AO357" s="9">
        <v>6.0999999999999999E-2</v>
      </c>
      <c r="AQ357" s="8"/>
    </row>
    <row r="358" spans="1:43" x14ac:dyDescent="0.3">
      <c r="A358">
        <v>42</v>
      </c>
      <c r="B358" t="s">
        <v>1669</v>
      </c>
      <c r="C358">
        <v>24</v>
      </c>
      <c r="D358"/>
      <c r="E358">
        <v>600</v>
      </c>
      <c r="G358" t="s">
        <v>29</v>
      </c>
      <c r="I358"/>
      <c r="J358">
        <v>18</v>
      </c>
      <c r="K358"/>
      <c r="N358">
        <v>1</v>
      </c>
      <c r="O358" s="3">
        <v>0</v>
      </c>
      <c r="P358">
        <v>75</v>
      </c>
      <c r="Q358">
        <v>7</v>
      </c>
      <c r="R358" t="s">
        <v>102</v>
      </c>
      <c r="T358" s="6">
        <f>10^-(14-Q358)</f>
        <v>9.9999999999999995E-8</v>
      </c>
      <c r="U358" s="6">
        <v>0</v>
      </c>
      <c r="V358" s="6">
        <v>0</v>
      </c>
      <c r="W358" s="6">
        <v>0</v>
      </c>
      <c r="X358" s="6">
        <v>0</v>
      </c>
      <c r="Y358" t="s">
        <v>171</v>
      </c>
      <c r="Z358"/>
      <c r="AA358"/>
      <c r="AB358"/>
      <c r="AC358"/>
      <c r="AD358">
        <v>0.33</v>
      </c>
      <c r="AE358">
        <v>589.29</v>
      </c>
      <c r="AF358">
        <v>1</v>
      </c>
      <c r="AG358" s="9">
        <v>1.4999999999999999E-2</v>
      </c>
      <c r="AH358" s="9">
        <v>1.45</v>
      </c>
      <c r="AI358" s="9">
        <v>0.49</v>
      </c>
      <c r="AJ358" s="9">
        <v>8.9999999999999993E-3</v>
      </c>
      <c r="AK358" s="9">
        <v>3.0000000000000001E-3</v>
      </c>
      <c r="AL358" s="9">
        <v>19.87</v>
      </c>
      <c r="AM358" s="9">
        <v>24.95</v>
      </c>
      <c r="AN358" s="9">
        <v>4.55</v>
      </c>
      <c r="AO358" s="9">
        <v>0.13</v>
      </c>
      <c r="AQ358" s="8"/>
    </row>
    <row r="359" spans="1:43" x14ac:dyDescent="0.3">
      <c r="A359">
        <v>42</v>
      </c>
      <c r="B359" t="s">
        <v>1669</v>
      </c>
      <c r="C359">
        <v>24</v>
      </c>
      <c r="D359"/>
      <c r="E359">
        <v>600</v>
      </c>
      <c r="G359" t="s">
        <v>29</v>
      </c>
      <c r="I359"/>
      <c r="J359">
        <v>18</v>
      </c>
      <c r="K359"/>
      <c r="N359">
        <v>1</v>
      </c>
      <c r="O359" s="3">
        <v>0</v>
      </c>
      <c r="P359">
        <v>40</v>
      </c>
      <c r="Q359">
        <v>7</v>
      </c>
      <c r="R359" t="s">
        <v>102</v>
      </c>
      <c r="T359" s="6">
        <f>10^-(14-Q359)</f>
        <v>9.9999999999999995E-8</v>
      </c>
      <c r="U359" s="6">
        <v>0</v>
      </c>
      <c r="V359" s="6">
        <v>0</v>
      </c>
      <c r="W359" s="6">
        <v>0</v>
      </c>
      <c r="X359" s="6">
        <v>0</v>
      </c>
      <c r="Y359" t="s">
        <v>171</v>
      </c>
      <c r="Z359"/>
      <c r="AA359"/>
      <c r="AB359"/>
      <c r="AC359"/>
      <c r="AD359">
        <v>0.33</v>
      </c>
      <c r="AE359">
        <v>664.19</v>
      </c>
      <c r="AF359">
        <v>1</v>
      </c>
      <c r="AG359" s="9">
        <v>1.2999999999999999E-2</v>
      </c>
      <c r="AH359" s="9">
        <v>1.43</v>
      </c>
      <c r="AI359" s="9">
        <v>0.55000000000000004</v>
      </c>
      <c r="AJ359" s="9">
        <v>0.01</v>
      </c>
      <c r="AK359" s="9">
        <v>3.0000000000000001E-3</v>
      </c>
      <c r="AL359" s="9">
        <v>19.96</v>
      </c>
      <c r="AM359" s="9">
        <v>24.9</v>
      </c>
      <c r="AN359" s="9">
        <v>0.04</v>
      </c>
      <c r="AO359" s="9">
        <v>0.18</v>
      </c>
      <c r="AQ359" s="8"/>
    </row>
    <row r="360" spans="1:43" x14ac:dyDescent="0.3">
      <c r="A360">
        <v>42</v>
      </c>
      <c r="B360" t="s">
        <v>1669</v>
      </c>
      <c r="C360">
        <v>24</v>
      </c>
      <c r="D360"/>
      <c r="E360">
        <v>600</v>
      </c>
      <c r="G360" t="s">
        <v>29</v>
      </c>
      <c r="I360"/>
      <c r="J360">
        <v>18</v>
      </c>
      <c r="K360"/>
      <c r="N360">
        <v>1</v>
      </c>
      <c r="O360" s="3">
        <v>0</v>
      </c>
      <c r="P360">
        <v>40</v>
      </c>
      <c r="Q360">
        <v>7</v>
      </c>
      <c r="R360" t="s">
        <v>102</v>
      </c>
      <c r="T360" s="6">
        <f>10^-(14-Q360)</f>
        <v>9.9999999999999995E-8</v>
      </c>
      <c r="U360" s="6">
        <v>0</v>
      </c>
      <c r="V360" s="6">
        <v>0</v>
      </c>
      <c r="W360" s="6">
        <v>0</v>
      </c>
      <c r="X360" s="6">
        <v>0</v>
      </c>
      <c r="Y360" t="s">
        <v>171</v>
      </c>
      <c r="Z360"/>
      <c r="AA360"/>
      <c r="AB360"/>
      <c r="AC360"/>
      <c r="AD360">
        <v>0.33</v>
      </c>
      <c r="AE360">
        <v>491</v>
      </c>
      <c r="AF360">
        <v>1</v>
      </c>
      <c r="AG360" s="9">
        <v>1.4E-2</v>
      </c>
      <c r="AH360" s="9">
        <v>1.43</v>
      </c>
      <c r="AI360" s="9">
        <v>0.55000000000000004</v>
      </c>
      <c r="AJ360" s="9">
        <v>8.9999999999999993E-3</v>
      </c>
      <c r="AK360" s="9">
        <v>3.0000000000000001E-3</v>
      </c>
      <c r="AL360" s="9">
        <v>20.03</v>
      </c>
      <c r="AM360" s="9">
        <v>24.87</v>
      </c>
      <c r="AN360" s="9">
        <v>0.04</v>
      </c>
      <c r="AO360" s="9">
        <v>0.13</v>
      </c>
      <c r="AQ360" s="8"/>
    </row>
    <row r="361" spans="1:43" x14ac:dyDescent="0.3">
      <c r="A361">
        <v>42</v>
      </c>
      <c r="B361" t="s">
        <v>1669</v>
      </c>
      <c r="C361">
        <v>24</v>
      </c>
      <c r="D361"/>
      <c r="E361">
        <v>600</v>
      </c>
      <c r="G361" t="s">
        <v>29</v>
      </c>
      <c r="I361"/>
      <c r="J361">
        <v>18</v>
      </c>
      <c r="K361"/>
      <c r="N361">
        <v>1</v>
      </c>
      <c r="O361" s="3">
        <v>0</v>
      </c>
      <c r="P361">
        <v>40</v>
      </c>
      <c r="Q361">
        <v>7</v>
      </c>
      <c r="R361" t="s">
        <v>102</v>
      </c>
      <c r="T361" s="6">
        <f>10^-(14-Q361)</f>
        <v>9.9999999999999995E-8</v>
      </c>
      <c r="U361" s="6">
        <v>0</v>
      </c>
      <c r="V361" s="6">
        <v>0</v>
      </c>
      <c r="W361" s="6">
        <v>0</v>
      </c>
      <c r="X361" s="6">
        <v>0</v>
      </c>
      <c r="Y361" t="s">
        <v>171</v>
      </c>
      <c r="Z361"/>
      <c r="AA361"/>
      <c r="AB361"/>
      <c r="AC361"/>
      <c r="AD361">
        <v>0.33</v>
      </c>
      <c r="AE361">
        <v>324.73</v>
      </c>
      <c r="AF361">
        <v>1</v>
      </c>
      <c r="AG361" s="9">
        <v>3.0000000000000001E-3</v>
      </c>
      <c r="AH361" s="9">
        <v>1.31</v>
      </c>
      <c r="AI361" s="9">
        <v>0.53</v>
      </c>
      <c r="AJ361" s="9">
        <v>0.01</v>
      </c>
      <c r="AK361" s="9">
        <v>3.0000000000000001E-3</v>
      </c>
      <c r="AL361" s="9">
        <v>20.14</v>
      </c>
      <c r="AM361" s="9">
        <v>24.75</v>
      </c>
      <c r="AN361" s="9">
        <v>0.08</v>
      </c>
      <c r="AO361" s="9">
        <v>0.01</v>
      </c>
      <c r="AQ361" s="8"/>
    </row>
    <row r="362" spans="1:43" x14ac:dyDescent="0.3">
      <c r="A362">
        <v>42</v>
      </c>
      <c r="B362" t="s">
        <v>1669</v>
      </c>
      <c r="C362">
        <v>24</v>
      </c>
      <c r="D362"/>
      <c r="E362">
        <v>600</v>
      </c>
      <c r="G362" t="s">
        <v>29</v>
      </c>
      <c r="I362"/>
      <c r="J362">
        <v>18</v>
      </c>
      <c r="K362"/>
      <c r="N362">
        <v>1</v>
      </c>
      <c r="O362" s="3">
        <v>0</v>
      </c>
      <c r="P362">
        <v>40</v>
      </c>
      <c r="Q362">
        <v>7</v>
      </c>
      <c r="R362" t="s">
        <v>102</v>
      </c>
      <c r="T362" s="6">
        <f>10^-(14-Q362)</f>
        <v>9.9999999999999995E-8</v>
      </c>
      <c r="U362" s="6">
        <v>0</v>
      </c>
      <c r="V362" s="6">
        <v>0</v>
      </c>
      <c r="W362" s="6">
        <v>0</v>
      </c>
      <c r="X362" s="6">
        <v>0</v>
      </c>
      <c r="Y362" t="s">
        <v>171</v>
      </c>
      <c r="Z362"/>
      <c r="AA362"/>
      <c r="AB362"/>
      <c r="AC362"/>
      <c r="AD362">
        <v>0.33</v>
      </c>
      <c r="AE362">
        <v>424.28</v>
      </c>
      <c r="AF362">
        <v>1</v>
      </c>
      <c r="AG362" s="9">
        <v>1.4E-2</v>
      </c>
      <c r="AH362" s="9">
        <v>1.31</v>
      </c>
      <c r="AI362" s="9">
        <v>0.53</v>
      </c>
      <c r="AJ362" s="9">
        <v>0.01</v>
      </c>
      <c r="AK362" s="9">
        <v>3.0000000000000001E-3</v>
      </c>
      <c r="AL362" s="9">
        <v>20.14</v>
      </c>
      <c r="AM362" s="9">
        <v>24.75</v>
      </c>
      <c r="AN362" s="9">
        <v>0.08</v>
      </c>
      <c r="AO362" s="9">
        <v>6.4000000000000001E-2</v>
      </c>
      <c r="AQ362" s="8"/>
    </row>
    <row r="363" spans="1:43" x14ac:dyDescent="0.3">
      <c r="A363">
        <v>71</v>
      </c>
      <c r="B363" t="s">
        <v>1654</v>
      </c>
      <c r="C363">
        <v>25</v>
      </c>
      <c r="D363"/>
      <c r="E363">
        <v>120</v>
      </c>
      <c r="I363">
        <v>-1.5</v>
      </c>
      <c r="J363">
        <v>8.3333333333333329E-2</v>
      </c>
      <c r="K363"/>
      <c r="N363">
        <v>0.6</v>
      </c>
      <c r="O363" s="3">
        <v>0</v>
      </c>
      <c r="P363">
        <v>25</v>
      </c>
      <c r="Q363">
        <v>7.68</v>
      </c>
      <c r="T363" s="6">
        <f>10^-(14-Q363)</f>
        <v>4.7863009232263745E-7</v>
      </c>
      <c r="U363" s="6">
        <v>0</v>
      </c>
      <c r="V363" s="6">
        <v>0.1</v>
      </c>
      <c r="W363" s="6">
        <v>0</v>
      </c>
      <c r="X363" s="6">
        <v>0</v>
      </c>
      <c r="Y363" t="s">
        <v>171</v>
      </c>
      <c r="Z363"/>
      <c r="AA363"/>
      <c r="AB363"/>
      <c r="AC363"/>
      <c r="AD363">
        <v>0.33333333333333331</v>
      </c>
      <c r="AE363">
        <v>20</v>
      </c>
      <c r="AF363">
        <v>1</v>
      </c>
      <c r="AG363" s="9">
        <v>2.1000000000000001E-2</v>
      </c>
      <c r="AH363" s="9">
        <v>4.25</v>
      </c>
      <c r="AI363" s="9">
        <v>0.18</v>
      </c>
      <c r="AJ363" s="9">
        <v>1.9E-2</v>
      </c>
      <c r="AK363" s="9">
        <v>1.4E-2</v>
      </c>
      <c r="AL363" s="9">
        <v>16.34</v>
      </c>
      <c r="AM363" s="9">
        <v>19.16</v>
      </c>
      <c r="AN363" s="9">
        <v>2.98</v>
      </c>
      <c r="AO363" s="9">
        <v>3.4000000000000002E-2</v>
      </c>
      <c r="AQ363" s="8"/>
    </row>
    <row r="364" spans="1:43" x14ac:dyDescent="0.3">
      <c r="A364">
        <v>71</v>
      </c>
      <c r="B364" t="s">
        <v>1654</v>
      </c>
      <c r="C364">
        <v>25</v>
      </c>
      <c r="D364"/>
      <c r="E364">
        <v>120</v>
      </c>
      <c r="I364">
        <v>-1.5</v>
      </c>
      <c r="J364">
        <v>8.3333333333333329E-2</v>
      </c>
      <c r="K364"/>
      <c r="N364">
        <v>0.6</v>
      </c>
      <c r="O364" s="3">
        <v>0</v>
      </c>
      <c r="P364">
        <v>25</v>
      </c>
      <c r="Q364">
        <v>7.68</v>
      </c>
      <c r="T364" s="6">
        <f>10^-(14-Q364)</f>
        <v>4.7863009232263745E-7</v>
      </c>
      <c r="U364" s="6">
        <v>0</v>
      </c>
      <c r="V364" s="6">
        <v>0.1</v>
      </c>
      <c r="W364" s="6">
        <v>0</v>
      </c>
      <c r="X364" s="6">
        <v>0</v>
      </c>
      <c r="Y364" t="s">
        <v>171</v>
      </c>
      <c r="Z364"/>
      <c r="AA364"/>
      <c r="AB364"/>
      <c r="AC364"/>
      <c r="AD364">
        <v>0.33333333333333331</v>
      </c>
      <c r="AE364">
        <v>-15</v>
      </c>
      <c r="AF364">
        <v>1</v>
      </c>
      <c r="AG364" s="9">
        <v>7.0000000000000001E-3</v>
      </c>
      <c r="AH364" s="9">
        <v>4.08</v>
      </c>
      <c r="AI364" s="9">
        <v>0.22</v>
      </c>
      <c r="AJ364" s="9">
        <v>0.02</v>
      </c>
      <c r="AK364" s="9">
        <v>1.6E-2</v>
      </c>
      <c r="AL364" s="9">
        <v>16.420000000000002</v>
      </c>
      <c r="AM364" s="9">
        <v>19.899999999999999</v>
      </c>
      <c r="AN364" s="9">
        <v>1.03</v>
      </c>
      <c r="AO364" s="9">
        <v>0.155</v>
      </c>
      <c r="AQ364" s="8"/>
    </row>
    <row r="365" spans="1:43" x14ac:dyDescent="0.3">
      <c r="A365">
        <v>71</v>
      </c>
      <c r="B365" t="s">
        <v>1654</v>
      </c>
      <c r="C365">
        <v>25</v>
      </c>
      <c r="D365"/>
      <c r="E365">
        <v>120</v>
      </c>
      <c r="I365">
        <v>-1.5</v>
      </c>
      <c r="J365">
        <v>8.3333333333333329E-2</v>
      </c>
      <c r="K365"/>
      <c r="N365">
        <v>0.6</v>
      </c>
      <c r="O365" s="3">
        <v>0</v>
      </c>
      <c r="P365">
        <v>25</v>
      </c>
      <c r="Q365">
        <v>7.68</v>
      </c>
      <c r="T365" s="6">
        <f>10^-(14-Q365)</f>
        <v>4.7863009232263745E-7</v>
      </c>
      <c r="U365" s="6">
        <v>0</v>
      </c>
      <c r="V365" s="6">
        <v>0.1</v>
      </c>
      <c r="W365" s="6">
        <v>0</v>
      </c>
      <c r="X365" s="6">
        <v>0</v>
      </c>
      <c r="Y365" t="s">
        <v>171</v>
      </c>
      <c r="Z365"/>
      <c r="AA365"/>
      <c r="AB365"/>
      <c r="AC365"/>
      <c r="AD365">
        <v>0.33333333333333331</v>
      </c>
      <c r="AE365">
        <v>95</v>
      </c>
      <c r="AF365">
        <v>1</v>
      </c>
      <c r="AG365" s="9">
        <v>2.5000000000000001E-2</v>
      </c>
      <c r="AH365" s="9">
        <v>4.53</v>
      </c>
      <c r="AI365" s="9">
        <v>0.23</v>
      </c>
      <c r="AJ365" s="9">
        <v>1.9E-2</v>
      </c>
      <c r="AK365" s="9">
        <v>0.01</v>
      </c>
      <c r="AL365" s="9">
        <v>16.579999999999998</v>
      </c>
      <c r="AM365" s="9">
        <v>20.29</v>
      </c>
      <c r="AN365" s="9">
        <v>2.72</v>
      </c>
      <c r="AO365" s="9">
        <v>0.31</v>
      </c>
      <c r="AQ365" s="8"/>
    </row>
    <row r="366" spans="1:43" x14ac:dyDescent="0.3">
      <c r="A366">
        <v>71</v>
      </c>
      <c r="B366" t="s">
        <v>1654</v>
      </c>
      <c r="C366">
        <v>25</v>
      </c>
      <c r="D366"/>
      <c r="E366">
        <v>120</v>
      </c>
      <c r="I366">
        <v>-1.5</v>
      </c>
      <c r="J366">
        <v>8.3333333333333329E-2</v>
      </c>
      <c r="K366"/>
      <c r="N366">
        <v>0.6</v>
      </c>
      <c r="O366" s="3">
        <v>0</v>
      </c>
      <c r="P366">
        <v>25</v>
      </c>
      <c r="Q366">
        <v>7.68</v>
      </c>
      <c r="T366" s="6">
        <f>10^-(14-Q366)</f>
        <v>4.7863009232263745E-7</v>
      </c>
      <c r="U366" s="6">
        <v>0</v>
      </c>
      <c r="V366" s="6">
        <v>0.1</v>
      </c>
      <c r="W366" s="6">
        <v>0</v>
      </c>
      <c r="X366" s="6">
        <v>0</v>
      </c>
      <c r="Y366" t="s">
        <v>171</v>
      </c>
      <c r="Z366"/>
      <c r="AA366"/>
      <c r="AB366"/>
      <c r="AC366"/>
      <c r="AD366">
        <v>0.33333333333333331</v>
      </c>
      <c r="AE366">
        <v>85</v>
      </c>
      <c r="AF366">
        <v>1</v>
      </c>
      <c r="AG366" s="9">
        <v>8.0000000000000002E-3</v>
      </c>
      <c r="AH366" s="9">
        <v>4.0599999999999996</v>
      </c>
      <c r="AI366" s="9">
        <v>0.14000000000000001</v>
      </c>
      <c r="AJ366" s="9">
        <v>1.7000000000000001E-2</v>
      </c>
      <c r="AK366" s="9">
        <v>1.9E-2</v>
      </c>
      <c r="AL366" s="9">
        <v>16.7</v>
      </c>
      <c r="AM366" s="9">
        <v>19.649999999999999</v>
      </c>
      <c r="AN366" s="9">
        <v>2.92</v>
      </c>
      <c r="AO366" s="9">
        <v>0.14899999999999999</v>
      </c>
      <c r="AQ366" s="8"/>
    </row>
    <row r="367" spans="1:43" x14ac:dyDescent="0.3">
      <c r="A367">
        <v>71</v>
      </c>
      <c r="B367" t="s">
        <v>1654</v>
      </c>
      <c r="C367">
        <v>25</v>
      </c>
      <c r="D367"/>
      <c r="E367">
        <v>120</v>
      </c>
      <c r="I367">
        <v>-1.5</v>
      </c>
      <c r="J367">
        <v>8.3333333333333329E-2</v>
      </c>
      <c r="K367"/>
      <c r="N367">
        <v>0.6</v>
      </c>
      <c r="O367" s="3">
        <v>0</v>
      </c>
      <c r="P367">
        <v>25</v>
      </c>
      <c r="Q367">
        <v>7.68</v>
      </c>
      <c r="T367" s="6">
        <f>10^-(14-Q367)</f>
        <v>4.7863009232263745E-7</v>
      </c>
      <c r="U367" s="6">
        <v>0</v>
      </c>
      <c r="V367" s="6">
        <v>0.1</v>
      </c>
      <c r="W367" s="6">
        <v>0</v>
      </c>
      <c r="X367" s="6">
        <v>0</v>
      </c>
      <c r="Y367" t="s">
        <v>171</v>
      </c>
      <c r="Z367"/>
      <c r="AA367"/>
      <c r="AB367"/>
      <c r="AC367"/>
      <c r="AD367">
        <v>0.33333333333333331</v>
      </c>
      <c r="AE367">
        <v>80</v>
      </c>
      <c r="AF367">
        <v>1</v>
      </c>
      <c r="AG367" s="9">
        <v>1.2E-2</v>
      </c>
      <c r="AH367" s="9">
        <v>4.07</v>
      </c>
      <c r="AI367" s="9">
        <v>0.27</v>
      </c>
      <c r="AJ367" s="9">
        <v>0.02</v>
      </c>
      <c r="AK367" s="9">
        <v>1.7999999999999999E-2</v>
      </c>
      <c r="AL367" s="9">
        <v>16.8</v>
      </c>
      <c r="AM367" s="9">
        <v>20.05</v>
      </c>
      <c r="AN367" s="9">
        <v>2.94</v>
      </c>
      <c r="AO367" s="9">
        <v>0.29099999999999998</v>
      </c>
      <c r="AQ367" s="8"/>
    </row>
    <row r="368" spans="1:43" x14ac:dyDescent="0.3">
      <c r="A368">
        <v>71</v>
      </c>
      <c r="B368" t="s">
        <v>1654</v>
      </c>
      <c r="C368">
        <v>25</v>
      </c>
      <c r="D368"/>
      <c r="E368">
        <v>120</v>
      </c>
      <c r="I368">
        <v>-1.5</v>
      </c>
      <c r="J368">
        <v>8.3333333333333329E-2</v>
      </c>
      <c r="K368"/>
      <c r="N368">
        <v>0.6</v>
      </c>
      <c r="O368" s="3">
        <v>0</v>
      </c>
      <c r="P368">
        <v>25</v>
      </c>
      <c r="Q368">
        <v>7.68</v>
      </c>
      <c r="T368" s="6">
        <f>10^-(14-Q368)</f>
        <v>4.7863009232263745E-7</v>
      </c>
      <c r="U368" s="6">
        <v>0</v>
      </c>
      <c r="V368" s="6">
        <v>0.1</v>
      </c>
      <c r="W368" s="6">
        <v>0</v>
      </c>
      <c r="X368" s="6">
        <v>0</v>
      </c>
      <c r="Y368" t="s">
        <v>171</v>
      </c>
      <c r="Z368"/>
      <c r="AA368"/>
      <c r="AB368"/>
      <c r="AC368"/>
      <c r="AD368">
        <v>0.33333333333333331</v>
      </c>
      <c r="AE368">
        <v>65</v>
      </c>
      <c r="AF368">
        <v>1</v>
      </c>
      <c r="AG368" s="9">
        <v>2.4E-2</v>
      </c>
      <c r="AH368" s="9">
        <v>4.0599999999999996</v>
      </c>
      <c r="AI368" s="9">
        <v>0.33</v>
      </c>
      <c r="AJ368" s="9">
        <v>0.02</v>
      </c>
      <c r="AK368" s="9">
        <v>1.6E-2</v>
      </c>
      <c r="AL368" s="9">
        <v>16.86</v>
      </c>
      <c r="AM368" s="9">
        <v>19.98</v>
      </c>
      <c r="AN368" s="9">
        <v>1.03</v>
      </c>
      <c r="AO368" s="9">
        <v>0.27</v>
      </c>
      <c r="AQ368" s="8"/>
    </row>
    <row r="369" spans="1:43" x14ac:dyDescent="0.3">
      <c r="A369">
        <v>71</v>
      </c>
      <c r="B369" t="s">
        <v>1654</v>
      </c>
      <c r="C369">
        <v>25</v>
      </c>
      <c r="D369"/>
      <c r="E369">
        <v>120</v>
      </c>
      <c r="I369">
        <v>-1.5</v>
      </c>
      <c r="J369">
        <v>8.3333333333333329E-2</v>
      </c>
      <c r="K369"/>
      <c r="N369">
        <v>0.6</v>
      </c>
      <c r="O369" s="3">
        <v>0</v>
      </c>
      <c r="P369">
        <v>25</v>
      </c>
      <c r="Q369">
        <v>7.68</v>
      </c>
      <c r="T369" s="6">
        <f>10^-(14-Q369)</f>
        <v>4.7863009232263745E-7</v>
      </c>
      <c r="U369" s="6">
        <v>0</v>
      </c>
      <c r="V369" s="6">
        <v>0.1</v>
      </c>
      <c r="W369" s="6">
        <v>0</v>
      </c>
      <c r="X369" s="6">
        <v>0</v>
      </c>
      <c r="Y369" t="s">
        <v>171</v>
      </c>
      <c r="Z369"/>
      <c r="AA369"/>
      <c r="AB369"/>
      <c r="AC369"/>
      <c r="AD369">
        <v>0.33333333333333331</v>
      </c>
      <c r="AE369">
        <v>50</v>
      </c>
      <c r="AF369">
        <v>1</v>
      </c>
      <c r="AG369" s="9">
        <v>2.5000000000000001E-2</v>
      </c>
      <c r="AH369" s="9">
        <v>4.3099999999999996</v>
      </c>
      <c r="AI369" s="9">
        <v>0.17</v>
      </c>
      <c r="AJ369" s="9">
        <v>1.7999999999999999E-2</v>
      </c>
      <c r="AK369" s="9">
        <v>1.2E-2</v>
      </c>
      <c r="AL369" s="9">
        <v>16.86</v>
      </c>
      <c r="AM369" s="9">
        <v>20.54</v>
      </c>
      <c r="AN369" s="9">
        <v>1.01</v>
      </c>
      <c r="AO369" s="9">
        <v>0.28999999999999998</v>
      </c>
      <c r="AQ369" s="8"/>
    </row>
    <row r="370" spans="1:43" x14ac:dyDescent="0.3">
      <c r="A370">
        <v>71</v>
      </c>
      <c r="B370" t="s">
        <v>1654</v>
      </c>
      <c r="C370">
        <v>25</v>
      </c>
      <c r="D370"/>
      <c r="E370">
        <v>120</v>
      </c>
      <c r="I370">
        <v>-1.5</v>
      </c>
      <c r="J370">
        <v>8.3333333333333329E-2</v>
      </c>
      <c r="K370"/>
      <c r="N370">
        <v>0.6</v>
      </c>
      <c r="O370" s="3">
        <v>0</v>
      </c>
      <c r="P370">
        <v>25</v>
      </c>
      <c r="Q370">
        <v>7.68</v>
      </c>
      <c r="T370" s="6">
        <f>10^-(14-Q370)</f>
        <v>4.7863009232263745E-7</v>
      </c>
      <c r="U370" s="6">
        <v>0</v>
      </c>
      <c r="V370" s="6">
        <v>0.1</v>
      </c>
      <c r="W370" s="6">
        <v>0</v>
      </c>
      <c r="X370" s="6">
        <v>0</v>
      </c>
      <c r="Y370" t="s">
        <v>171</v>
      </c>
      <c r="Z370"/>
      <c r="AA370"/>
      <c r="AB370"/>
      <c r="AC370"/>
      <c r="AD370">
        <v>0.33333333333333331</v>
      </c>
      <c r="AE370">
        <v>-65</v>
      </c>
      <c r="AF370">
        <v>1</v>
      </c>
      <c r="AG370" s="9">
        <v>0.03</v>
      </c>
      <c r="AH370" s="9">
        <v>3.84</v>
      </c>
      <c r="AI370" s="9">
        <v>0.13</v>
      </c>
      <c r="AJ370" s="9">
        <v>1.4E-2</v>
      </c>
      <c r="AK370" s="9">
        <v>1.0999999999999999E-2</v>
      </c>
      <c r="AL370" s="9">
        <v>17.38</v>
      </c>
      <c r="AM370" s="9">
        <v>20.149999999999999</v>
      </c>
      <c r="AN370" s="9">
        <v>0.02</v>
      </c>
      <c r="AO370" s="9">
        <v>3.5999999999999997E-2</v>
      </c>
      <c r="AQ370" s="8"/>
    </row>
    <row r="371" spans="1:43" x14ac:dyDescent="0.3">
      <c r="A371">
        <v>71</v>
      </c>
      <c r="B371" t="s">
        <v>1654</v>
      </c>
      <c r="C371">
        <v>25</v>
      </c>
      <c r="D371"/>
      <c r="E371">
        <v>120</v>
      </c>
      <c r="I371">
        <v>-1.5</v>
      </c>
      <c r="J371">
        <v>8.3333333333333329E-2</v>
      </c>
      <c r="K371"/>
      <c r="N371">
        <v>0.6</v>
      </c>
      <c r="O371" s="3">
        <v>0</v>
      </c>
      <c r="P371">
        <v>25</v>
      </c>
      <c r="Q371">
        <v>7.68</v>
      </c>
      <c r="T371" s="6">
        <f>10^-(14-Q371)</f>
        <v>4.7863009232263745E-7</v>
      </c>
      <c r="U371" s="6">
        <v>0</v>
      </c>
      <c r="V371" s="6">
        <v>0.1</v>
      </c>
      <c r="W371" s="6">
        <v>0</v>
      </c>
      <c r="X371" s="6">
        <v>0</v>
      </c>
      <c r="Y371" t="s">
        <v>171</v>
      </c>
      <c r="Z371"/>
      <c r="AA371"/>
      <c r="AB371"/>
      <c r="AC371"/>
      <c r="AD371">
        <v>0.33333333333333331</v>
      </c>
      <c r="AE371">
        <v>-25</v>
      </c>
      <c r="AF371">
        <v>1</v>
      </c>
      <c r="AG371" s="9">
        <v>2.5000000000000001E-2</v>
      </c>
      <c r="AH371" s="9">
        <v>4.22</v>
      </c>
      <c r="AI371" s="9">
        <v>0.19</v>
      </c>
      <c r="AJ371" s="9">
        <v>1.7000000000000001E-2</v>
      </c>
      <c r="AK371" s="9">
        <v>0.01</v>
      </c>
      <c r="AL371" s="9">
        <v>17.68</v>
      </c>
      <c r="AM371" s="9">
        <v>20.43</v>
      </c>
      <c r="AN371" s="9">
        <v>0.08</v>
      </c>
      <c r="AO371" s="9">
        <v>0.3</v>
      </c>
      <c r="AQ371" s="8"/>
    </row>
    <row r="372" spans="1:43" x14ac:dyDescent="0.3">
      <c r="A372">
        <v>71</v>
      </c>
      <c r="B372" t="s">
        <v>1654</v>
      </c>
      <c r="C372">
        <v>25</v>
      </c>
      <c r="D372"/>
      <c r="E372">
        <v>120</v>
      </c>
      <c r="I372">
        <v>-1.5</v>
      </c>
      <c r="J372">
        <v>8.3333333333333329E-2</v>
      </c>
      <c r="K372"/>
      <c r="N372">
        <v>0.6</v>
      </c>
      <c r="O372" s="3">
        <v>0</v>
      </c>
      <c r="P372">
        <v>25</v>
      </c>
      <c r="Q372">
        <v>7.68</v>
      </c>
      <c r="T372" s="6">
        <f>10^-(14-Q372)</f>
        <v>4.7863009232263745E-7</v>
      </c>
      <c r="U372" s="6">
        <v>0</v>
      </c>
      <c r="V372" s="6">
        <v>0.1</v>
      </c>
      <c r="W372" s="6">
        <v>0</v>
      </c>
      <c r="X372" s="6">
        <v>0</v>
      </c>
      <c r="Y372" t="s">
        <v>171</v>
      </c>
      <c r="Z372"/>
      <c r="AA372"/>
      <c r="AB372"/>
      <c r="AC372"/>
      <c r="AD372">
        <v>0.33333333333333331</v>
      </c>
      <c r="AE372">
        <v>-40</v>
      </c>
      <c r="AF372">
        <v>1</v>
      </c>
      <c r="AG372" s="9">
        <v>3.5000000000000003E-2</v>
      </c>
      <c r="AH372" s="9">
        <v>4.38</v>
      </c>
      <c r="AI372" s="9">
        <v>0.19</v>
      </c>
      <c r="AJ372" s="9">
        <v>1.6E-2</v>
      </c>
      <c r="AK372" s="9">
        <v>0.01</v>
      </c>
      <c r="AL372" s="9">
        <v>17.95</v>
      </c>
      <c r="AM372" s="9">
        <v>19.899999999999999</v>
      </c>
      <c r="AN372" s="9">
        <v>1.03</v>
      </c>
      <c r="AO372" s="9">
        <v>3.1E-2</v>
      </c>
      <c r="AQ372" s="8"/>
    </row>
    <row r="373" spans="1:43" x14ac:dyDescent="0.3">
      <c r="A373">
        <v>71</v>
      </c>
      <c r="B373" t="s">
        <v>1654</v>
      </c>
      <c r="C373">
        <v>25</v>
      </c>
      <c r="D373"/>
      <c r="E373">
        <v>120</v>
      </c>
      <c r="I373">
        <v>-1.5</v>
      </c>
      <c r="J373">
        <v>8.3333333333333329E-2</v>
      </c>
      <c r="K373"/>
      <c r="N373">
        <v>0.6</v>
      </c>
      <c r="O373" s="3">
        <v>0</v>
      </c>
      <c r="P373">
        <v>25</v>
      </c>
      <c r="Q373">
        <v>7.68</v>
      </c>
      <c r="T373" s="6">
        <f>10^-(14-Q373)</f>
        <v>4.7863009232263745E-7</v>
      </c>
      <c r="U373" s="6">
        <v>0</v>
      </c>
      <c r="V373" s="6">
        <v>0.1</v>
      </c>
      <c r="W373" s="6">
        <v>0</v>
      </c>
      <c r="X373" s="6">
        <v>0</v>
      </c>
      <c r="Y373" t="s">
        <v>171</v>
      </c>
      <c r="Z373"/>
      <c r="AA373"/>
      <c r="AB373"/>
      <c r="AC373"/>
      <c r="AD373">
        <v>0.33333333333333331</v>
      </c>
      <c r="AE373">
        <v>-10</v>
      </c>
      <c r="AF373">
        <v>1</v>
      </c>
      <c r="AG373" s="9">
        <v>0.02</v>
      </c>
      <c r="AH373" s="9">
        <v>4.2</v>
      </c>
      <c r="AI373" s="9">
        <v>0.16</v>
      </c>
      <c r="AJ373" s="9">
        <v>1.4999999999999999E-2</v>
      </c>
      <c r="AK373" s="9">
        <v>7.0000000000000001E-3</v>
      </c>
      <c r="AL373" s="9">
        <v>22.13</v>
      </c>
      <c r="AM373" s="9">
        <v>20.3</v>
      </c>
      <c r="AN373" s="9">
        <v>0.99</v>
      </c>
      <c r="AO373" s="9">
        <v>5.3999999999999999E-2</v>
      </c>
      <c r="AQ373" s="8"/>
    </row>
    <row r="374" spans="1:43" x14ac:dyDescent="0.3">
      <c r="A374">
        <v>71</v>
      </c>
      <c r="B374" t="s">
        <v>1654</v>
      </c>
      <c r="C374">
        <v>25</v>
      </c>
      <c r="D374"/>
      <c r="E374">
        <v>120</v>
      </c>
      <c r="I374">
        <v>-1.5</v>
      </c>
      <c r="J374">
        <v>8.3333333333333329E-2</v>
      </c>
      <c r="K374"/>
      <c r="N374">
        <v>0.6</v>
      </c>
      <c r="O374" s="3">
        <v>0</v>
      </c>
      <c r="P374">
        <v>25</v>
      </c>
      <c r="Q374">
        <v>7.68</v>
      </c>
      <c r="T374" s="6">
        <f>10^-(14-Q374)</f>
        <v>4.7863009232263745E-7</v>
      </c>
      <c r="U374" s="6">
        <v>0</v>
      </c>
      <c r="V374" s="6">
        <v>0.1</v>
      </c>
      <c r="W374" s="6">
        <v>0</v>
      </c>
      <c r="X374" s="6">
        <v>0</v>
      </c>
      <c r="Y374" t="s">
        <v>171</v>
      </c>
      <c r="Z374"/>
      <c r="AA374"/>
      <c r="AB374"/>
      <c r="AC374"/>
      <c r="AD374">
        <v>0.33333333333333331</v>
      </c>
      <c r="AE374">
        <v>920</v>
      </c>
      <c r="AF374">
        <v>1</v>
      </c>
      <c r="AG374" s="9">
        <v>2.1999999999999999E-2</v>
      </c>
      <c r="AH374" s="9">
        <v>4.3499999999999996</v>
      </c>
      <c r="AI374" s="9">
        <v>0.16</v>
      </c>
      <c r="AJ374" s="9">
        <v>1.4999999999999999E-2</v>
      </c>
      <c r="AK374" s="9">
        <v>1.0999999999999999E-2</v>
      </c>
      <c r="AL374" s="9">
        <v>22.35</v>
      </c>
      <c r="AM374" s="9">
        <v>20.39</v>
      </c>
      <c r="AN374" s="9">
        <v>2.73</v>
      </c>
      <c r="AO374" s="9">
        <v>0.31</v>
      </c>
      <c r="AQ374" s="8"/>
    </row>
    <row r="375" spans="1:43" x14ac:dyDescent="0.3">
      <c r="A375">
        <v>71</v>
      </c>
      <c r="B375" t="s">
        <v>1654</v>
      </c>
      <c r="C375">
        <v>25</v>
      </c>
      <c r="D375"/>
      <c r="E375">
        <v>120</v>
      </c>
      <c r="I375">
        <v>-1.5</v>
      </c>
      <c r="J375">
        <v>8.3333333333333329E-2</v>
      </c>
      <c r="K375"/>
      <c r="N375">
        <v>0.6</v>
      </c>
      <c r="O375" s="3">
        <v>0</v>
      </c>
      <c r="P375">
        <v>25</v>
      </c>
      <c r="Q375">
        <v>7.68</v>
      </c>
      <c r="T375" s="6">
        <f>10^-(14-Q375)</f>
        <v>4.7863009232263745E-7</v>
      </c>
      <c r="U375" s="6">
        <v>0</v>
      </c>
      <c r="V375" s="6">
        <v>0.1</v>
      </c>
      <c r="W375" s="6">
        <v>0</v>
      </c>
      <c r="X375" s="6">
        <v>0</v>
      </c>
      <c r="Y375" t="s">
        <v>171</v>
      </c>
      <c r="Z375"/>
      <c r="AA375"/>
      <c r="AB375"/>
      <c r="AC375"/>
      <c r="AD375">
        <v>0.33333333333333331</v>
      </c>
      <c r="AE375">
        <v>125</v>
      </c>
      <c r="AF375">
        <v>1</v>
      </c>
      <c r="AG375" s="9">
        <v>2.5000000000000001E-2</v>
      </c>
      <c r="AH375" s="9">
        <v>4.29</v>
      </c>
      <c r="AI375" s="9">
        <v>0.21</v>
      </c>
      <c r="AJ375" s="9">
        <v>1.2999999999999999E-2</v>
      </c>
      <c r="AK375" s="9">
        <v>1.0999999999999999E-2</v>
      </c>
      <c r="AL375" s="9">
        <v>22.41</v>
      </c>
      <c r="AM375" s="9">
        <v>19.96</v>
      </c>
      <c r="AN375" s="9">
        <v>2.64</v>
      </c>
      <c r="AO375" s="9">
        <v>6.7000000000000004E-2</v>
      </c>
      <c r="AQ375" s="8"/>
    </row>
    <row r="376" spans="1:43" x14ac:dyDescent="0.3">
      <c r="A376">
        <v>71</v>
      </c>
      <c r="B376" t="s">
        <v>1654</v>
      </c>
      <c r="C376">
        <v>25</v>
      </c>
      <c r="D376"/>
      <c r="E376">
        <v>120</v>
      </c>
      <c r="I376">
        <v>-1.5</v>
      </c>
      <c r="J376">
        <v>8.3333333333333329E-2</v>
      </c>
      <c r="K376"/>
      <c r="N376">
        <v>0.6</v>
      </c>
      <c r="O376" s="3">
        <v>0</v>
      </c>
      <c r="P376">
        <v>25</v>
      </c>
      <c r="Q376">
        <v>7.68</v>
      </c>
      <c r="T376" s="6">
        <f>10^-(14-Q376)</f>
        <v>4.7863009232263745E-7</v>
      </c>
      <c r="U376" s="6">
        <v>0</v>
      </c>
      <c r="V376" s="6">
        <v>0.1</v>
      </c>
      <c r="W376" s="6">
        <v>0</v>
      </c>
      <c r="X376" s="6">
        <v>0</v>
      </c>
      <c r="Y376" t="s">
        <v>171</v>
      </c>
      <c r="Z376"/>
      <c r="AA376"/>
      <c r="AB376"/>
      <c r="AC376"/>
      <c r="AD376">
        <v>0.33333333333333331</v>
      </c>
      <c r="AE376">
        <v>50</v>
      </c>
      <c r="AF376">
        <v>1</v>
      </c>
      <c r="AG376" s="9">
        <v>1.7000000000000001E-2</v>
      </c>
      <c r="AH376" s="9">
        <v>4.33</v>
      </c>
      <c r="AI376" s="9">
        <v>0.14000000000000001</v>
      </c>
      <c r="AJ376" s="9">
        <v>8.0000000000000002E-3</v>
      </c>
      <c r="AK376" s="9">
        <v>8.0000000000000002E-3</v>
      </c>
      <c r="AL376" s="9">
        <v>22.46</v>
      </c>
      <c r="AM376" s="9">
        <v>20.27</v>
      </c>
      <c r="AN376" s="9">
        <v>0.1</v>
      </c>
      <c r="AO376" s="9">
        <v>0.39</v>
      </c>
      <c r="AQ376" s="8"/>
    </row>
    <row r="377" spans="1:43" x14ac:dyDescent="0.3">
      <c r="A377">
        <v>71</v>
      </c>
      <c r="B377" t="s">
        <v>1654</v>
      </c>
      <c r="C377">
        <v>25</v>
      </c>
      <c r="D377"/>
      <c r="E377">
        <v>120</v>
      </c>
      <c r="I377">
        <v>-1.5</v>
      </c>
      <c r="J377">
        <v>8.3333333333333329E-2</v>
      </c>
      <c r="K377"/>
      <c r="N377">
        <v>0.6</v>
      </c>
      <c r="O377" s="3">
        <v>0</v>
      </c>
      <c r="P377">
        <v>25</v>
      </c>
      <c r="Q377">
        <v>7.68</v>
      </c>
      <c r="T377" s="6">
        <f>10^-(14-Q377)</f>
        <v>4.7863009232263745E-7</v>
      </c>
      <c r="U377" s="6">
        <v>0</v>
      </c>
      <c r="V377" s="6">
        <v>0.1</v>
      </c>
      <c r="W377" s="6">
        <v>0</v>
      </c>
      <c r="X377" s="6">
        <v>0</v>
      </c>
      <c r="Y377" t="s">
        <v>171</v>
      </c>
      <c r="Z377"/>
      <c r="AA377"/>
      <c r="AB377"/>
      <c r="AC377"/>
      <c r="AD377">
        <v>0.33333333333333331</v>
      </c>
      <c r="AE377">
        <v>35</v>
      </c>
      <c r="AF377">
        <v>1</v>
      </c>
      <c r="AG377" s="9">
        <v>8.0000000000000002E-3</v>
      </c>
      <c r="AH377" s="9">
        <v>4.0199999999999996</v>
      </c>
      <c r="AI377" s="9">
        <v>0.15</v>
      </c>
      <c r="AJ377" s="9">
        <v>1.6E-2</v>
      </c>
      <c r="AK377" s="9">
        <v>1.7999999999999999E-2</v>
      </c>
      <c r="AL377" s="9">
        <v>22.52</v>
      </c>
      <c r="AM377" s="9">
        <v>19.850000000000001</v>
      </c>
      <c r="AN377" s="9">
        <v>1.07</v>
      </c>
      <c r="AO377" s="9">
        <v>0.155</v>
      </c>
      <c r="AQ377" s="8"/>
    </row>
    <row r="378" spans="1:43" x14ac:dyDescent="0.3">
      <c r="A378">
        <v>71</v>
      </c>
      <c r="B378" t="s">
        <v>1654</v>
      </c>
      <c r="C378">
        <v>25</v>
      </c>
      <c r="D378"/>
      <c r="E378">
        <v>120</v>
      </c>
      <c r="I378">
        <v>-1.5</v>
      </c>
      <c r="J378">
        <v>8.3333333333333329E-2</v>
      </c>
      <c r="K378"/>
      <c r="N378">
        <v>0.6</v>
      </c>
      <c r="O378" s="3">
        <v>0</v>
      </c>
      <c r="P378">
        <v>25</v>
      </c>
      <c r="Q378">
        <v>7.68</v>
      </c>
      <c r="T378" s="6">
        <f>10^-(14-Q378)</f>
        <v>4.7863009232263745E-7</v>
      </c>
      <c r="U378" s="6">
        <v>0</v>
      </c>
      <c r="V378" s="6">
        <v>0.1</v>
      </c>
      <c r="W378" s="6">
        <v>0</v>
      </c>
      <c r="X378" s="6">
        <v>0</v>
      </c>
      <c r="Y378" t="s">
        <v>171</v>
      </c>
      <c r="Z378"/>
      <c r="AA378"/>
      <c r="AB378"/>
      <c r="AC378"/>
      <c r="AD378">
        <v>0.33333333333333331</v>
      </c>
      <c r="AE378">
        <v>940</v>
      </c>
      <c r="AF378">
        <v>1</v>
      </c>
      <c r="AG378" s="9">
        <v>0.02</v>
      </c>
      <c r="AH378" s="9">
        <v>3.75</v>
      </c>
      <c r="AI378" s="9">
        <v>0.23</v>
      </c>
      <c r="AJ378" s="9">
        <v>1.9E-2</v>
      </c>
      <c r="AK378" s="9">
        <v>1.7000000000000001E-2</v>
      </c>
      <c r="AL378" s="9">
        <v>22.52</v>
      </c>
      <c r="AM378" s="9">
        <v>19.95</v>
      </c>
      <c r="AN378" s="9">
        <v>2.96</v>
      </c>
      <c r="AO378" s="9">
        <v>0.45500000000000002</v>
      </c>
      <c r="AQ378" s="8"/>
    </row>
    <row r="379" spans="1:43" x14ac:dyDescent="0.3">
      <c r="A379">
        <v>71</v>
      </c>
      <c r="B379" t="s">
        <v>1654</v>
      </c>
      <c r="C379">
        <v>25</v>
      </c>
      <c r="D379"/>
      <c r="E379">
        <v>120</v>
      </c>
      <c r="I379">
        <v>-1.5</v>
      </c>
      <c r="J379">
        <v>8.3333333333333329E-2</v>
      </c>
      <c r="K379"/>
      <c r="N379">
        <v>0.6</v>
      </c>
      <c r="O379" s="3">
        <v>0</v>
      </c>
      <c r="P379">
        <v>25</v>
      </c>
      <c r="Q379">
        <v>7.68</v>
      </c>
      <c r="T379" s="6">
        <f>10^-(14-Q379)</f>
        <v>4.7863009232263745E-7</v>
      </c>
      <c r="U379" s="6">
        <v>0</v>
      </c>
      <c r="V379" s="6">
        <v>0.1</v>
      </c>
      <c r="W379" s="6">
        <v>0</v>
      </c>
      <c r="X379" s="6">
        <v>0</v>
      </c>
      <c r="Y379" t="s">
        <v>171</v>
      </c>
      <c r="Z379"/>
      <c r="AA379"/>
      <c r="AB379"/>
      <c r="AC379"/>
      <c r="AD379">
        <v>0.33333333333333331</v>
      </c>
      <c r="AE379">
        <v>-30</v>
      </c>
      <c r="AF379">
        <v>1</v>
      </c>
      <c r="AG379" s="9">
        <v>1.2E-2</v>
      </c>
      <c r="AH379" s="9">
        <v>4.28</v>
      </c>
      <c r="AI379" s="9">
        <v>0.13</v>
      </c>
      <c r="AJ379" s="9">
        <v>7.0000000000000001E-3</v>
      </c>
      <c r="AK379" s="9">
        <v>8.9999999999999993E-3</v>
      </c>
      <c r="AL379" s="9">
        <v>22.58</v>
      </c>
      <c r="AM379" s="9">
        <v>19.88</v>
      </c>
      <c r="AN379" s="9">
        <v>0.05</v>
      </c>
      <c r="AO379" s="9">
        <v>5.3999999999999999E-2</v>
      </c>
      <c r="AQ379" s="8"/>
    </row>
    <row r="380" spans="1:43" x14ac:dyDescent="0.3">
      <c r="A380">
        <v>71</v>
      </c>
      <c r="B380" t="s">
        <v>1654</v>
      </c>
      <c r="C380">
        <v>25</v>
      </c>
      <c r="D380"/>
      <c r="E380">
        <v>120</v>
      </c>
      <c r="I380">
        <v>-1.5</v>
      </c>
      <c r="J380">
        <v>8.3333333333333329E-2</v>
      </c>
      <c r="K380"/>
      <c r="N380">
        <v>0.6</v>
      </c>
      <c r="O380" s="3">
        <v>0</v>
      </c>
      <c r="P380">
        <v>25</v>
      </c>
      <c r="Q380">
        <v>7.68</v>
      </c>
      <c r="T380" s="6">
        <f>10^-(14-Q380)</f>
        <v>4.7863009232263745E-7</v>
      </c>
      <c r="U380" s="6">
        <v>0</v>
      </c>
      <c r="V380" s="6">
        <v>0.1</v>
      </c>
      <c r="W380" s="6">
        <v>0</v>
      </c>
      <c r="X380" s="6">
        <v>0</v>
      </c>
      <c r="Y380" t="s">
        <v>171</v>
      </c>
      <c r="Z380"/>
      <c r="AA380"/>
      <c r="AB380"/>
      <c r="AC380"/>
      <c r="AD380">
        <v>0.33333333333333331</v>
      </c>
      <c r="AE380">
        <v>200</v>
      </c>
      <c r="AF380">
        <v>1</v>
      </c>
      <c r="AG380" s="9">
        <v>1.0999999999999999E-2</v>
      </c>
      <c r="AH380" s="9">
        <v>3.8</v>
      </c>
      <c r="AI380" s="9">
        <v>0.2</v>
      </c>
      <c r="AJ380" s="9">
        <v>0.02</v>
      </c>
      <c r="AK380" s="9">
        <v>1.4999999999999999E-2</v>
      </c>
      <c r="AL380" s="9">
        <v>22.72</v>
      </c>
      <c r="AM380" s="9">
        <v>19.95</v>
      </c>
      <c r="AN380" s="9">
        <v>1.02</v>
      </c>
      <c r="AO380" s="9">
        <v>0.41199999999999998</v>
      </c>
      <c r="AQ380" s="8"/>
    </row>
    <row r="381" spans="1:43" x14ac:dyDescent="0.3">
      <c r="A381">
        <v>71</v>
      </c>
      <c r="B381" t="s">
        <v>1654</v>
      </c>
      <c r="C381">
        <v>25</v>
      </c>
      <c r="D381"/>
      <c r="E381">
        <v>120</v>
      </c>
      <c r="I381">
        <v>-1.5</v>
      </c>
      <c r="J381">
        <v>8.3333333333333329E-2</v>
      </c>
      <c r="K381"/>
      <c r="N381">
        <v>0.6</v>
      </c>
      <c r="O381" s="3">
        <v>0</v>
      </c>
      <c r="P381">
        <v>25</v>
      </c>
      <c r="Q381">
        <v>7.68</v>
      </c>
      <c r="T381" s="6">
        <f>10^-(14-Q381)</f>
        <v>4.7863009232263745E-7</v>
      </c>
      <c r="U381" s="6">
        <v>0</v>
      </c>
      <c r="V381" s="6">
        <v>0.1</v>
      </c>
      <c r="W381" s="6">
        <v>0</v>
      </c>
      <c r="X381" s="6">
        <v>0</v>
      </c>
      <c r="Y381" t="s">
        <v>171</v>
      </c>
      <c r="Z381"/>
      <c r="AA381"/>
      <c r="AB381"/>
      <c r="AC381"/>
      <c r="AD381">
        <v>0.33333333333333331</v>
      </c>
      <c r="AE381">
        <v>170</v>
      </c>
      <c r="AF381">
        <v>1</v>
      </c>
      <c r="AG381" s="9">
        <v>1.2E-2</v>
      </c>
      <c r="AH381" s="9">
        <v>3.8</v>
      </c>
      <c r="AI381" s="9">
        <v>0.14000000000000001</v>
      </c>
      <c r="AJ381" s="9">
        <v>1.7000000000000001E-2</v>
      </c>
      <c r="AK381" s="9">
        <v>1.9E-2</v>
      </c>
      <c r="AL381" s="9">
        <v>22.84</v>
      </c>
      <c r="AM381" s="9">
        <v>20.05</v>
      </c>
      <c r="AN381" s="9">
        <v>2.85</v>
      </c>
      <c r="AO381" s="9">
        <v>0.159</v>
      </c>
      <c r="AQ381" s="8"/>
    </row>
    <row r="382" spans="1:43" x14ac:dyDescent="0.3">
      <c r="A382">
        <v>36</v>
      </c>
      <c r="B382" t="s">
        <v>1656</v>
      </c>
      <c r="C382">
        <v>26</v>
      </c>
      <c r="D382"/>
      <c r="E382">
        <v>800</v>
      </c>
      <c r="I382">
        <v>0.15</v>
      </c>
      <c r="J382">
        <v>1</v>
      </c>
      <c r="K382"/>
      <c r="N382">
        <v>6.9999999999999999E-4</v>
      </c>
      <c r="O382" s="3">
        <v>0</v>
      </c>
      <c r="P382">
        <v>80</v>
      </c>
      <c r="Q382">
        <v>7</v>
      </c>
      <c r="R382" t="s">
        <v>102</v>
      </c>
      <c r="T382" s="6">
        <f>10^-(14-Q382)</f>
        <v>9.9999999999999995E-8</v>
      </c>
      <c r="U382" s="6">
        <v>0</v>
      </c>
      <c r="V382" s="6">
        <v>0</v>
      </c>
      <c r="W382" s="6">
        <v>0</v>
      </c>
      <c r="X382" s="6">
        <v>0</v>
      </c>
      <c r="Y382" t="s">
        <v>171</v>
      </c>
      <c r="Z382"/>
      <c r="AA382"/>
      <c r="AB382"/>
      <c r="AC382"/>
      <c r="AD382">
        <v>2.8E-3</v>
      </c>
      <c r="AE382">
        <v>605</v>
      </c>
      <c r="AF382">
        <v>1</v>
      </c>
      <c r="AG382" s="9">
        <v>0.04</v>
      </c>
      <c r="AH382" s="9">
        <v>0.31</v>
      </c>
      <c r="AI382" s="9">
        <v>0.26</v>
      </c>
      <c r="AK382" s="9">
        <v>1E-3</v>
      </c>
      <c r="AL382" s="9">
        <v>15.5</v>
      </c>
      <c r="AM382" s="9">
        <v>73.86</v>
      </c>
      <c r="AQ382" s="8"/>
    </row>
    <row r="383" spans="1:43" x14ac:dyDescent="0.3">
      <c r="A383">
        <v>36</v>
      </c>
      <c r="B383" t="s">
        <v>1656</v>
      </c>
      <c r="C383">
        <v>26</v>
      </c>
      <c r="D383"/>
      <c r="E383">
        <v>800</v>
      </c>
      <c r="I383">
        <v>0.15</v>
      </c>
      <c r="J383">
        <v>1</v>
      </c>
      <c r="K383"/>
      <c r="N383">
        <v>6.9999999999999999E-4</v>
      </c>
      <c r="O383" s="3">
        <v>0</v>
      </c>
      <c r="P383">
        <v>80</v>
      </c>
      <c r="Q383">
        <v>7</v>
      </c>
      <c r="T383" s="6">
        <f>10^-(14-Q383)</f>
        <v>9.9999999999999995E-8</v>
      </c>
      <c r="U383" s="6">
        <v>8.0000000000000007E-5</v>
      </c>
      <c r="V383" s="6">
        <v>0</v>
      </c>
      <c r="W383" s="6">
        <v>0</v>
      </c>
      <c r="X383" s="6">
        <v>0</v>
      </c>
      <c r="Y383" t="s">
        <v>171</v>
      </c>
      <c r="Z383"/>
      <c r="AA383"/>
      <c r="AB383"/>
      <c r="AC383"/>
      <c r="AD383">
        <v>2.8E-3</v>
      </c>
      <c r="AE383">
        <v>305</v>
      </c>
      <c r="AF383">
        <v>1</v>
      </c>
      <c r="AG383" s="9">
        <v>0.04</v>
      </c>
      <c r="AH383" s="9">
        <v>0.31</v>
      </c>
      <c r="AI383" s="9">
        <v>0.26</v>
      </c>
      <c r="AK383" s="9">
        <v>1E-3</v>
      </c>
      <c r="AL383" s="9">
        <v>15.5</v>
      </c>
      <c r="AM383" s="9">
        <v>73.86</v>
      </c>
      <c r="AQ383" s="8"/>
    </row>
    <row r="384" spans="1:43" x14ac:dyDescent="0.3">
      <c r="A384">
        <v>36</v>
      </c>
      <c r="B384" t="s">
        <v>1656</v>
      </c>
      <c r="C384">
        <v>26</v>
      </c>
      <c r="D384"/>
      <c r="E384">
        <v>800</v>
      </c>
      <c r="I384">
        <v>0.15</v>
      </c>
      <c r="J384">
        <v>1</v>
      </c>
      <c r="K384"/>
      <c r="N384">
        <v>6.9999999999999999E-4</v>
      </c>
      <c r="O384" s="3">
        <v>0</v>
      </c>
      <c r="P384">
        <v>80</v>
      </c>
      <c r="Q384">
        <v>7</v>
      </c>
      <c r="R384" t="s">
        <v>102</v>
      </c>
      <c r="T384" s="6">
        <f>10^-(14-Q384)</f>
        <v>9.9999999999999995E-8</v>
      </c>
      <c r="U384" s="6">
        <v>0</v>
      </c>
      <c r="V384" s="6">
        <v>0</v>
      </c>
      <c r="W384" s="6">
        <v>0</v>
      </c>
      <c r="X384" s="6">
        <v>0</v>
      </c>
      <c r="Y384" t="s">
        <v>171</v>
      </c>
      <c r="Z384"/>
      <c r="AA384"/>
      <c r="AB384"/>
      <c r="AC384"/>
      <c r="AD384">
        <v>2.8E-3</v>
      </c>
      <c r="AE384">
        <v>455</v>
      </c>
      <c r="AF384">
        <v>1</v>
      </c>
      <c r="AG384" s="9">
        <v>5.3999999999999999E-2</v>
      </c>
      <c r="AH384" s="9">
        <v>1.78</v>
      </c>
      <c r="AI384" s="9">
        <v>0.56000000000000005</v>
      </c>
      <c r="AJ384" s="9">
        <v>0.03</v>
      </c>
      <c r="AK384" s="9">
        <v>7.0000000000000001E-3</v>
      </c>
      <c r="AL384" s="9">
        <v>16.62</v>
      </c>
      <c r="AM384" s="9">
        <v>8.4600000000000009</v>
      </c>
      <c r="AN384" s="9">
        <v>0.21</v>
      </c>
      <c r="AQ384" s="8"/>
    </row>
    <row r="385" spans="1:43" x14ac:dyDescent="0.3">
      <c r="A385">
        <v>36</v>
      </c>
      <c r="B385" t="s">
        <v>1656</v>
      </c>
      <c r="C385">
        <v>26</v>
      </c>
      <c r="D385"/>
      <c r="E385">
        <v>800</v>
      </c>
      <c r="I385">
        <v>0.15</v>
      </c>
      <c r="J385">
        <v>1</v>
      </c>
      <c r="K385"/>
      <c r="N385">
        <v>6.9999999999999999E-4</v>
      </c>
      <c r="O385" s="3">
        <v>0</v>
      </c>
      <c r="P385">
        <v>80</v>
      </c>
      <c r="Q385">
        <v>7</v>
      </c>
      <c r="T385" s="6">
        <f>10^-(14-Q385)</f>
        <v>9.9999999999999995E-8</v>
      </c>
      <c r="U385" s="6">
        <v>8.0000000000000007E-5</v>
      </c>
      <c r="V385" s="6">
        <v>0</v>
      </c>
      <c r="W385" s="6">
        <v>0</v>
      </c>
      <c r="X385" s="6">
        <v>0</v>
      </c>
      <c r="Y385" t="s">
        <v>171</v>
      </c>
      <c r="Z385"/>
      <c r="AA385"/>
      <c r="AB385"/>
      <c r="AC385"/>
      <c r="AD385">
        <v>2.8E-3</v>
      </c>
      <c r="AE385">
        <v>170</v>
      </c>
      <c r="AF385">
        <v>1</v>
      </c>
      <c r="AG385" s="9">
        <v>5.3999999999999999E-2</v>
      </c>
      <c r="AH385" s="9">
        <v>1.78</v>
      </c>
      <c r="AI385" s="9">
        <v>0.56000000000000005</v>
      </c>
      <c r="AJ385" s="9">
        <v>0.03</v>
      </c>
      <c r="AK385" s="9">
        <v>7.0000000000000001E-3</v>
      </c>
      <c r="AL385" s="9">
        <v>16.62</v>
      </c>
      <c r="AM385" s="9">
        <v>8.4600000000000009</v>
      </c>
      <c r="AN385" s="9">
        <v>0.21</v>
      </c>
      <c r="AQ385" s="8"/>
    </row>
    <row r="386" spans="1:43" x14ac:dyDescent="0.3">
      <c r="A386">
        <v>36</v>
      </c>
      <c r="B386" t="s">
        <v>1656</v>
      </c>
      <c r="C386">
        <v>26</v>
      </c>
      <c r="D386"/>
      <c r="E386">
        <v>800</v>
      </c>
      <c r="I386">
        <v>0.15</v>
      </c>
      <c r="J386">
        <v>1</v>
      </c>
      <c r="K386"/>
      <c r="N386">
        <v>6.9999999999999999E-4</v>
      </c>
      <c r="O386" s="3">
        <v>0</v>
      </c>
      <c r="P386">
        <v>80</v>
      </c>
      <c r="Q386">
        <v>7</v>
      </c>
      <c r="R386" t="s">
        <v>102</v>
      </c>
      <c r="T386" s="6">
        <f>10^-(14-Q386)</f>
        <v>9.9999999999999995E-8</v>
      </c>
      <c r="U386" s="6">
        <v>0</v>
      </c>
      <c r="V386" s="6">
        <v>0</v>
      </c>
      <c r="W386" s="6">
        <v>0</v>
      </c>
      <c r="X386" s="6">
        <v>0</v>
      </c>
      <c r="Y386" t="s">
        <v>171</v>
      </c>
      <c r="Z386"/>
      <c r="AA386"/>
      <c r="AB386"/>
      <c r="AC386"/>
      <c r="AD386">
        <v>2.8E-3</v>
      </c>
      <c r="AE386">
        <v>505</v>
      </c>
      <c r="AF386">
        <v>1</v>
      </c>
      <c r="AG386" s="9">
        <v>2.3E-2</v>
      </c>
      <c r="AH386" s="9">
        <v>0.7</v>
      </c>
      <c r="AI386" s="9">
        <v>0.39</v>
      </c>
      <c r="AK386" s="9">
        <v>4.0000000000000001E-3</v>
      </c>
      <c r="AL386" s="9">
        <v>18.5</v>
      </c>
      <c r="AM386" s="9">
        <v>31.79</v>
      </c>
      <c r="AN386" s="9">
        <v>0.2</v>
      </c>
      <c r="AQ386" s="8"/>
    </row>
    <row r="387" spans="1:43" x14ac:dyDescent="0.3">
      <c r="A387">
        <v>36</v>
      </c>
      <c r="B387" t="s">
        <v>1656</v>
      </c>
      <c r="C387">
        <v>26</v>
      </c>
      <c r="D387"/>
      <c r="E387">
        <v>800</v>
      </c>
      <c r="I387">
        <v>0.15</v>
      </c>
      <c r="J387">
        <v>1</v>
      </c>
      <c r="K387"/>
      <c r="N387">
        <v>6.9999999999999999E-4</v>
      </c>
      <c r="O387" s="3">
        <v>0</v>
      </c>
      <c r="P387">
        <v>80</v>
      </c>
      <c r="Q387">
        <v>7</v>
      </c>
      <c r="T387" s="6">
        <f>10^-(14-Q387)</f>
        <v>9.9999999999999995E-8</v>
      </c>
      <c r="U387" s="6">
        <v>8.0000000000000007E-5</v>
      </c>
      <c r="V387" s="6">
        <v>0</v>
      </c>
      <c r="W387" s="6">
        <v>0</v>
      </c>
      <c r="X387" s="6">
        <v>0</v>
      </c>
      <c r="Y387" t="s">
        <v>171</v>
      </c>
      <c r="Z387"/>
      <c r="AA387"/>
      <c r="AB387"/>
      <c r="AC387"/>
      <c r="AD387">
        <v>2.8E-3</v>
      </c>
      <c r="AE387">
        <v>245</v>
      </c>
      <c r="AF387">
        <v>1</v>
      </c>
      <c r="AG387" s="9">
        <v>2.3E-2</v>
      </c>
      <c r="AH387" s="9">
        <v>0.7</v>
      </c>
      <c r="AI387" s="9">
        <v>0.39</v>
      </c>
      <c r="AK387" s="9">
        <v>4.0000000000000001E-3</v>
      </c>
      <c r="AL387" s="9">
        <v>18.5</v>
      </c>
      <c r="AM387" s="9">
        <v>31.79</v>
      </c>
      <c r="AN387" s="9">
        <v>0.2</v>
      </c>
      <c r="AQ387" s="8"/>
    </row>
    <row r="388" spans="1:43" x14ac:dyDescent="0.3">
      <c r="A388">
        <v>38</v>
      </c>
      <c r="B388" t="s">
        <v>1658</v>
      </c>
      <c r="C388">
        <v>27</v>
      </c>
      <c r="D388"/>
      <c r="E388">
        <v>600</v>
      </c>
      <c r="I388"/>
      <c r="J388"/>
      <c r="K388"/>
      <c r="L388" t="s">
        <v>172</v>
      </c>
      <c r="N388">
        <v>0.9</v>
      </c>
      <c r="O388" s="3">
        <v>0</v>
      </c>
      <c r="P388">
        <v>60</v>
      </c>
      <c r="Q388">
        <v>7</v>
      </c>
      <c r="R388" t="s">
        <v>102</v>
      </c>
      <c r="T388" s="6">
        <f>10^-(14-Q388)</f>
        <v>9.9999999999999995E-8</v>
      </c>
      <c r="U388" s="6">
        <v>0</v>
      </c>
      <c r="V388" s="6">
        <v>0</v>
      </c>
      <c r="W388" s="6">
        <v>0</v>
      </c>
      <c r="X388" s="6">
        <v>0</v>
      </c>
      <c r="Y388" t="s">
        <v>171</v>
      </c>
      <c r="Z388"/>
      <c r="AA388"/>
      <c r="AB388"/>
      <c r="AC388"/>
      <c r="AD388">
        <v>0.33</v>
      </c>
      <c r="AE388">
        <v>352.91</v>
      </c>
      <c r="AF388">
        <v>1</v>
      </c>
      <c r="AG388" s="9">
        <v>8.0000000000000002E-3</v>
      </c>
      <c r="AH388" s="9">
        <v>1.73</v>
      </c>
      <c r="AI388" s="9">
        <v>0.5</v>
      </c>
      <c r="AJ388" s="9">
        <v>4.0000000000000001E-3</v>
      </c>
      <c r="AK388" s="9">
        <v>4.0000000000000001E-3</v>
      </c>
      <c r="AL388" s="9">
        <v>21.7</v>
      </c>
      <c r="AM388" s="9">
        <v>5.51</v>
      </c>
      <c r="AN388" s="9">
        <v>3.14</v>
      </c>
      <c r="AO388" s="9">
        <v>0.16400000000000001</v>
      </c>
      <c r="AQ388" s="8"/>
    </row>
    <row r="389" spans="1:43" x14ac:dyDescent="0.3">
      <c r="A389">
        <v>38</v>
      </c>
      <c r="B389" t="s">
        <v>1658</v>
      </c>
      <c r="C389">
        <v>27</v>
      </c>
      <c r="D389"/>
      <c r="E389">
        <v>600</v>
      </c>
      <c r="I389"/>
      <c r="J389"/>
      <c r="K389"/>
      <c r="L389" t="s">
        <v>172</v>
      </c>
      <c r="N389">
        <v>0.9</v>
      </c>
      <c r="O389" s="3">
        <v>0</v>
      </c>
      <c r="P389">
        <v>60</v>
      </c>
      <c r="Q389">
        <v>7</v>
      </c>
      <c r="R389" t="s">
        <v>102</v>
      </c>
      <c r="T389" s="6">
        <f>10^-(14-Q389)</f>
        <v>9.9999999999999995E-8</v>
      </c>
      <c r="U389" s="6">
        <v>0</v>
      </c>
      <c r="V389" s="6">
        <v>0</v>
      </c>
      <c r="W389" s="6">
        <v>0</v>
      </c>
      <c r="X389" s="6">
        <v>0</v>
      </c>
      <c r="Y389" t="s">
        <v>171</v>
      </c>
      <c r="Z389"/>
      <c r="AA389"/>
      <c r="AB389"/>
      <c r="AC389"/>
      <c r="AD389">
        <v>0.33</v>
      </c>
      <c r="AE389">
        <v>724.53</v>
      </c>
      <c r="AF389">
        <v>1</v>
      </c>
      <c r="AG389" s="9">
        <v>1.4999999999999999E-2</v>
      </c>
      <c r="AH389" s="9">
        <v>1.7</v>
      </c>
      <c r="AI389" s="9">
        <v>0.5</v>
      </c>
      <c r="AJ389" s="9">
        <v>3.0000000000000001E-3</v>
      </c>
      <c r="AK389" s="9">
        <v>4.0000000000000001E-3</v>
      </c>
      <c r="AL389" s="9">
        <v>21.7</v>
      </c>
      <c r="AM389" s="9">
        <v>5.51</v>
      </c>
      <c r="AN389" s="9">
        <v>3.16</v>
      </c>
      <c r="AO389" s="9">
        <v>0.23799999999999999</v>
      </c>
      <c r="AQ389" s="8"/>
    </row>
    <row r="390" spans="1:43" x14ac:dyDescent="0.3">
      <c r="A390">
        <v>38</v>
      </c>
      <c r="B390" t="s">
        <v>1658</v>
      </c>
      <c r="C390">
        <v>27</v>
      </c>
      <c r="D390"/>
      <c r="E390">
        <v>600</v>
      </c>
      <c r="I390"/>
      <c r="J390"/>
      <c r="K390"/>
      <c r="L390" t="s">
        <v>172</v>
      </c>
      <c r="N390">
        <v>0.9</v>
      </c>
      <c r="O390" s="3">
        <v>0</v>
      </c>
      <c r="P390">
        <v>60</v>
      </c>
      <c r="Q390">
        <v>7</v>
      </c>
      <c r="R390" t="s">
        <v>102</v>
      </c>
      <c r="T390" s="6">
        <f>10^-(14-Q390)</f>
        <v>9.9999999999999995E-8</v>
      </c>
      <c r="U390" s="6">
        <v>0</v>
      </c>
      <c r="V390" s="6">
        <v>0</v>
      </c>
      <c r="W390" s="6">
        <v>0</v>
      </c>
      <c r="X390" s="6">
        <v>0</v>
      </c>
      <c r="Y390" t="s">
        <v>171</v>
      </c>
      <c r="Z390"/>
      <c r="AA390"/>
      <c r="AB390"/>
      <c r="AC390"/>
      <c r="AD390">
        <v>0.33</v>
      </c>
      <c r="AE390">
        <v>243.61</v>
      </c>
      <c r="AF390">
        <v>1</v>
      </c>
      <c r="AG390" s="9">
        <v>8.0000000000000002E-3</v>
      </c>
      <c r="AH390" s="9">
        <v>1.73</v>
      </c>
      <c r="AI390" s="9">
        <v>0.5</v>
      </c>
      <c r="AJ390" s="9">
        <v>4.0000000000000001E-3</v>
      </c>
      <c r="AK390" s="9">
        <v>4.0000000000000001E-3</v>
      </c>
      <c r="AL390" s="9">
        <v>21.7</v>
      </c>
      <c r="AM390" s="9">
        <v>5.51</v>
      </c>
      <c r="AN390" s="9">
        <v>3.14</v>
      </c>
      <c r="AO390" s="9">
        <v>0.16400000000000001</v>
      </c>
      <c r="AQ390" s="8"/>
    </row>
    <row r="391" spans="1:43" x14ac:dyDescent="0.3">
      <c r="A391">
        <v>38</v>
      </c>
      <c r="B391" t="s">
        <v>1658</v>
      </c>
      <c r="C391">
        <v>27</v>
      </c>
      <c r="D391"/>
      <c r="E391">
        <v>600</v>
      </c>
      <c r="I391"/>
      <c r="J391"/>
      <c r="K391"/>
      <c r="L391" t="s">
        <v>172</v>
      </c>
      <c r="N391">
        <v>0.9</v>
      </c>
      <c r="O391" s="3">
        <v>0</v>
      </c>
      <c r="P391">
        <v>60</v>
      </c>
      <c r="Q391">
        <v>7</v>
      </c>
      <c r="R391" t="s">
        <v>102</v>
      </c>
      <c r="T391" s="6">
        <f>10^-(14-Q391)</f>
        <v>9.9999999999999995E-8</v>
      </c>
      <c r="U391" s="6">
        <v>0</v>
      </c>
      <c r="V391" s="6">
        <v>0</v>
      </c>
      <c r="W391" s="6">
        <v>0</v>
      </c>
      <c r="X391" s="6">
        <v>0</v>
      </c>
      <c r="Y391" t="s">
        <v>171</v>
      </c>
      <c r="Z391"/>
      <c r="AA391"/>
      <c r="AB391"/>
      <c r="AC391"/>
      <c r="AD391">
        <v>0.33</v>
      </c>
      <c r="AE391">
        <v>461.75</v>
      </c>
      <c r="AF391">
        <v>1</v>
      </c>
      <c r="AG391" s="9">
        <v>1.4999999999999999E-2</v>
      </c>
      <c r="AH391" s="9">
        <v>1.7</v>
      </c>
      <c r="AI391" s="9">
        <v>0.5</v>
      </c>
      <c r="AJ391" s="9">
        <v>3.0000000000000001E-3</v>
      </c>
      <c r="AK391" s="9">
        <v>4.0000000000000001E-3</v>
      </c>
      <c r="AL391" s="9">
        <v>21.7</v>
      </c>
      <c r="AM391" s="9">
        <v>5.51</v>
      </c>
      <c r="AN391" s="9">
        <v>3.16</v>
      </c>
      <c r="AO391" s="9">
        <v>0.23799999999999999</v>
      </c>
      <c r="AQ391" s="8"/>
    </row>
    <row r="392" spans="1:43" x14ac:dyDescent="0.3">
      <c r="A392">
        <v>38</v>
      </c>
      <c r="B392" t="s">
        <v>1658</v>
      </c>
      <c r="C392">
        <v>27</v>
      </c>
      <c r="D392"/>
      <c r="E392">
        <v>600</v>
      </c>
      <c r="I392"/>
      <c r="J392"/>
      <c r="K392"/>
      <c r="L392" t="s">
        <v>172</v>
      </c>
      <c r="N392">
        <v>0.9</v>
      </c>
      <c r="O392" s="3">
        <v>0</v>
      </c>
      <c r="P392">
        <v>60</v>
      </c>
      <c r="Q392">
        <v>7</v>
      </c>
      <c r="R392" t="s">
        <v>102</v>
      </c>
      <c r="T392" s="6">
        <f>10^-(14-Q392)</f>
        <v>9.9999999999999995E-8</v>
      </c>
      <c r="U392" s="6">
        <v>0</v>
      </c>
      <c r="V392" s="6">
        <v>0</v>
      </c>
      <c r="W392" s="6">
        <v>0</v>
      </c>
      <c r="X392" s="6">
        <v>0</v>
      </c>
      <c r="Y392" t="s">
        <v>171</v>
      </c>
      <c r="Z392"/>
      <c r="AA392"/>
      <c r="AB392"/>
      <c r="AC392"/>
      <c r="AD392">
        <v>0.33</v>
      </c>
      <c r="AE392">
        <v>225.31</v>
      </c>
      <c r="AF392">
        <v>1</v>
      </c>
      <c r="AG392" s="9">
        <v>1.2E-2</v>
      </c>
      <c r="AH392" s="9">
        <v>1.74</v>
      </c>
      <c r="AI392" s="9">
        <v>0.49</v>
      </c>
      <c r="AJ392" s="9">
        <v>4.0000000000000001E-3</v>
      </c>
      <c r="AK392" s="9">
        <v>4.0000000000000001E-3</v>
      </c>
      <c r="AL392" s="9">
        <v>21.72</v>
      </c>
      <c r="AM392" s="9">
        <v>5.58</v>
      </c>
      <c r="AN392" s="9">
        <v>3.16</v>
      </c>
      <c r="AO392" s="9">
        <v>7.6999999999999999E-2</v>
      </c>
      <c r="AQ392" s="8"/>
    </row>
    <row r="393" spans="1:43" x14ac:dyDescent="0.3">
      <c r="A393">
        <v>38</v>
      </c>
      <c r="B393" t="s">
        <v>1658</v>
      </c>
      <c r="C393">
        <v>27</v>
      </c>
      <c r="D393"/>
      <c r="E393">
        <v>600</v>
      </c>
      <c r="I393"/>
      <c r="J393"/>
      <c r="K393"/>
      <c r="L393" t="s">
        <v>172</v>
      </c>
      <c r="N393">
        <v>0.9</v>
      </c>
      <c r="O393" s="3">
        <v>0</v>
      </c>
      <c r="P393">
        <v>60</v>
      </c>
      <c r="Q393">
        <v>7</v>
      </c>
      <c r="R393" t="s">
        <v>102</v>
      </c>
      <c r="T393" s="6">
        <f>10^-(14-Q393)</f>
        <v>9.9999999999999995E-8</v>
      </c>
      <c r="U393" s="6">
        <v>0</v>
      </c>
      <c r="V393" s="6">
        <v>0</v>
      </c>
      <c r="W393" s="6">
        <v>0</v>
      </c>
      <c r="X393" s="6">
        <v>0</v>
      </c>
      <c r="Y393" t="s">
        <v>171</v>
      </c>
      <c r="Z393"/>
      <c r="AA393"/>
      <c r="AB393"/>
      <c r="AC393"/>
      <c r="AD393">
        <v>0.33</v>
      </c>
      <c r="AE393">
        <v>169.92</v>
      </c>
      <c r="AF393">
        <v>1</v>
      </c>
      <c r="AG393" s="9">
        <v>1.2E-2</v>
      </c>
      <c r="AH393" s="9">
        <v>1.74</v>
      </c>
      <c r="AI393" s="9">
        <v>0.49</v>
      </c>
      <c r="AJ393" s="9">
        <v>4.0000000000000001E-3</v>
      </c>
      <c r="AK393" s="9">
        <v>4.0000000000000001E-3</v>
      </c>
      <c r="AL393" s="9">
        <v>21.72</v>
      </c>
      <c r="AM393" s="9">
        <v>5.58</v>
      </c>
      <c r="AN393" s="9">
        <v>3.16</v>
      </c>
      <c r="AO393" s="9">
        <v>7.6999999999999999E-2</v>
      </c>
      <c r="AQ393" s="8"/>
    </row>
    <row r="394" spans="1:43" x14ac:dyDescent="0.3">
      <c r="A394">
        <v>38</v>
      </c>
      <c r="B394" t="s">
        <v>1658</v>
      </c>
      <c r="C394">
        <v>27</v>
      </c>
      <c r="D394"/>
      <c r="E394">
        <v>600</v>
      </c>
      <c r="I394"/>
      <c r="J394"/>
      <c r="K394"/>
      <c r="L394" t="s">
        <v>172</v>
      </c>
      <c r="N394">
        <v>0.9</v>
      </c>
      <c r="O394" s="3">
        <v>0</v>
      </c>
      <c r="P394">
        <v>60</v>
      </c>
      <c r="Q394">
        <v>7</v>
      </c>
      <c r="R394" t="s">
        <v>102</v>
      </c>
      <c r="T394" s="6">
        <f>10^-(14-Q394)</f>
        <v>9.9999999999999995E-8</v>
      </c>
      <c r="U394" s="6">
        <v>0</v>
      </c>
      <c r="V394" s="6">
        <v>0</v>
      </c>
      <c r="W394" s="6">
        <v>0</v>
      </c>
      <c r="X394" s="6">
        <v>0</v>
      </c>
      <c r="Y394" t="s">
        <v>171</v>
      </c>
      <c r="Z394"/>
      <c r="AA394"/>
      <c r="AB394"/>
      <c r="AC394"/>
      <c r="AD394">
        <v>0.33</v>
      </c>
      <c r="AE394">
        <v>277.95</v>
      </c>
      <c r="AF394">
        <v>1</v>
      </c>
      <c r="AG394" s="9">
        <v>1.6E-2</v>
      </c>
      <c r="AH394" s="9">
        <v>1.83</v>
      </c>
      <c r="AI394" s="9">
        <v>0.49</v>
      </c>
      <c r="AJ394" s="9">
        <v>4.0000000000000001E-3</v>
      </c>
      <c r="AK394" s="9">
        <v>5.0000000000000001E-3</v>
      </c>
      <c r="AL394" s="9">
        <v>21.75</v>
      </c>
      <c r="AM394" s="9">
        <v>5.56</v>
      </c>
      <c r="AN394" s="9">
        <v>3.3</v>
      </c>
      <c r="AO394" s="9">
        <v>0.13700000000000001</v>
      </c>
      <c r="AQ394" s="8"/>
    </row>
    <row r="395" spans="1:43" x14ac:dyDescent="0.3">
      <c r="A395">
        <v>38</v>
      </c>
      <c r="B395" t="s">
        <v>1658</v>
      </c>
      <c r="C395">
        <v>27</v>
      </c>
      <c r="D395"/>
      <c r="E395">
        <v>600</v>
      </c>
      <c r="I395"/>
      <c r="J395"/>
      <c r="K395"/>
      <c r="L395" t="s">
        <v>172</v>
      </c>
      <c r="N395">
        <v>0.9</v>
      </c>
      <c r="O395" s="3">
        <v>0</v>
      </c>
      <c r="P395">
        <v>60</v>
      </c>
      <c r="Q395">
        <v>7</v>
      </c>
      <c r="R395" t="s">
        <v>102</v>
      </c>
      <c r="T395" s="6">
        <f>10^-(14-Q395)</f>
        <v>9.9999999999999995E-8</v>
      </c>
      <c r="U395" s="6">
        <v>0</v>
      </c>
      <c r="V395" s="6">
        <v>0</v>
      </c>
      <c r="W395" s="6">
        <v>0</v>
      </c>
      <c r="X395" s="6">
        <v>0</v>
      </c>
      <c r="Y395" t="s">
        <v>171</v>
      </c>
      <c r="Z395"/>
      <c r="AA395"/>
      <c r="AB395"/>
      <c r="AC395"/>
      <c r="AD395">
        <v>0.33</v>
      </c>
      <c r="AE395">
        <v>186.61</v>
      </c>
      <c r="AF395">
        <v>1</v>
      </c>
      <c r="AG395" s="9">
        <v>1.6E-2</v>
      </c>
      <c r="AH395" s="9">
        <v>1.83</v>
      </c>
      <c r="AI395" s="9">
        <v>0.49</v>
      </c>
      <c r="AJ395" s="9">
        <v>4.0000000000000001E-3</v>
      </c>
      <c r="AK395" s="9">
        <v>5.0000000000000001E-3</v>
      </c>
      <c r="AL395" s="9">
        <v>21.75</v>
      </c>
      <c r="AM395" s="9">
        <v>5.56</v>
      </c>
      <c r="AN395" s="9">
        <v>3.3</v>
      </c>
      <c r="AO395" s="9">
        <v>0.13700000000000001</v>
      </c>
      <c r="AQ395" s="8"/>
    </row>
    <row r="396" spans="1:43" x14ac:dyDescent="0.3">
      <c r="A396">
        <v>38</v>
      </c>
      <c r="B396" t="s">
        <v>1658</v>
      </c>
      <c r="C396">
        <v>27</v>
      </c>
      <c r="D396"/>
      <c r="E396">
        <v>600</v>
      </c>
      <c r="I396"/>
      <c r="J396"/>
      <c r="K396"/>
      <c r="L396" t="s">
        <v>172</v>
      </c>
      <c r="N396">
        <v>0.9</v>
      </c>
      <c r="O396" s="3">
        <v>0</v>
      </c>
      <c r="P396">
        <v>60</v>
      </c>
      <c r="Q396">
        <v>7</v>
      </c>
      <c r="R396" t="s">
        <v>102</v>
      </c>
      <c r="T396" s="6">
        <f>10^-(14-Q396)</f>
        <v>9.9999999999999995E-8</v>
      </c>
      <c r="U396" s="6">
        <v>0</v>
      </c>
      <c r="V396" s="6">
        <v>0</v>
      </c>
      <c r="W396" s="6">
        <v>0</v>
      </c>
      <c r="X396" s="6">
        <v>0</v>
      </c>
      <c r="Y396" t="s">
        <v>171</v>
      </c>
      <c r="Z396"/>
      <c r="AA396"/>
      <c r="AB396"/>
      <c r="AC396"/>
      <c r="AD396">
        <v>0.33</v>
      </c>
      <c r="AE396">
        <v>256.93</v>
      </c>
      <c r="AF396">
        <v>1</v>
      </c>
      <c r="AG396" s="9">
        <v>1.6E-2</v>
      </c>
      <c r="AH396" s="9">
        <v>1.83</v>
      </c>
      <c r="AI396" s="9">
        <v>0.49</v>
      </c>
      <c r="AJ396" s="9">
        <v>4.0000000000000001E-3</v>
      </c>
      <c r="AK396" s="9">
        <v>5.0000000000000001E-3</v>
      </c>
      <c r="AL396" s="9">
        <v>21.75</v>
      </c>
      <c r="AM396" s="9">
        <v>5.56</v>
      </c>
      <c r="AN396" s="9">
        <v>3.3</v>
      </c>
      <c r="AO396" s="9">
        <v>0.13700000000000001</v>
      </c>
      <c r="AQ396" s="8"/>
    </row>
    <row r="397" spans="1:43" x14ac:dyDescent="0.3">
      <c r="A397">
        <v>38</v>
      </c>
      <c r="B397" t="s">
        <v>1658</v>
      </c>
      <c r="C397">
        <v>27</v>
      </c>
      <c r="D397"/>
      <c r="E397">
        <v>600</v>
      </c>
      <c r="I397"/>
      <c r="J397"/>
      <c r="K397"/>
      <c r="L397" t="s">
        <v>172</v>
      </c>
      <c r="N397">
        <v>0.9</v>
      </c>
      <c r="O397" s="3">
        <v>0</v>
      </c>
      <c r="P397">
        <v>60</v>
      </c>
      <c r="Q397">
        <v>7</v>
      </c>
      <c r="R397" t="s">
        <v>102</v>
      </c>
      <c r="T397" s="6">
        <f>10^-(14-Q397)</f>
        <v>9.9999999999999995E-8</v>
      </c>
      <c r="U397" s="6">
        <v>0</v>
      </c>
      <c r="V397" s="6">
        <v>0</v>
      </c>
      <c r="W397" s="6">
        <v>0</v>
      </c>
      <c r="X397" s="6">
        <v>0</v>
      </c>
      <c r="Y397" t="s">
        <v>171</v>
      </c>
      <c r="Z397"/>
      <c r="AA397"/>
      <c r="AB397"/>
      <c r="AC397"/>
      <c r="AD397">
        <v>0.33</v>
      </c>
      <c r="AE397">
        <v>243.35</v>
      </c>
      <c r="AF397">
        <v>1</v>
      </c>
      <c r="AG397" s="9">
        <v>1.6E-2</v>
      </c>
      <c r="AH397" s="9">
        <v>1.83</v>
      </c>
      <c r="AI397" s="9">
        <v>0.49</v>
      </c>
      <c r="AJ397" s="9">
        <v>4.0000000000000001E-3</v>
      </c>
      <c r="AK397" s="9">
        <v>5.0000000000000001E-3</v>
      </c>
      <c r="AL397" s="9">
        <v>21.75</v>
      </c>
      <c r="AM397" s="9">
        <v>5.56</v>
      </c>
      <c r="AN397" s="9">
        <v>3.3</v>
      </c>
      <c r="AO397" s="9">
        <v>0.13700000000000001</v>
      </c>
      <c r="AQ397" s="8"/>
    </row>
    <row r="398" spans="1:43" x14ac:dyDescent="0.3">
      <c r="A398">
        <v>38</v>
      </c>
      <c r="B398" t="s">
        <v>1658</v>
      </c>
      <c r="C398">
        <v>27</v>
      </c>
      <c r="D398"/>
      <c r="E398">
        <v>600</v>
      </c>
      <c r="I398"/>
      <c r="J398"/>
      <c r="K398"/>
      <c r="L398" t="s">
        <v>172</v>
      </c>
      <c r="N398">
        <v>0.9</v>
      </c>
      <c r="O398" s="3">
        <v>0</v>
      </c>
      <c r="P398">
        <v>60</v>
      </c>
      <c r="Q398">
        <v>7</v>
      </c>
      <c r="R398" t="s">
        <v>102</v>
      </c>
      <c r="T398" s="6">
        <f>10^-(14-Q398)</f>
        <v>9.9999999999999995E-8</v>
      </c>
      <c r="U398" s="6">
        <v>0</v>
      </c>
      <c r="V398" s="6">
        <v>0</v>
      </c>
      <c r="W398" s="6">
        <v>0</v>
      </c>
      <c r="X398" s="6">
        <v>0</v>
      </c>
      <c r="Y398" t="s">
        <v>171</v>
      </c>
      <c r="Z398"/>
      <c r="AA398"/>
      <c r="AB398"/>
      <c r="AC398"/>
      <c r="AD398">
        <v>0.33</v>
      </c>
      <c r="AE398">
        <v>160.4</v>
      </c>
      <c r="AF398">
        <v>1</v>
      </c>
      <c r="AG398" s="9">
        <v>1.6E-2</v>
      </c>
      <c r="AH398" s="9">
        <v>1.83</v>
      </c>
      <c r="AI398" s="9">
        <v>0.49</v>
      </c>
      <c r="AJ398" s="9">
        <v>4.0000000000000001E-3</v>
      </c>
      <c r="AK398" s="9">
        <v>5.0000000000000001E-3</v>
      </c>
      <c r="AL398" s="9">
        <v>21.75</v>
      </c>
      <c r="AM398" s="9">
        <v>5.56</v>
      </c>
      <c r="AN398" s="9">
        <v>3.3</v>
      </c>
      <c r="AO398" s="9">
        <v>0.13700000000000001</v>
      </c>
      <c r="AQ398" s="8"/>
    </row>
    <row r="399" spans="1:43" x14ac:dyDescent="0.3">
      <c r="A399">
        <v>38</v>
      </c>
      <c r="B399" t="s">
        <v>1658</v>
      </c>
      <c r="C399">
        <v>27</v>
      </c>
      <c r="D399"/>
      <c r="E399">
        <v>600</v>
      </c>
      <c r="I399"/>
      <c r="J399"/>
      <c r="K399"/>
      <c r="L399" t="s">
        <v>172</v>
      </c>
      <c r="N399">
        <v>0.9</v>
      </c>
      <c r="O399" s="3">
        <v>0</v>
      </c>
      <c r="P399">
        <v>60</v>
      </c>
      <c r="Q399">
        <v>7</v>
      </c>
      <c r="R399" t="s">
        <v>102</v>
      </c>
      <c r="T399" s="6">
        <f>10^-(14-Q399)</f>
        <v>9.9999999999999995E-8</v>
      </c>
      <c r="U399" s="6">
        <v>0</v>
      </c>
      <c r="V399" s="6">
        <v>0</v>
      </c>
      <c r="W399" s="6">
        <v>0</v>
      </c>
      <c r="X399" s="6">
        <v>0</v>
      </c>
      <c r="Y399" t="s">
        <v>171</v>
      </c>
      <c r="Z399"/>
      <c r="AA399"/>
      <c r="AB399"/>
      <c r="AC399"/>
      <c r="AD399">
        <v>0.33</v>
      </c>
      <c r="AE399">
        <v>88.43</v>
      </c>
      <c r="AF399">
        <v>1</v>
      </c>
      <c r="AG399" s="9">
        <v>1.6E-2</v>
      </c>
      <c r="AH399" s="9">
        <v>1.83</v>
      </c>
      <c r="AI399" s="9">
        <v>0.49</v>
      </c>
      <c r="AJ399" s="9">
        <v>4.0000000000000001E-3</v>
      </c>
      <c r="AK399" s="9">
        <v>5.0000000000000001E-3</v>
      </c>
      <c r="AL399" s="9">
        <v>21.75</v>
      </c>
      <c r="AM399" s="9">
        <v>5.56</v>
      </c>
      <c r="AN399" s="9">
        <v>3.3</v>
      </c>
      <c r="AO399" s="9">
        <v>0.13700000000000001</v>
      </c>
      <c r="AQ399" s="8"/>
    </row>
    <row r="400" spans="1:43" x14ac:dyDescent="0.3">
      <c r="A400">
        <v>38</v>
      </c>
      <c r="B400" t="s">
        <v>1658</v>
      </c>
      <c r="C400">
        <v>27</v>
      </c>
      <c r="D400"/>
      <c r="E400">
        <v>600</v>
      </c>
      <c r="I400"/>
      <c r="J400"/>
      <c r="K400"/>
      <c r="L400" t="s">
        <v>172</v>
      </c>
      <c r="N400">
        <v>0.9</v>
      </c>
      <c r="O400" s="3">
        <v>0</v>
      </c>
      <c r="P400">
        <v>60</v>
      </c>
      <c r="Q400">
        <v>7</v>
      </c>
      <c r="R400" t="s">
        <v>102</v>
      </c>
      <c r="T400" s="6">
        <f>10^-(14-Q400)</f>
        <v>9.9999999999999995E-8</v>
      </c>
      <c r="U400" s="6">
        <v>0</v>
      </c>
      <c r="V400" s="6">
        <v>0</v>
      </c>
      <c r="W400" s="6">
        <v>0</v>
      </c>
      <c r="X400" s="6">
        <v>0</v>
      </c>
      <c r="Y400" t="s">
        <v>171</v>
      </c>
      <c r="Z400"/>
      <c r="AA400"/>
      <c r="AB400"/>
      <c r="AC400"/>
      <c r="AD400">
        <v>0.33</v>
      </c>
      <c r="AE400">
        <v>58.67</v>
      </c>
      <c r="AF400">
        <v>1</v>
      </c>
      <c r="AG400" s="9">
        <v>1.6E-2</v>
      </c>
      <c r="AH400" s="9">
        <v>1.83</v>
      </c>
      <c r="AI400" s="9">
        <v>0.49</v>
      </c>
      <c r="AJ400" s="9">
        <v>4.0000000000000001E-3</v>
      </c>
      <c r="AK400" s="9">
        <v>5.0000000000000001E-3</v>
      </c>
      <c r="AL400" s="9">
        <v>21.75</v>
      </c>
      <c r="AM400" s="9">
        <v>5.56</v>
      </c>
      <c r="AN400" s="9">
        <v>3.3</v>
      </c>
      <c r="AO400" s="9">
        <v>0.13700000000000001</v>
      </c>
      <c r="AQ400" s="8"/>
    </row>
    <row r="401" spans="1:43" x14ac:dyDescent="0.3">
      <c r="A401">
        <v>38</v>
      </c>
      <c r="B401" t="s">
        <v>1658</v>
      </c>
      <c r="C401">
        <v>27</v>
      </c>
      <c r="D401"/>
      <c r="E401">
        <v>600</v>
      </c>
      <c r="I401"/>
      <c r="J401"/>
      <c r="K401"/>
      <c r="L401" t="s">
        <v>172</v>
      </c>
      <c r="N401">
        <v>0.9</v>
      </c>
      <c r="O401" s="3">
        <v>0</v>
      </c>
      <c r="P401">
        <v>60</v>
      </c>
      <c r="Q401">
        <v>7</v>
      </c>
      <c r="R401" t="s">
        <v>102</v>
      </c>
      <c r="T401" s="6">
        <f>10^-(14-Q401)</f>
        <v>9.9999999999999995E-8</v>
      </c>
      <c r="U401" s="6">
        <v>0</v>
      </c>
      <c r="V401" s="6">
        <v>0</v>
      </c>
      <c r="W401" s="6">
        <v>0</v>
      </c>
      <c r="X401" s="6">
        <v>0</v>
      </c>
      <c r="Y401" t="s">
        <v>171</v>
      </c>
      <c r="Z401"/>
      <c r="AA401"/>
      <c r="AB401"/>
      <c r="AC401"/>
      <c r="AD401">
        <v>0.33</v>
      </c>
      <c r="AE401">
        <v>190.77</v>
      </c>
      <c r="AF401">
        <v>1</v>
      </c>
      <c r="AG401" s="9">
        <v>1.4E-2</v>
      </c>
      <c r="AH401" s="9">
        <v>1.72</v>
      </c>
      <c r="AI401" s="9">
        <v>0.49</v>
      </c>
      <c r="AJ401" s="9">
        <v>4.0000000000000001E-3</v>
      </c>
      <c r="AK401" s="9">
        <v>4.0000000000000001E-3</v>
      </c>
      <c r="AL401" s="9">
        <v>21.89</v>
      </c>
      <c r="AM401" s="9">
        <v>5.57</v>
      </c>
      <c r="AN401" s="9">
        <v>3.22</v>
      </c>
      <c r="AO401" s="9">
        <v>4.7E-2</v>
      </c>
      <c r="AQ401" s="8"/>
    </row>
    <row r="402" spans="1:43" x14ac:dyDescent="0.3">
      <c r="A402">
        <v>38</v>
      </c>
      <c r="B402" t="s">
        <v>1658</v>
      </c>
      <c r="C402">
        <v>27</v>
      </c>
      <c r="D402"/>
      <c r="E402">
        <v>600</v>
      </c>
      <c r="I402"/>
      <c r="J402"/>
      <c r="K402"/>
      <c r="L402" t="s">
        <v>172</v>
      </c>
      <c r="N402">
        <v>0.9</v>
      </c>
      <c r="O402" s="3">
        <v>0</v>
      </c>
      <c r="P402">
        <v>60</v>
      </c>
      <c r="Q402">
        <v>7</v>
      </c>
      <c r="R402" t="s">
        <v>102</v>
      </c>
      <c r="T402" s="6">
        <f>10^-(14-Q402)</f>
        <v>9.9999999999999995E-8</v>
      </c>
      <c r="U402" s="6">
        <v>0</v>
      </c>
      <c r="V402" s="6">
        <v>0</v>
      </c>
      <c r="W402" s="6">
        <v>0</v>
      </c>
      <c r="X402" s="6">
        <v>0</v>
      </c>
      <c r="Y402" t="s">
        <v>171</v>
      </c>
      <c r="Z402"/>
      <c r="AA402"/>
      <c r="AB402"/>
      <c r="AC402"/>
      <c r="AD402">
        <v>0.33</v>
      </c>
      <c r="AE402">
        <v>156.33000000000001</v>
      </c>
      <c r="AF402">
        <v>1</v>
      </c>
      <c r="AG402" s="9">
        <v>1.4E-2</v>
      </c>
      <c r="AH402" s="9">
        <v>1.72</v>
      </c>
      <c r="AI402" s="9">
        <v>0.49</v>
      </c>
      <c r="AJ402" s="9">
        <v>4.0000000000000001E-3</v>
      </c>
      <c r="AK402" s="9">
        <v>4.0000000000000001E-3</v>
      </c>
      <c r="AL402" s="9">
        <v>21.89</v>
      </c>
      <c r="AM402" s="9">
        <v>5.57</v>
      </c>
      <c r="AN402" s="9">
        <v>3.22</v>
      </c>
      <c r="AO402" s="9">
        <v>4.7E-2</v>
      </c>
      <c r="AQ402" s="8"/>
    </row>
    <row r="403" spans="1:43" x14ac:dyDescent="0.3">
      <c r="A403">
        <v>38</v>
      </c>
      <c r="B403" t="s">
        <v>1658</v>
      </c>
      <c r="C403">
        <v>27</v>
      </c>
      <c r="D403"/>
      <c r="E403">
        <v>600</v>
      </c>
      <c r="I403"/>
      <c r="J403"/>
      <c r="K403"/>
      <c r="L403" t="s">
        <v>172</v>
      </c>
      <c r="N403">
        <v>0.9</v>
      </c>
      <c r="O403" s="3">
        <v>0</v>
      </c>
      <c r="P403">
        <v>60</v>
      </c>
      <c r="Q403">
        <v>7</v>
      </c>
      <c r="R403" t="s">
        <v>102</v>
      </c>
      <c r="T403" s="6">
        <f>10^-(14-Q403)</f>
        <v>9.9999999999999995E-8</v>
      </c>
      <c r="U403" s="6">
        <v>0</v>
      </c>
      <c r="V403" s="6">
        <v>0</v>
      </c>
      <c r="W403" s="6">
        <v>0</v>
      </c>
      <c r="X403" s="6">
        <v>0</v>
      </c>
      <c r="Y403" t="s">
        <v>171</v>
      </c>
      <c r="Z403"/>
      <c r="AA403"/>
      <c r="AB403"/>
      <c r="AC403"/>
      <c r="AD403">
        <v>0.33</v>
      </c>
      <c r="AE403">
        <v>226.23</v>
      </c>
      <c r="AF403">
        <v>1</v>
      </c>
      <c r="AG403" s="9">
        <v>0.01</v>
      </c>
      <c r="AH403" s="9">
        <v>1.77</v>
      </c>
      <c r="AI403" s="9">
        <v>0.51</v>
      </c>
      <c r="AJ403" s="9">
        <v>4.0000000000000001E-3</v>
      </c>
      <c r="AK403" s="9">
        <v>4.0000000000000001E-3</v>
      </c>
      <c r="AL403" s="9">
        <v>21.92</v>
      </c>
      <c r="AM403" s="9">
        <v>5.6</v>
      </c>
      <c r="AN403" s="9">
        <v>3.22</v>
      </c>
      <c r="AO403" s="9">
        <v>0.123</v>
      </c>
      <c r="AQ403" s="8"/>
    </row>
    <row r="404" spans="1:43" x14ac:dyDescent="0.3">
      <c r="A404">
        <v>38</v>
      </c>
      <c r="B404" t="s">
        <v>1658</v>
      </c>
      <c r="C404">
        <v>27</v>
      </c>
      <c r="D404"/>
      <c r="E404">
        <v>600</v>
      </c>
      <c r="I404"/>
      <c r="J404"/>
      <c r="K404"/>
      <c r="L404" t="s">
        <v>172</v>
      </c>
      <c r="N404">
        <v>0.9</v>
      </c>
      <c r="O404" s="3">
        <v>0</v>
      </c>
      <c r="P404">
        <v>60</v>
      </c>
      <c r="Q404">
        <v>7</v>
      </c>
      <c r="R404" t="s">
        <v>102</v>
      </c>
      <c r="T404" s="6">
        <f>10^-(14-Q404)</f>
        <v>9.9999999999999995E-8</v>
      </c>
      <c r="U404" s="6">
        <v>0</v>
      </c>
      <c r="V404" s="6">
        <v>0</v>
      </c>
      <c r="W404" s="6">
        <v>0</v>
      </c>
      <c r="X404" s="6">
        <v>0</v>
      </c>
      <c r="Y404" t="s">
        <v>171</v>
      </c>
      <c r="Z404"/>
      <c r="AA404"/>
      <c r="AB404"/>
      <c r="AC404"/>
      <c r="AD404">
        <v>0.33</v>
      </c>
      <c r="AE404">
        <v>163.34</v>
      </c>
      <c r="AF404">
        <v>1</v>
      </c>
      <c r="AG404" s="9">
        <v>0.01</v>
      </c>
      <c r="AH404" s="9">
        <v>1.77</v>
      </c>
      <c r="AI404" s="9">
        <v>0.51</v>
      </c>
      <c r="AJ404" s="9">
        <v>4.0000000000000001E-3</v>
      </c>
      <c r="AK404" s="9">
        <v>4.0000000000000001E-3</v>
      </c>
      <c r="AL404" s="9">
        <v>21.92</v>
      </c>
      <c r="AM404" s="9">
        <v>5.6</v>
      </c>
      <c r="AN404" s="9">
        <v>3.22</v>
      </c>
      <c r="AO404" s="9">
        <v>0.123</v>
      </c>
      <c r="AQ404" s="8"/>
    </row>
    <row r="405" spans="1:43" x14ac:dyDescent="0.3">
      <c r="A405">
        <v>63</v>
      </c>
      <c r="B405" t="s">
        <v>1674</v>
      </c>
      <c r="C405">
        <v>28</v>
      </c>
      <c r="D405"/>
      <c r="E405">
        <v>14000</v>
      </c>
      <c r="H405">
        <v>5.4</v>
      </c>
      <c r="I405">
        <v>-1.1499999999999999</v>
      </c>
      <c r="J405">
        <v>0.25</v>
      </c>
      <c r="K405"/>
      <c r="L405" t="s">
        <v>172</v>
      </c>
      <c r="N405">
        <v>0.3</v>
      </c>
      <c r="O405" s="3">
        <v>0</v>
      </c>
      <c r="P405">
        <v>25</v>
      </c>
      <c r="Q405">
        <v>5.4</v>
      </c>
      <c r="R405" t="s">
        <v>102</v>
      </c>
      <c r="T405" s="6">
        <f>10^-(14-Q405)</f>
        <v>2.5118864315095812E-9</v>
      </c>
      <c r="U405" s="6">
        <v>0</v>
      </c>
      <c r="V405" s="6">
        <v>0</v>
      </c>
      <c r="W405" s="6">
        <v>0</v>
      </c>
      <c r="X405" s="6">
        <v>0</v>
      </c>
      <c r="Y405" t="s">
        <v>171</v>
      </c>
      <c r="Z405"/>
      <c r="AA405"/>
      <c r="AB405"/>
      <c r="AC405"/>
      <c r="AD405">
        <v>1</v>
      </c>
      <c r="AE405">
        <v>-50</v>
      </c>
      <c r="AF405">
        <v>1</v>
      </c>
      <c r="AG405" s="9">
        <v>0.05</v>
      </c>
      <c r="AK405" s="9">
        <v>2.5000000000000001E-2</v>
      </c>
      <c r="AL405" s="9">
        <v>19.2</v>
      </c>
      <c r="AM405" s="9">
        <v>9</v>
      </c>
      <c r="AN405" s="9">
        <v>0</v>
      </c>
      <c r="AO405" s="9">
        <v>2E-3</v>
      </c>
      <c r="AQ405" s="8"/>
    </row>
    <row r="406" spans="1:43" x14ac:dyDescent="0.3">
      <c r="A406">
        <v>63</v>
      </c>
      <c r="B406" t="s">
        <v>1674</v>
      </c>
      <c r="C406">
        <v>28</v>
      </c>
      <c r="D406"/>
      <c r="E406">
        <v>14000</v>
      </c>
      <c r="H406">
        <v>9</v>
      </c>
      <c r="I406">
        <v>-1.1499999999999999</v>
      </c>
      <c r="J406">
        <v>0.25</v>
      </c>
      <c r="K406"/>
      <c r="L406" t="s">
        <v>172</v>
      </c>
      <c r="N406">
        <v>0.3</v>
      </c>
      <c r="O406" s="3">
        <v>0</v>
      </c>
      <c r="P406">
        <v>25</v>
      </c>
      <c r="Q406">
        <v>9</v>
      </c>
      <c r="R406" t="s">
        <v>102</v>
      </c>
      <c r="T406" s="6">
        <f>10^-(14-Q406)</f>
        <v>1.0000000000000001E-5</v>
      </c>
      <c r="U406" s="6">
        <v>0</v>
      </c>
      <c r="V406" s="6">
        <v>0</v>
      </c>
      <c r="W406" s="6">
        <v>0</v>
      </c>
      <c r="X406" s="6">
        <v>0</v>
      </c>
      <c r="Y406" t="s">
        <v>171</v>
      </c>
      <c r="Z406"/>
      <c r="AA406"/>
      <c r="AB406"/>
      <c r="AC406"/>
      <c r="AD406">
        <v>1</v>
      </c>
      <c r="AE406">
        <v>525</v>
      </c>
      <c r="AF406">
        <v>1</v>
      </c>
      <c r="AG406" s="9">
        <v>0.05</v>
      </c>
      <c r="AK406" s="9">
        <v>2.5000000000000001E-2</v>
      </c>
      <c r="AL406" s="9">
        <v>19.2</v>
      </c>
      <c r="AM406" s="9">
        <v>9</v>
      </c>
      <c r="AN406" s="9">
        <v>0</v>
      </c>
      <c r="AO406" s="9">
        <v>2E-3</v>
      </c>
      <c r="AQ406" s="8"/>
    </row>
    <row r="407" spans="1:43" x14ac:dyDescent="0.3">
      <c r="A407">
        <v>41</v>
      </c>
      <c r="B407" t="s">
        <v>1661</v>
      </c>
      <c r="C407">
        <v>29</v>
      </c>
      <c r="D407" t="s">
        <v>1662</v>
      </c>
      <c r="E407">
        <v>14000</v>
      </c>
      <c r="I407"/>
      <c r="J407"/>
      <c r="K407"/>
      <c r="L407" t="s">
        <v>172</v>
      </c>
      <c r="N407">
        <v>0.5</v>
      </c>
      <c r="O407" s="3">
        <v>0</v>
      </c>
      <c r="P407">
        <v>27</v>
      </c>
      <c r="Q407">
        <v>0</v>
      </c>
      <c r="R407" t="s">
        <v>102</v>
      </c>
      <c r="T407" s="6">
        <f>10^-(14-Q407)</f>
        <v>1E-14</v>
      </c>
      <c r="U407" s="6">
        <v>0</v>
      </c>
      <c r="V407" s="6">
        <v>0</v>
      </c>
      <c r="W407" s="6">
        <v>0</v>
      </c>
      <c r="X407" s="6">
        <v>0</v>
      </c>
      <c r="Y407" t="s">
        <v>171</v>
      </c>
      <c r="Z407"/>
      <c r="AA407"/>
      <c r="AB407"/>
      <c r="AC407"/>
      <c r="AD407">
        <v>0.83299999999999996</v>
      </c>
      <c r="AE407">
        <v>765.17</v>
      </c>
      <c r="AF407">
        <v>1</v>
      </c>
      <c r="AG407" s="9">
        <v>5.8000000000000003E-2</v>
      </c>
      <c r="AH407" s="9">
        <v>0.4</v>
      </c>
      <c r="AI407" s="9">
        <v>1.1000000000000001</v>
      </c>
      <c r="AL407" s="9">
        <v>20.5</v>
      </c>
      <c r="AM407" s="9">
        <v>7.2</v>
      </c>
      <c r="AO407" s="9">
        <v>0.17</v>
      </c>
      <c r="AQ407" s="8"/>
    </row>
    <row r="408" spans="1:43" x14ac:dyDescent="0.3">
      <c r="A408">
        <v>41</v>
      </c>
      <c r="B408" t="s">
        <v>1661</v>
      </c>
      <c r="C408">
        <v>29</v>
      </c>
      <c r="D408" t="s">
        <v>1662</v>
      </c>
      <c r="E408">
        <v>14000</v>
      </c>
      <c r="I408"/>
      <c r="J408"/>
      <c r="K408"/>
      <c r="L408" t="s">
        <v>172</v>
      </c>
      <c r="N408">
        <v>0.5</v>
      </c>
      <c r="O408" s="3">
        <v>0</v>
      </c>
      <c r="P408">
        <v>27</v>
      </c>
      <c r="Q408">
        <v>0</v>
      </c>
      <c r="R408" t="s">
        <v>102</v>
      </c>
      <c r="T408" s="6">
        <f>10^-(14-Q408)</f>
        <v>1E-14</v>
      </c>
      <c r="U408" s="6">
        <v>0</v>
      </c>
      <c r="V408" s="6">
        <v>0</v>
      </c>
      <c r="W408" s="6">
        <v>0</v>
      </c>
      <c r="X408" s="6">
        <v>0</v>
      </c>
      <c r="Y408" t="s">
        <v>171</v>
      </c>
      <c r="Z408"/>
      <c r="AA408"/>
      <c r="AB408"/>
      <c r="AC408"/>
      <c r="AD408">
        <v>0.83299999999999996</v>
      </c>
      <c r="AE408">
        <v>726.74</v>
      </c>
      <c r="AF408">
        <v>1</v>
      </c>
      <c r="AG408" s="9">
        <v>1.4999999999999999E-2</v>
      </c>
      <c r="AH408" s="9">
        <v>0.4</v>
      </c>
      <c r="AI408" s="9">
        <v>1.1000000000000001</v>
      </c>
      <c r="AL408" s="9">
        <v>20.6</v>
      </c>
      <c r="AM408" s="9">
        <v>7.4</v>
      </c>
      <c r="AO408" s="9">
        <v>0.17</v>
      </c>
      <c r="AQ408" s="8"/>
    </row>
    <row r="409" spans="1:43" x14ac:dyDescent="0.3">
      <c r="A409">
        <v>41</v>
      </c>
      <c r="B409" t="s">
        <v>1661</v>
      </c>
      <c r="C409">
        <v>29</v>
      </c>
      <c r="D409" t="s">
        <v>1662</v>
      </c>
      <c r="E409">
        <v>14000</v>
      </c>
      <c r="I409"/>
      <c r="J409"/>
      <c r="K409"/>
      <c r="L409" t="s">
        <v>172</v>
      </c>
      <c r="N409">
        <v>0.5</v>
      </c>
      <c r="O409" s="3">
        <v>0</v>
      </c>
      <c r="P409">
        <v>27</v>
      </c>
      <c r="Q409">
        <v>0</v>
      </c>
      <c r="R409" t="s">
        <v>102</v>
      </c>
      <c r="T409" s="6">
        <f>10^-(14-Q409)</f>
        <v>1E-14</v>
      </c>
      <c r="U409" s="6">
        <v>0</v>
      </c>
      <c r="V409" s="6">
        <v>0</v>
      </c>
      <c r="W409" s="6">
        <v>0</v>
      </c>
      <c r="X409" s="6">
        <v>0</v>
      </c>
      <c r="Y409" t="s">
        <v>171</v>
      </c>
      <c r="Z409"/>
      <c r="AA409"/>
      <c r="AB409"/>
      <c r="AC409"/>
      <c r="AD409">
        <v>0.83299999999999996</v>
      </c>
      <c r="AE409">
        <v>547.70000000000005</v>
      </c>
      <c r="AF409">
        <v>1</v>
      </c>
      <c r="AG409" s="9">
        <v>0.05</v>
      </c>
      <c r="AH409" s="9">
        <v>0.6</v>
      </c>
      <c r="AI409" s="9">
        <v>0.7</v>
      </c>
      <c r="AJ409" s="9">
        <v>0.01</v>
      </c>
      <c r="AK409" s="9">
        <v>0.01</v>
      </c>
      <c r="AL409" s="9">
        <v>20.8</v>
      </c>
      <c r="AM409" s="9">
        <v>11.7</v>
      </c>
      <c r="AN409" s="9">
        <v>0.22</v>
      </c>
      <c r="AO409" s="9">
        <v>2.5000000000000001E-2</v>
      </c>
      <c r="AQ409" s="8"/>
    </row>
    <row r="410" spans="1:43" x14ac:dyDescent="0.3">
      <c r="A410">
        <v>41</v>
      </c>
      <c r="B410" t="s">
        <v>1661</v>
      </c>
      <c r="C410">
        <v>29</v>
      </c>
      <c r="D410" t="s">
        <v>1662</v>
      </c>
      <c r="E410">
        <v>14000</v>
      </c>
      <c r="I410"/>
      <c r="J410"/>
      <c r="K410"/>
      <c r="L410" t="s">
        <v>172</v>
      </c>
      <c r="N410">
        <v>0.5</v>
      </c>
      <c r="O410" s="3">
        <v>0</v>
      </c>
      <c r="P410">
        <v>27</v>
      </c>
      <c r="Q410">
        <v>0</v>
      </c>
      <c r="R410" t="s">
        <v>102</v>
      </c>
      <c r="T410" s="6">
        <f>10^-(14-Q410)</f>
        <v>1E-14</v>
      </c>
      <c r="U410" s="6">
        <v>0</v>
      </c>
      <c r="V410" s="6">
        <v>0</v>
      </c>
      <c r="W410" s="6">
        <v>0</v>
      </c>
      <c r="X410" s="6">
        <v>0</v>
      </c>
      <c r="Y410" t="s">
        <v>171</v>
      </c>
      <c r="Z410"/>
      <c r="AA410"/>
      <c r="AB410"/>
      <c r="AC410"/>
      <c r="AD410">
        <v>0.83299999999999996</v>
      </c>
      <c r="AE410">
        <v>625</v>
      </c>
      <c r="AF410">
        <v>1</v>
      </c>
      <c r="AG410" s="9">
        <v>0.05</v>
      </c>
      <c r="AH410" s="9">
        <v>0.7</v>
      </c>
      <c r="AI410" s="9">
        <v>0.7</v>
      </c>
      <c r="AJ410" s="9">
        <v>0.01</v>
      </c>
      <c r="AK410" s="9">
        <v>0.01</v>
      </c>
      <c r="AL410" s="9">
        <v>20.8</v>
      </c>
      <c r="AM410" s="9">
        <v>9.1999999999999993</v>
      </c>
      <c r="AN410" s="9">
        <v>0.23</v>
      </c>
      <c r="AO410" s="9">
        <v>8.2000000000000003E-2</v>
      </c>
      <c r="AQ410" s="8"/>
    </row>
    <row r="411" spans="1:43" x14ac:dyDescent="0.3">
      <c r="A411">
        <v>41</v>
      </c>
      <c r="B411" t="s">
        <v>1661</v>
      </c>
      <c r="C411">
        <v>29</v>
      </c>
      <c r="D411" t="s">
        <v>1662</v>
      </c>
      <c r="E411">
        <v>14000</v>
      </c>
      <c r="I411"/>
      <c r="J411"/>
      <c r="K411"/>
      <c r="L411" t="s">
        <v>172</v>
      </c>
      <c r="N411">
        <v>0.5</v>
      </c>
      <c r="O411" s="3">
        <v>0</v>
      </c>
      <c r="P411">
        <v>27</v>
      </c>
      <c r="Q411">
        <v>0</v>
      </c>
      <c r="R411" t="s">
        <v>102</v>
      </c>
      <c r="T411" s="6">
        <f>10^-(14-Q411)</f>
        <v>1E-14</v>
      </c>
      <c r="U411" s="6">
        <v>0</v>
      </c>
      <c r="V411" s="6">
        <v>0</v>
      </c>
      <c r="W411" s="6">
        <v>0</v>
      </c>
      <c r="X411" s="6">
        <v>0</v>
      </c>
      <c r="Y411" t="s">
        <v>171</v>
      </c>
      <c r="Z411"/>
      <c r="AA411"/>
      <c r="AB411"/>
      <c r="AC411"/>
      <c r="AD411">
        <v>0.83299999999999996</v>
      </c>
      <c r="AE411">
        <v>562.99</v>
      </c>
      <c r="AF411">
        <v>1</v>
      </c>
      <c r="AG411" s="9">
        <v>0.05</v>
      </c>
      <c r="AH411" s="9">
        <v>0.7</v>
      </c>
      <c r="AI411" s="9">
        <v>0.7</v>
      </c>
      <c r="AJ411" s="9">
        <v>0.01</v>
      </c>
      <c r="AK411" s="9">
        <v>0.01</v>
      </c>
      <c r="AL411" s="9">
        <v>20.9</v>
      </c>
      <c r="AM411" s="9">
        <v>10.5</v>
      </c>
      <c r="AN411" s="9">
        <v>0.22</v>
      </c>
      <c r="AO411" s="9">
        <v>5.3999999999999999E-2</v>
      </c>
      <c r="AQ411" s="8"/>
    </row>
    <row r="412" spans="1:43" x14ac:dyDescent="0.3">
      <c r="A412">
        <v>41</v>
      </c>
      <c r="B412" t="s">
        <v>1661</v>
      </c>
      <c r="C412">
        <v>29</v>
      </c>
      <c r="D412" t="s">
        <v>1662</v>
      </c>
      <c r="E412">
        <v>14000</v>
      </c>
      <c r="I412"/>
      <c r="J412"/>
      <c r="K412"/>
      <c r="L412" t="s">
        <v>172</v>
      </c>
      <c r="N412">
        <v>0.5</v>
      </c>
      <c r="O412" s="3">
        <v>0</v>
      </c>
      <c r="P412">
        <v>27</v>
      </c>
      <c r="Q412">
        <v>0</v>
      </c>
      <c r="R412" t="s">
        <v>102</v>
      </c>
      <c r="T412" s="6">
        <f>10^-(14-Q412)</f>
        <v>1E-14</v>
      </c>
      <c r="U412" s="6">
        <v>0</v>
      </c>
      <c r="V412" s="6">
        <v>0</v>
      </c>
      <c r="W412" s="6">
        <v>0</v>
      </c>
      <c r="X412" s="6">
        <v>0</v>
      </c>
      <c r="Y412" t="s">
        <v>171</v>
      </c>
      <c r="Z412"/>
      <c r="AA412"/>
      <c r="AB412"/>
      <c r="AC412"/>
      <c r="AD412">
        <v>0.83299999999999996</v>
      </c>
      <c r="AE412">
        <v>682.64</v>
      </c>
      <c r="AF412">
        <v>1</v>
      </c>
      <c r="AG412" s="9">
        <v>0.05</v>
      </c>
      <c r="AH412" s="9">
        <v>0.7</v>
      </c>
      <c r="AI412" s="9">
        <v>0.8</v>
      </c>
      <c r="AJ412" s="9">
        <v>0.01</v>
      </c>
      <c r="AK412" s="9">
        <v>0.01</v>
      </c>
      <c r="AL412" s="9">
        <v>21</v>
      </c>
      <c r="AM412" s="9">
        <v>8</v>
      </c>
      <c r="AN412" s="9">
        <v>0.23</v>
      </c>
      <c r="AO412" s="9">
        <v>9.8000000000000004E-2</v>
      </c>
      <c r="AQ412" s="8"/>
    </row>
    <row r="413" spans="1:43" x14ac:dyDescent="0.3">
      <c r="A413">
        <v>8</v>
      </c>
      <c r="B413" t="s">
        <v>1711</v>
      </c>
      <c r="C413">
        <v>30</v>
      </c>
      <c r="D413" t="s">
        <v>1712</v>
      </c>
      <c r="I413"/>
      <c r="J413"/>
      <c r="K413">
        <v>0.5</v>
      </c>
      <c r="L413" t="s">
        <v>172</v>
      </c>
      <c r="N413">
        <v>0.6</v>
      </c>
      <c r="O413">
        <v>0</v>
      </c>
      <c r="P413">
        <v>70</v>
      </c>
      <c r="Q413">
        <v>7</v>
      </c>
      <c r="R413" t="s">
        <v>102</v>
      </c>
      <c r="T413" s="6">
        <f>10^-(14-Q413)</f>
        <v>9.9999999999999995E-8</v>
      </c>
      <c r="U413" s="6">
        <v>0</v>
      </c>
      <c r="V413" s="6">
        <v>0</v>
      </c>
      <c r="W413" s="6">
        <v>0</v>
      </c>
      <c r="X413" s="6">
        <v>0</v>
      </c>
      <c r="Y413" t="s">
        <v>171</v>
      </c>
      <c r="Z413"/>
      <c r="AA413"/>
      <c r="AB413"/>
      <c r="AC413"/>
      <c r="AD413">
        <v>0.16700000000000001</v>
      </c>
      <c r="AE413">
        <v>63</v>
      </c>
      <c r="AF413">
        <v>1</v>
      </c>
      <c r="AG413" s="9">
        <v>0.108</v>
      </c>
      <c r="AL413" s="9">
        <v>17</v>
      </c>
      <c r="AM413" s="9">
        <v>8.3000000000000007</v>
      </c>
      <c r="AN413" s="9">
        <v>0.19</v>
      </c>
      <c r="AO413" s="9">
        <v>4.7E-2</v>
      </c>
      <c r="AQ413" s="8"/>
    </row>
    <row r="414" spans="1:43" x14ac:dyDescent="0.3">
      <c r="A414">
        <v>8</v>
      </c>
      <c r="B414" t="s">
        <v>1711</v>
      </c>
      <c r="C414">
        <v>30</v>
      </c>
      <c r="D414" t="s">
        <v>1712</v>
      </c>
      <c r="I414"/>
      <c r="J414"/>
      <c r="K414">
        <v>0.5</v>
      </c>
      <c r="L414" t="s">
        <v>172</v>
      </c>
      <c r="N414">
        <v>0</v>
      </c>
      <c r="O414">
        <v>0.6</v>
      </c>
      <c r="P414">
        <v>70</v>
      </c>
      <c r="Q414">
        <v>7</v>
      </c>
      <c r="R414" t="s">
        <v>102</v>
      </c>
      <c r="T414" s="6">
        <f>10^-(14-Q414)</f>
        <v>9.9999999999999995E-8</v>
      </c>
      <c r="U414" s="6">
        <v>0</v>
      </c>
      <c r="V414" s="6">
        <v>0</v>
      </c>
      <c r="W414" s="6">
        <v>0</v>
      </c>
      <c r="X414" s="6">
        <v>0</v>
      </c>
      <c r="Y414" t="s">
        <v>171</v>
      </c>
      <c r="Z414"/>
      <c r="AA414"/>
      <c r="AB414"/>
      <c r="AC414"/>
      <c r="AD414">
        <v>0.16700000000000001</v>
      </c>
      <c r="AE414">
        <v>273</v>
      </c>
      <c r="AF414">
        <v>1</v>
      </c>
      <c r="AG414" s="9">
        <v>0.108</v>
      </c>
      <c r="AL414" s="9">
        <v>17</v>
      </c>
      <c r="AM414" s="9">
        <v>8.3000000000000007</v>
      </c>
      <c r="AN414" s="9">
        <v>0.19</v>
      </c>
      <c r="AO414" s="9">
        <v>4.7E-2</v>
      </c>
      <c r="AQ414" s="8"/>
    </row>
    <row r="415" spans="1:43" x14ac:dyDescent="0.3">
      <c r="A415">
        <v>8</v>
      </c>
      <c r="B415" t="s">
        <v>1711</v>
      </c>
      <c r="C415">
        <v>30</v>
      </c>
      <c r="D415" t="s">
        <v>1712</v>
      </c>
      <c r="I415"/>
      <c r="J415"/>
      <c r="K415">
        <v>0.5</v>
      </c>
      <c r="L415" t="s">
        <v>172</v>
      </c>
      <c r="N415">
        <v>0.6</v>
      </c>
      <c r="O415">
        <v>0</v>
      </c>
      <c r="P415">
        <v>70</v>
      </c>
      <c r="Q415">
        <v>7</v>
      </c>
      <c r="R415" t="s">
        <v>102</v>
      </c>
      <c r="T415" s="6">
        <f>10^-(14-Q415)</f>
        <v>9.9999999999999995E-8</v>
      </c>
      <c r="U415" s="6">
        <v>0</v>
      </c>
      <c r="V415" s="6">
        <v>0</v>
      </c>
      <c r="W415" s="6">
        <v>0</v>
      </c>
      <c r="X415" s="6">
        <v>0</v>
      </c>
      <c r="Y415" t="s">
        <v>171</v>
      </c>
      <c r="Z415"/>
      <c r="AA415"/>
      <c r="AB415"/>
      <c r="AC415"/>
      <c r="AD415">
        <v>0.16700000000000001</v>
      </c>
      <c r="AE415">
        <v>168</v>
      </c>
      <c r="AF415">
        <v>1</v>
      </c>
      <c r="AG415" s="9">
        <v>0.06</v>
      </c>
      <c r="AL415" s="9">
        <v>17.2</v>
      </c>
      <c r="AM415" s="9">
        <v>10.5</v>
      </c>
      <c r="AN415" s="9">
        <v>2</v>
      </c>
      <c r="AO415" s="9">
        <v>4.9000000000000002E-2</v>
      </c>
      <c r="AQ415" s="8"/>
    </row>
    <row r="416" spans="1:43" x14ac:dyDescent="0.3">
      <c r="A416">
        <v>8</v>
      </c>
      <c r="B416" t="s">
        <v>1711</v>
      </c>
      <c r="C416">
        <v>30</v>
      </c>
      <c r="D416" t="s">
        <v>1714</v>
      </c>
      <c r="I416"/>
      <c r="J416"/>
      <c r="K416">
        <v>0.5</v>
      </c>
      <c r="L416" t="s">
        <v>172</v>
      </c>
      <c r="N416">
        <v>0</v>
      </c>
      <c r="O416">
        <v>0.6</v>
      </c>
      <c r="P416">
        <v>70</v>
      </c>
      <c r="Q416">
        <v>7</v>
      </c>
      <c r="R416" t="s">
        <v>102</v>
      </c>
      <c r="T416" s="6">
        <f>10^-(14-Q416)</f>
        <v>9.9999999999999995E-8</v>
      </c>
      <c r="U416" s="6">
        <v>0</v>
      </c>
      <c r="V416" s="6">
        <v>0</v>
      </c>
      <c r="W416" s="6">
        <v>0</v>
      </c>
      <c r="X416" s="6">
        <v>0</v>
      </c>
      <c r="Y416" t="s">
        <v>171</v>
      </c>
      <c r="Z416"/>
      <c r="AA416"/>
      <c r="AB416"/>
      <c r="AC416"/>
      <c r="AD416">
        <v>0.16700000000000001</v>
      </c>
      <c r="AE416">
        <v>330</v>
      </c>
      <c r="AF416">
        <v>1</v>
      </c>
      <c r="AG416" s="9">
        <v>0.06</v>
      </c>
      <c r="AL416" s="9">
        <v>17.2</v>
      </c>
      <c r="AM416" s="9">
        <v>10.5</v>
      </c>
      <c r="AN416" s="9">
        <v>2</v>
      </c>
      <c r="AO416" s="9">
        <v>4.9000000000000002E-2</v>
      </c>
      <c r="AQ416" s="8"/>
    </row>
    <row r="417" spans="1:43" x14ac:dyDescent="0.3">
      <c r="A417">
        <v>8</v>
      </c>
      <c r="B417" t="s">
        <v>1711</v>
      </c>
      <c r="C417">
        <v>30</v>
      </c>
      <c r="D417" t="s">
        <v>1712</v>
      </c>
      <c r="I417"/>
      <c r="J417"/>
      <c r="K417">
        <v>0.5</v>
      </c>
      <c r="L417" t="s">
        <v>172</v>
      </c>
      <c r="N417">
        <v>0.6</v>
      </c>
      <c r="O417">
        <v>0</v>
      </c>
      <c r="P417">
        <v>70</v>
      </c>
      <c r="Q417">
        <v>7</v>
      </c>
      <c r="R417" t="s">
        <v>102</v>
      </c>
      <c r="T417" s="6">
        <f>10^-(14-Q417)</f>
        <v>9.9999999999999995E-8</v>
      </c>
      <c r="U417" s="6">
        <v>0</v>
      </c>
      <c r="V417" s="6">
        <v>0</v>
      </c>
      <c r="W417" s="6">
        <v>0</v>
      </c>
      <c r="X417" s="6">
        <v>0</v>
      </c>
      <c r="Y417" t="s">
        <v>171</v>
      </c>
      <c r="Z417"/>
      <c r="AA417"/>
      <c r="AB417"/>
      <c r="AC417"/>
      <c r="AD417">
        <v>0.16700000000000001</v>
      </c>
      <c r="AE417">
        <v>620</v>
      </c>
      <c r="AF417">
        <v>1</v>
      </c>
      <c r="AG417" s="9">
        <v>2.5000000000000001E-2</v>
      </c>
      <c r="AL417" s="9">
        <v>20</v>
      </c>
      <c r="AM417" s="9">
        <v>25</v>
      </c>
      <c r="AN417" s="9">
        <v>4.5</v>
      </c>
      <c r="AO417" s="9">
        <v>0</v>
      </c>
      <c r="AQ417" s="8"/>
    </row>
    <row r="418" spans="1:43" x14ac:dyDescent="0.3">
      <c r="A418">
        <v>8</v>
      </c>
      <c r="B418" t="s">
        <v>1711</v>
      </c>
      <c r="C418">
        <v>30</v>
      </c>
      <c r="D418" t="s">
        <v>1713</v>
      </c>
      <c r="I418"/>
      <c r="J418"/>
      <c r="K418">
        <v>0.5</v>
      </c>
      <c r="L418" t="s">
        <v>172</v>
      </c>
      <c r="N418">
        <v>0.6</v>
      </c>
      <c r="O418">
        <v>0</v>
      </c>
      <c r="P418">
        <v>70</v>
      </c>
      <c r="Q418">
        <v>7</v>
      </c>
      <c r="R418" t="s">
        <v>102</v>
      </c>
      <c r="T418" s="6">
        <f>10^-(14-Q418)</f>
        <v>9.9999999999999995E-8</v>
      </c>
      <c r="U418" s="6">
        <v>0</v>
      </c>
      <c r="V418" s="6">
        <v>0</v>
      </c>
      <c r="W418" s="6">
        <v>0</v>
      </c>
      <c r="X418" s="6">
        <v>0</v>
      </c>
      <c r="Y418" t="s">
        <v>171</v>
      </c>
      <c r="Z418"/>
      <c r="AA418"/>
      <c r="AB418"/>
      <c r="AC418"/>
      <c r="AD418">
        <v>0.16700000000000001</v>
      </c>
      <c r="AE418">
        <v>1028</v>
      </c>
      <c r="AF418">
        <v>1</v>
      </c>
      <c r="AG418" s="9">
        <v>0.02</v>
      </c>
      <c r="AL418" s="9">
        <v>20</v>
      </c>
      <c r="AM418" s="9">
        <v>18</v>
      </c>
      <c r="AN418" s="9">
        <v>6.1</v>
      </c>
      <c r="AO418" s="9">
        <v>0.21</v>
      </c>
      <c r="AQ418" s="8"/>
    </row>
    <row r="419" spans="1:43" x14ac:dyDescent="0.3">
      <c r="A419">
        <v>8</v>
      </c>
      <c r="B419" t="s">
        <v>1711</v>
      </c>
      <c r="C419">
        <v>30</v>
      </c>
      <c r="D419" t="s">
        <v>1715</v>
      </c>
      <c r="I419"/>
      <c r="J419"/>
      <c r="K419">
        <v>0.5</v>
      </c>
      <c r="L419" t="s">
        <v>172</v>
      </c>
      <c r="N419">
        <v>0</v>
      </c>
      <c r="O419">
        <v>0.6</v>
      </c>
      <c r="P419">
        <v>70</v>
      </c>
      <c r="Q419">
        <v>7</v>
      </c>
      <c r="R419" t="s">
        <v>102</v>
      </c>
      <c r="T419" s="6">
        <f>10^-(14-Q419)</f>
        <v>9.9999999999999995E-8</v>
      </c>
      <c r="U419" s="6">
        <v>0</v>
      </c>
      <c r="V419" s="6">
        <v>0</v>
      </c>
      <c r="W419" s="6">
        <v>0</v>
      </c>
      <c r="X419" s="6">
        <v>0</v>
      </c>
      <c r="Y419" t="s">
        <v>171</v>
      </c>
      <c r="Z419"/>
      <c r="AA419"/>
      <c r="AB419"/>
      <c r="AC419"/>
      <c r="AD419">
        <v>0.16700000000000001</v>
      </c>
      <c r="AE419">
        <v>476</v>
      </c>
      <c r="AF419">
        <v>1</v>
      </c>
      <c r="AG419" s="9">
        <v>2.5000000000000001E-2</v>
      </c>
      <c r="AL419" s="9">
        <v>20</v>
      </c>
      <c r="AM419" s="9">
        <v>25</v>
      </c>
      <c r="AN419" s="9">
        <v>4.5</v>
      </c>
      <c r="AO419" s="9">
        <v>0</v>
      </c>
      <c r="AQ419" s="8"/>
    </row>
    <row r="420" spans="1:43" x14ac:dyDescent="0.3">
      <c r="A420">
        <v>8</v>
      </c>
      <c r="B420" t="s">
        <v>1711</v>
      </c>
      <c r="C420">
        <v>30</v>
      </c>
      <c r="D420" t="s">
        <v>1716</v>
      </c>
      <c r="I420"/>
      <c r="J420"/>
      <c r="K420">
        <v>0.5</v>
      </c>
      <c r="L420" t="s">
        <v>172</v>
      </c>
      <c r="N420">
        <v>0</v>
      </c>
      <c r="O420">
        <v>0.6</v>
      </c>
      <c r="P420">
        <v>70</v>
      </c>
      <c r="Q420">
        <v>7</v>
      </c>
      <c r="R420" t="s">
        <v>102</v>
      </c>
      <c r="T420" s="6">
        <f>10^-(14-Q420)</f>
        <v>9.9999999999999995E-8</v>
      </c>
      <c r="U420" s="6">
        <v>0</v>
      </c>
      <c r="V420" s="6">
        <v>0</v>
      </c>
      <c r="W420" s="6">
        <v>0</v>
      </c>
      <c r="X420" s="6">
        <v>0</v>
      </c>
      <c r="Y420" t="s">
        <v>171</v>
      </c>
      <c r="Z420"/>
      <c r="AA420"/>
      <c r="AB420"/>
      <c r="AC420"/>
      <c r="AD420">
        <v>0.16700000000000001</v>
      </c>
      <c r="AE420">
        <v>620</v>
      </c>
      <c r="AF420">
        <v>1</v>
      </c>
      <c r="AG420" s="9">
        <v>0.02</v>
      </c>
      <c r="AL420" s="9">
        <v>20</v>
      </c>
      <c r="AM420" s="9">
        <v>18</v>
      </c>
      <c r="AN420" s="9">
        <v>6.1</v>
      </c>
      <c r="AO420" s="9">
        <v>0.21</v>
      </c>
      <c r="AQ420" s="8"/>
    </row>
    <row r="421" spans="1:43" x14ac:dyDescent="0.3">
      <c r="A421">
        <v>64</v>
      </c>
      <c r="B421" t="s">
        <v>1726</v>
      </c>
      <c r="C421">
        <v>31</v>
      </c>
      <c r="D421"/>
      <c r="I421"/>
      <c r="J421"/>
      <c r="K421"/>
      <c r="L421" t="s">
        <v>172</v>
      </c>
      <c r="N421">
        <v>0.6</v>
      </c>
      <c r="O421">
        <v>0</v>
      </c>
      <c r="P421">
        <v>25</v>
      </c>
      <c r="T421" s="6">
        <f>10^-(14-Q421)</f>
        <v>1E-14</v>
      </c>
      <c r="U421" s="6">
        <v>0.1</v>
      </c>
      <c r="V421" s="6">
        <v>0</v>
      </c>
      <c r="W421" s="6">
        <v>0</v>
      </c>
      <c r="X421" s="6">
        <v>0</v>
      </c>
      <c r="Y421" t="s">
        <v>171</v>
      </c>
      <c r="Z421"/>
      <c r="AA421"/>
      <c r="AB421"/>
      <c r="AC421"/>
      <c r="AE421">
        <v>449</v>
      </c>
      <c r="AF421">
        <v>1</v>
      </c>
      <c r="AG421" s="9">
        <v>0.108</v>
      </c>
      <c r="AH421" s="9">
        <v>1.01</v>
      </c>
      <c r="AI421" s="9">
        <v>0.55000000000000004</v>
      </c>
      <c r="AJ421" s="9">
        <v>0.04</v>
      </c>
      <c r="AK421" s="9">
        <v>1.2E-2</v>
      </c>
      <c r="AL421" s="9">
        <v>17</v>
      </c>
      <c r="AM421" s="9">
        <v>8.1</v>
      </c>
      <c r="AN421" s="9">
        <v>0.17</v>
      </c>
      <c r="AO421" s="9">
        <v>0.05</v>
      </c>
      <c r="AQ421" s="8"/>
    </row>
    <row r="422" spans="1:43" x14ac:dyDescent="0.3">
      <c r="A422">
        <v>64</v>
      </c>
      <c r="B422" t="s">
        <v>1726</v>
      </c>
      <c r="C422">
        <v>31</v>
      </c>
      <c r="D422"/>
      <c r="I422"/>
      <c r="J422"/>
      <c r="K422"/>
      <c r="L422" t="s">
        <v>172</v>
      </c>
      <c r="N422">
        <v>0.6</v>
      </c>
      <c r="O422">
        <v>0</v>
      </c>
      <c r="P422">
        <v>25</v>
      </c>
      <c r="T422" s="6">
        <f>10^-(14-Q422)</f>
        <v>1E-14</v>
      </c>
      <c r="U422" s="6">
        <v>0.1</v>
      </c>
      <c r="V422" s="6">
        <v>0</v>
      </c>
      <c r="W422" s="6">
        <v>0</v>
      </c>
      <c r="X422" s="6">
        <v>0</v>
      </c>
      <c r="Y422" t="s">
        <v>171</v>
      </c>
      <c r="Z422"/>
      <c r="AA422"/>
      <c r="AB422"/>
      <c r="AC422"/>
      <c r="AE422">
        <v>379</v>
      </c>
      <c r="AF422">
        <v>1</v>
      </c>
      <c r="AG422" s="9">
        <v>0.108</v>
      </c>
      <c r="AH422" s="9">
        <v>1.01</v>
      </c>
      <c r="AI422" s="9">
        <v>0.55000000000000004</v>
      </c>
      <c r="AJ422" s="9">
        <v>0.04</v>
      </c>
      <c r="AK422" s="9">
        <v>1.2E-2</v>
      </c>
      <c r="AL422" s="9">
        <v>17</v>
      </c>
      <c r="AM422" s="9">
        <v>8.1</v>
      </c>
      <c r="AN422" s="9">
        <v>0.17</v>
      </c>
      <c r="AO422" s="9">
        <v>0.05</v>
      </c>
      <c r="AQ422" s="8"/>
    </row>
    <row r="423" spans="1:43" x14ac:dyDescent="0.3">
      <c r="A423">
        <v>59</v>
      </c>
      <c r="B423" t="s">
        <v>1672</v>
      </c>
      <c r="C423">
        <v>32</v>
      </c>
      <c r="D423"/>
      <c r="E423">
        <v>14000</v>
      </c>
      <c r="H423">
        <v>0.69899999999999995</v>
      </c>
      <c r="I423">
        <v>-1.1499999999999999</v>
      </c>
      <c r="J423">
        <v>0.25</v>
      </c>
      <c r="K423"/>
      <c r="L423" t="s">
        <v>172</v>
      </c>
      <c r="N423">
        <v>0</v>
      </c>
      <c r="O423" s="3">
        <v>0</v>
      </c>
      <c r="P423">
        <v>65</v>
      </c>
      <c r="Q423">
        <v>0.69899999999999995</v>
      </c>
      <c r="T423" s="6">
        <f>10^-(14-Q423)</f>
        <v>5.0003453497697771E-14</v>
      </c>
      <c r="U423" s="6">
        <v>0</v>
      </c>
      <c r="V423" s="6">
        <v>0.5</v>
      </c>
      <c r="W423" s="6">
        <v>0</v>
      </c>
      <c r="X423" s="6">
        <v>0</v>
      </c>
      <c r="Y423" t="s">
        <v>171</v>
      </c>
      <c r="Z423"/>
      <c r="AA423"/>
      <c r="AB423"/>
      <c r="AC423"/>
      <c r="AE423">
        <v>884.3</v>
      </c>
      <c r="AF423">
        <v>1</v>
      </c>
      <c r="AL423" s="9">
        <v>24</v>
      </c>
      <c r="AM423" s="9">
        <v>0</v>
      </c>
      <c r="AN423" s="9">
        <v>0</v>
      </c>
      <c r="AO423" s="9">
        <v>0</v>
      </c>
      <c r="AQ423" s="8"/>
    </row>
    <row r="424" spans="1:43" x14ac:dyDescent="0.3">
      <c r="A424">
        <v>59</v>
      </c>
      <c r="B424" t="s">
        <v>1672</v>
      </c>
      <c r="C424">
        <v>32</v>
      </c>
      <c r="D424"/>
      <c r="E424">
        <v>14000</v>
      </c>
      <c r="H424">
        <v>0.69899999999999995</v>
      </c>
      <c r="I424">
        <v>-1.1499999999999999</v>
      </c>
      <c r="J424">
        <v>0.25</v>
      </c>
      <c r="K424"/>
      <c r="L424" t="s">
        <v>172</v>
      </c>
      <c r="N424">
        <v>0.12</v>
      </c>
      <c r="O424" s="3">
        <v>0</v>
      </c>
      <c r="P424">
        <v>65</v>
      </c>
      <c r="Q424">
        <v>0.69899999999999995</v>
      </c>
      <c r="T424" s="6">
        <f>10^-(14-Q424)</f>
        <v>5.0003453497697771E-14</v>
      </c>
      <c r="U424" s="6">
        <v>0</v>
      </c>
      <c r="V424" s="6">
        <v>0.5</v>
      </c>
      <c r="W424" s="6">
        <v>0</v>
      </c>
      <c r="X424" s="6">
        <v>0</v>
      </c>
      <c r="Y424" t="s">
        <v>171</v>
      </c>
      <c r="Z424"/>
      <c r="AA424"/>
      <c r="AB424"/>
      <c r="AC424"/>
      <c r="AE424">
        <v>487.5</v>
      </c>
      <c r="AF424">
        <v>1</v>
      </c>
      <c r="AL424" s="9">
        <v>24</v>
      </c>
      <c r="AM424" s="9">
        <v>0</v>
      </c>
      <c r="AN424" s="9">
        <v>0</v>
      </c>
      <c r="AO424" s="9">
        <v>0</v>
      </c>
      <c r="AQ424" s="8"/>
    </row>
    <row r="425" spans="1:43" x14ac:dyDescent="0.3">
      <c r="A425">
        <v>16</v>
      </c>
      <c r="B425" t="s">
        <v>1717</v>
      </c>
      <c r="C425">
        <v>33</v>
      </c>
      <c r="D425" t="s">
        <v>1720</v>
      </c>
      <c r="I425"/>
      <c r="J425"/>
      <c r="K425"/>
      <c r="N425">
        <v>0.54600000000000004</v>
      </c>
      <c r="O425">
        <v>0</v>
      </c>
      <c r="P425">
        <v>60</v>
      </c>
      <c r="R425" t="s">
        <v>102</v>
      </c>
      <c r="T425" s="6">
        <f>10^-(14-Q425)</f>
        <v>1E-14</v>
      </c>
      <c r="U425" s="6">
        <v>0</v>
      </c>
      <c r="V425" s="6">
        <v>0</v>
      </c>
      <c r="W425" s="6">
        <v>0</v>
      </c>
      <c r="X425" s="6">
        <v>0</v>
      </c>
      <c r="Y425" t="s">
        <v>171</v>
      </c>
      <c r="Z425"/>
      <c r="AA425"/>
      <c r="AB425"/>
      <c r="AC425"/>
      <c r="AD425">
        <v>0.33329999999999999</v>
      </c>
      <c r="AE425">
        <v>1000</v>
      </c>
      <c r="AF425">
        <v>1</v>
      </c>
      <c r="AL425" s="9">
        <v>19.8</v>
      </c>
      <c r="AM425" s="9">
        <v>18.600000000000001</v>
      </c>
      <c r="AN425" s="9">
        <v>6.4</v>
      </c>
      <c r="AO425" s="9">
        <v>0.2</v>
      </c>
      <c r="AQ425" s="8"/>
    </row>
    <row r="426" spans="1:43" x14ac:dyDescent="0.3">
      <c r="A426">
        <v>16</v>
      </c>
      <c r="B426" t="s">
        <v>1717</v>
      </c>
      <c r="C426">
        <v>33</v>
      </c>
      <c r="D426" t="s">
        <v>1720</v>
      </c>
      <c r="I426"/>
      <c r="J426"/>
      <c r="K426"/>
      <c r="N426">
        <v>0.54600000000000004</v>
      </c>
      <c r="O426">
        <v>0</v>
      </c>
      <c r="P426">
        <v>80</v>
      </c>
      <c r="R426" t="s">
        <v>102</v>
      </c>
      <c r="T426" s="6">
        <f>10^-(14-Q426)</f>
        <v>1E-14</v>
      </c>
      <c r="U426" s="6">
        <v>0</v>
      </c>
      <c r="V426" s="6">
        <v>0</v>
      </c>
      <c r="W426" s="6">
        <v>0</v>
      </c>
      <c r="X426" s="6">
        <v>0</v>
      </c>
      <c r="Y426" t="s">
        <v>171</v>
      </c>
      <c r="Z426"/>
      <c r="AA426"/>
      <c r="AB426"/>
      <c r="AC426"/>
      <c r="AD426">
        <v>0.33329999999999999</v>
      </c>
      <c r="AE426">
        <v>1010</v>
      </c>
      <c r="AF426">
        <v>1</v>
      </c>
      <c r="AL426" s="9">
        <v>19.8</v>
      </c>
      <c r="AM426" s="9">
        <v>18.600000000000001</v>
      </c>
      <c r="AN426" s="9">
        <v>6.4</v>
      </c>
      <c r="AO426" s="9">
        <v>0.2</v>
      </c>
      <c r="AQ426" s="8"/>
    </row>
    <row r="427" spans="1:43" x14ac:dyDescent="0.3">
      <c r="A427">
        <v>16</v>
      </c>
      <c r="B427" t="s">
        <v>1717</v>
      </c>
      <c r="C427">
        <v>33</v>
      </c>
      <c r="D427" t="s">
        <v>1720</v>
      </c>
      <c r="I427"/>
      <c r="J427"/>
      <c r="K427"/>
      <c r="N427">
        <v>0.54600000000000004</v>
      </c>
      <c r="O427">
        <v>0</v>
      </c>
      <c r="P427">
        <v>100</v>
      </c>
      <c r="R427" t="s">
        <v>102</v>
      </c>
      <c r="T427" s="6">
        <f>10^-(14-Q427)</f>
        <v>1E-14</v>
      </c>
      <c r="U427" s="6">
        <v>0</v>
      </c>
      <c r="V427" s="6">
        <v>0</v>
      </c>
      <c r="W427" s="6">
        <v>0</v>
      </c>
      <c r="X427" s="6">
        <v>0</v>
      </c>
      <c r="Y427" t="s">
        <v>171</v>
      </c>
      <c r="Z427"/>
      <c r="AA427"/>
      <c r="AB427"/>
      <c r="AC427"/>
      <c r="AD427">
        <v>0.33329999999999999</v>
      </c>
      <c r="AE427">
        <v>782</v>
      </c>
      <c r="AF427">
        <v>1</v>
      </c>
      <c r="AL427" s="9">
        <v>19.8</v>
      </c>
      <c r="AM427" s="9">
        <v>18.600000000000001</v>
      </c>
      <c r="AN427" s="9">
        <v>6.4</v>
      </c>
      <c r="AO427" s="9">
        <v>0.2</v>
      </c>
      <c r="AQ427" s="8"/>
    </row>
    <row r="428" spans="1:43" x14ac:dyDescent="0.3">
      <c r="A428">
        <v>16</v>
      </c>
      <c r="B428" t="s">
        <v>1717</v>
      </c>
      <c r="C428">
        <v>33</v>
      </c>
      <c r="D428" t="s">
        <v>1721</v>
      </c>
      <c r="I428"/>
      <c r="J428"/>
      <c r="K428"/>
      <c r="N428">
        <v>0.54600000000000004</v>
      </c>
      <c r="O428">
        <v>0</v>
      </c>
      <c r="P428">
        <v>60</v>
      </c>
      <c r="R428" t="s">
        <v>102</v>
      </c>
      <c r="T428" s="6">
        <f>10^-(14-Q428)</f>
        <v>1E-14</v>
      </c>
      <c r="U428" s="6">
        <v>0</v>
      </c>
      <c r="V428" s="6">
        <v>0</v>
      </c>
      <c r="W428" s="6">
        <v>0</v>
      </c>
      <c r="X428" s="6">
        <v>0</v>
      </c>
      <c r="Y428" t="s">
        <v>171</v>
      </c>
      <c r="Z428"/>
      <c r="AA428"/>
      <c r="AB428"/>
      <c r="AC428"/>
      <c r="AD428">
        <v>0.33329999999999999</v>
      </c>
      <c r="AE428">
        <v>1010</v>
      </c>
      <c r="AF428">
        <v>1</v>
      </c>
      <c r="AL428" s="9">
        <v>25.2</v>
      </c>
      <c r="AM428" s="9">
        <v>7.1</v>
      </c>
      <c r="AN428" s="9">
        <v>3</v>
      </c>
      <c r="AO428" s="9">
        <v>0.14000000000000001</v>
      </c>
      <c r="AQ428" s="8"/>
    </row>
    <row r="429" spans="1:43" x14ac:dyDescent="0.3">
      <c r="A429">
        <v>16</v>
      </c>
      <c r="B429" t="s">
        <v>1717</v>
      </c>
      <c r="C429">
        <v>33</v>
      </c>
      <c r="D429" t="s">
        <v>1721</v>
      </c>
      <c r="I429"/>
      <c r="J429"/>
      <c r="K429"/>
      <c r="N429">
        <v>0.54600000000000004</v>
      </c>
      <c r="O429">
        <v>0</v>
      </c>
      <c r="P429">
        <v>80</v>
      </c>
      <c r="R429" t="s">
        <v>102</v>
      </c>
      <c r="T429" s="6">
        <f>10^-(14-Q429)</f>
        <v>1E-14</v>
      </c>
      <c r="U429" s="6">
        <v>0</v>
      </c>
      <c r="V429" s="6">
        <v>0</v>
      </c>
      <c r="W429" s="6">
        <v>0</v>
      </c>
      <c r="X429" s="6">
        <v>0</v>
      </c>
      <c r="Y429" t="s">
        <v>171</v>
      </c>
      <c r="Z429"/>
      <c r="AA429"/>
      <c r="AB429"/>
      <c r="AC429"/>
      <c r="AD429">
        <v>0.33329999999999999</v>
      </c>
      <c r="AE429">
        <v>330</v>
      </c>
      <c r="AF429">
        <v>1</v>
      </c>
      <c r="AL429" s="9">
        <v>25.2</v>
      </c>
      <c r="AM429" s="9">
        <v>7.1</v>
      </c>
      <c r="AN429" s="9">
        <v>3</v>
      </c>
      <c r="AO429" s="9">
        <v>0.14000000000000001</v>
      </c>
      <c r="AQ429" s="8"/>
    </row>
    <row r="430" spans="1:43" x14ac:dyDescent="0.3">
      <c r="A430">
        <v>16</v>
      </c>
      <c r="B430" t="s">
        <v>1717</v>
      </c>
      <c r="C430">
        <v>33</v>
      </c>
      <c r="D430" t="s">
        <v>1721</v>
      </c>
      <c r="I430"/>
      <c r="J430"/>
      <c r="K430"/>
      <c r="N430">
        <v>0.54600000000000004</v>
      </c>
      <c r="O430">
        <v>0</v>
      </c>
      <c r="P430">
        <v>100</v>
      </c>
      <c r="R430" t="s">
        <v>102</v>
      </c>
      <c r="T430" s="6">
        <f>10^-(14-Q430)</f>
        <v>1E-14</v>
      </c>
      <c r="U430" s="6">
        <v>0</v>
      </c>
      <c r="V430" s="6">
        <v>0</v>
      </c>
      <c r="W430" s="6">
        <v>0</v>
      </c>
      <c r="X430" s="6">
        <v>0</v>
      </c>
      <c r="Y430" t="s">
        <v>171</v>
      </c>
      <c r="Z430"/>
      <c r="AA430"/>
      <c r="AB430"/>
      <c r="AC430"/>
      <c r="AD430">
        <v>0.33329999999999999</v>
      </c>
      <c r="AE430">
        <v>240</v>
      </c>
      <c r="AF430">
        <v>1</v>
      </c>
      <c r="AL430" s="9">
        <v>25.2</v>
      </c>
      <c r="AM430" s="9">
        <v>7.1</v>
      </c>
      <c r="AN430" s="9">
        <v>3</v>
      </c>
      <c r="AO430" s="9">
        <v>0.14000000000000001</v>
      </c>
      <c r="AQ430" s="8"/>
    </row>
    <row r="431" spans="1:43" x14ac:dyDescent="0.3">
      <c r="A431">
        <v>16</v>
      </c>
      <c r="B431" t="s">
        <v>1717</v>
      </c>
      <c r="C431">
        <v>33</v>
      </c>
      <c r="D431" t="s">
        <v>1718</v>
      </c>
      <c r="I431"/>
      <c r="J431"/>
      <c r="K431"/>
      <c r="N431">
        <v>0.54600000000000004</v>
      </c>
      <c r="O431">
        <v>0</v>
      </c>
      <c r="P431">
        <v>60</v>
      </c>
      <c r="R431" t="s">
        <v>102</v>
      </c>
      <c r="T431" s="6">
        <f>10^-(14-Q431)</f>
        <v>1E-14</v>
      </c>
      <c r="U431" s="6">
        <v>0</v>
      </c>
      <c r="V431" s="6">
        <v>0</v>
      </c>
      <c r="W431" s="6">
        <v>0</v>
      </c>
      <c r="X431" s="6">
        <v>0</v>
      </c>
      <c r="Y431" t="s">
        <v>171</v>
      </c>
      <c r="Z431"/>
      <c r="AA431"/>
      <c r="AB431"/>
      <c r="AC431"/>
      <c r="AD431">
        <v>0.33329999999999999</v>
      </c>
      <c r="AE431">
        <v>1010</v>
      </c>
      <c r="AF431">
        <v>1</v>
      </c>
      <c r="AL431" s="9">
        <v>27.3</v>
      </c>
      <c r="AM431" s="9">
        <v>7.3</v>
      </c>
      <c r="AN431" s="9">
        <v>3.8</v>
      </c>
      <c r="AO431" s="9">
        <v>0.31</v>
      </c>
      <c r="AQ431" s="8"/>
    </row>
    <row r="432" spans="1:43" x14ac:dyDescent="0.3">
      <c r="A432">
        <v>16</v>
      </c>
      <c r="B432" t="s">
        <v>1717</v>
      </c>
      <c r="C432">
        <v>33</v>
      </c>
      <c r="D432" t="s">
        <v>1718</v>
      </c>
      <c r="I432"/>
      <c r="J432"/>
      <c r="K432"/>
      <c r="N432">
        <v>0.54600000000000004</v>
      </c>
      <c r="O432">
        <v>0</v>
      </c>
      <c r="P432">
        <v>80</v>
      </c>
      <c r="R432" t="s">
        <v>102</v>
      </c>
      <c r="T432" s="6">
        <f>10^-(14-Q432)</f>
        <v>1E-14</v>
      </c>
      <c r="U432" s="6">
        <v>0</v>
      </c>
      <c r="V432" s="6">
        <v>0</v>
      </c>
      <c r="W432" s="6">
        <v>0</v>
      </c>
      <c r="X432" s="6">
        <v>0</v>
      </c>
      <c r="Y432" t="s">
        <v>171</v>
      </c>
      <c r="Z432"/>
      <c r="AA432"/>
      <c r="AB432"/>
      <c r="AC432"/>
      <c r="AD432">
        <v>0.33329999999999999</v>
      </c>
      <c r="AE432">
        <v>1020</v>
      </c>
      <c r="AF432">
        <v>1</v>
      </c>
      <c r="AL432" s="9">
        <v>27.3</v>
      </c>
      <c r="AM432" s="9">
        <v>7.3</v>
      </c>
      <c r="AN432" s="9">
        <v>3.8</v>
      </c>
      <c r="AO432" s="9">
        <v>0.31</v>
      </c>
      <c r="AQ432" s="8"/>
    </row>
    <row r="433" spans="1:43" x14ac:dyDescent="0.3">
      <c r="A433">
        <v>16</v>
      </c>
      <c r="B433" t="s">
        <v>1717</v>
      </c>
      <c r="C433">
        <v>33</v>
      </c>
      <c r="D433" t="s">
        <v>1718</v>
      </c>
      <c r="I433"/>
      <c r="J433"/>
      <c r="K433"/>
      <c r="N433">
        <v>0.54600000000000004</v>
      </c>
      <c r="O433">
        <v>0</v>
      </c>
      <c r="P433">
        <v>100</v>
      </c>
      <c r="R433" t="s">
        <v>102</v>
      </c>
      <c r="T433" s="6">
        <f>10^-(14-Q433)</f>
        <v>1E-14</v>
      </c>
      <c r="U433" s="6">
        <v>0</v>
      </c>
      <c r="V433" s="6">
        <v>0</v>
      </c>
      <c r="W433" s="6">
        <v>0</v>
      </c>
      <c r="X433" s="6">
        <v>0</v>
      </c>
      <c r="Y433" t="s">
        <v>171</v>
      </c>
      <c r="Z433"/>
      <c r="AA433"/>
      <c r="AB433"/>
      <c r="AC433"/>
      <c r="AD433">
        <v>0.33329999999999999</v>
      </c>
      <c r="AE433">
        <v>850</v>
      </c>
      <c r="AF433">
        <v>1</v>
      </c>
      <c r="AL433" s="9">
        <v>27.3</v>
      </c>
      <c r="AM433" s="9">
        <v>7.3</v>
      </c>
      <c r="AN433" s="9">
        <v>3.8</v>
      </c>
      <c r="AO433" s="9">
        <v>0.31</v>
      </c>
      <c r="AQ433" s="8"/>
    </row>
    <row r="434" spans="1:43" x14ac:dyDescent="0.3">
      <c r="A434">
        <v>16</v>
      </c>
      <c r="B434" t="s">
        <v>1717</v>
      </c>
      <c r="C434">
        <v>33</v>
      </c>
      <c r="D434" t="s">
        <v>1719</v>
      </c>
      <c r="I434"/>
      <c r="J434"/>
      <c r="K434"/>
      <c r="N434">
        <v>0.54600000000000004</v>
      </c>
      <c r="O434">
        <v>0</v>
      </c>
      <c r="P434">
        <v>60</v>
      </c>
      <c r="R434" t="s">
        <v>102</v>
      </c>
      <c r="T434" s="6">
        <f>10^-(14-Q434)</f>
        <v>1E-14</v>
      </c>
      <c r="U434" s="6">
        <v>0</v>
      </c>
      <c r="V434" s="6">
        <v>0</v>
      </c>
      <c r="W434" s="6">
        <v>0</v>
      </c>
      <c r="X434" s="6">
        <v>0</v>
      </c>
      <c r="Y434" t="s">
        <v>171</v>
      </c>
      <c r="Z434"/>
      <c r="AA434"/>
      <c r="AB434"/>
      <c r="AC434"/>
      <c r="AD434">
        <v>0.33329999999999999</v>
      </c>
      <c r="AE434">
        <v>1010</v>
      </c>
      <c r="AF434">
        <v>1</v>
      </c>
      <c r="AL434" s="9">
        <v>28.4</v>
      </c>
      <c r="AM434" s="9">
        <v>2.6</v>
      </c>
      <c r="AN434" s="9">
        <v>4.2</v>
      </c>
      <c r="AO434" s="9">
        <v>0</v>
      </c>
      <c r="AQ434" s="8"/>
    </row>
    <row r="435" spans="1:43" x14ac:dyDescent="0.3">
      <c r="A435">
        <v>16</v>
      </c>
      <c r="B435" t="s">
        <v>1717</v>
      </c>
      <c r="C435">
        <v>33</v>
      </c>
      <c r="D435" t="s">
        <v>1719</v>
      </c>
      <c r="I435"/>
      <c r="J435"/>
      <c r="K435"/>
      <c r="N435">
        <v>0.54600000000000004</v>
      </c>
      <c r="O435">
        <v>0</v>
      </c>
      <c r="P435">
        <v>80</v>
      </c>
      <c r="R435" t="s">
        <v>102</v>
      </c>
      <c r="T435" s="6">
        <f>10^-(14-Q435)</f>
        <v>1E-14</v>
      </c>
      <c r="U435" s="6">
        <v>0</v>
      </c>
      <c r="V435" s="6">
        <v>0</v>
      </c>
      <c r="W435" s="6">
        <v>0</v>
      </c>
      <c r="X435" s="6">
        <v>0</v>
      </c>
      <c r="Y435" t="s">
        <v>171</v>
      </c>
      <c r="Z435"/>
      <c r="AA435"/>
      <c r="AB435"/>
      <c r="AC435"/>
      <c r="AD435">
        <v>0.33329999999999999</v>
      </c>
      <c r="AE435">
        <v>1010</v>
      </c>
      <c r="AF435">
        <v>1</v>
      </c>
      <c r="AL435" s="9">
        <v>28.4</v>
      </c>
      <c r="AM435" s="9">
        <v>2.6</v>
      </c>
      <c r="AN435" s="9">
        <v>4.2</v>
      </c>
      <c r="AO435" s="9">
        <v>0</v>
      </c>
      <c r="AQ435" s="8"/>
    </row>
    <row r="436" spans="1:43" x14ac:dyDescent="0.3">
      <c r="A436">
        <v>16</v>
      </c>
      <c r="B436" t="s">
        <v>1717</v>
      </c>
      <c r="C436">
        <v>33</v>
      </c>
      <c r="D436" t="s">
        <v>1719</v>
      </c>
      <c r="I436"/>
      <c r="J436"/>
      <c r="K436"/>
      <c r="N436">
        <v>0.54600000000000004</v>
      </c>
      <c r="O436">
        <v>0</v>
      </c>
      <c r="P436">
        <v>100</v>
      </c>
      <c r="R436" t="s">
        <v>102</v>
      </c>
      <c r="T436" s="6">
        <f>10^-(14-Q436)</f>
        <v>1E-14</v>
      </c>
      <c r="U436" s="6">
        <v>0</v>
      </c>
      <c r="V436" s="6">
        <v>0</v>
      </c>
      <c r="W436" s="6">
        <v>0</v>
      </c>
      <c r="X436" s="6">
        <v>0</v>
      </c>
      <c r="Y436" t="s">
        <v>171</v>
      </c>
      <c r="Z436"/>
      <c r="AA436"/>
      <c r="AB436"/>
      <c r="AC436"/>
      <c r="AD436">
        <v>0.33329999999999999</v>
      </c>
      <c r="AE436">
        <v>493</v>
      </c>
      <c r="AF436">
        <v>1</v>
      </c>
      <c r="AL436" s="9">
        <v>28.4</v>
      </c>
      <c r="AM436" s="9">
        <v>2.6</v>
      </c>
      <c r="AN436" s="9">
        <v>4.2</v>
      </c>
      <c r="AO436" s="9">
        <v>0</v>
      </c>
      <c r="AQ436" s="8"/>
    </row>
    <row r="437" spans="1:43" x14ac:dyDescent="0.3">
      <c r="A437" t="s">
        <v>1224</v>
      </c>
      <c r="B437" s="8" t="s">
        <v>1586</v>
      </c>
      <c r="C437">
        <v>34</v>
      </c>
      <c r="D437" s="8" t="s">
        <v>1733</v>
      </c>
      <c r="H437" t="s">
        <v>987</v>
      </c>
      <c r="K437" s="4">
        <v>20</v>
      </c>
      <c r="L437" t="s">
        <v>172</v>
      </c>
      <c r="M437" t="s">
        <v>28</v>
      </c>
      <c r="N437" s="3">
        <v>0.28208744710860362</v>
      </c>
      <c r="O437" s="3">
        <v>0</v>
      </c>
      <c r="P437">
        <v>50</v>
      </c>
      <c r="Q437">
        <v>1</v>
      </c>
      <c r="R437" t="s">
        <v>1225</v>
      </c>
      <c r="S437">
        <v>0.18333333333333329</v>
      </c>
      <c r="T437" s="6">
        <f>10^-(14-Q437)</f>
        <v>1E-13</v>
      </c>
      <c r="U437" s="6">
        <v>0.18333333333333329</v>
      </c>
      <c r="V437" s="6">
        <v>0</v>
      </c>
      <c r="W437" s="6">
        <v>0</v>
      </c>
      <c r="X437" s="6">
        <v>0</v>
      </c>
      <c r="Y437" t="s">
        <v>171</v>
      </c>
      <c r="Z437" s="5">
        <v>150</v>
      </c>
      <c r="AD437">
        <f>0.6/3.6</f>
        <v>0.16666666666666666</v>
      </c>
      <c r="AE437">
        <v>800</v>
      </c>
      <c r="AF437">
        <v>1</v>
      </c>
      <c r="AL437" s="9">
        <v>18.5</v>
      </c>
      <c r="AM437" s="9">
        <v>14</v>
      </c>
      <c r="AN437" s="9">
        <v>3.5</v>
      </c>
      <c r="AQ437" s="8"/>
    </row>
    <row r="438" spans="1:43" x14ac:dyDescent="0.3">
      <c r="A438" t="s">
        <v>1226</v>
      </c>
      <c r="B438" s="8" t="s">
        <v>1586</v>
      </c>
      <c r="C438">
        <v>34</v>
      </c>
      <c r="D438" s="8" t="s">
        <v>1733</v>
      </c>
      <c r="H438" t="s">
        <v>987</v>
      </c>
      <c r="K438" s="4">
        <v>20</v>
      </c>
      <c r="L438" t="s">
        <v>172</v>
      </c>
      <c r="M438" t="s">
        <v>28</v>
      </c>
      <c r="N438" s="3">
        <v>0.28208744710860362</v>
      </c>
      <c r="O438" s="3">
        <v>0</v>
      </c>
      <c r="P438">
        <v>50</v>
      </c>
      <c r="Q438">
        <v>1</v>
      </c>
      <c r="R438" t="s">
        <v>1225</v>
      </c>
      <c r="S438">
        <v>0.18333333333333329</v>
      </c>
      <c r="T438" s="6">
        <f>10^-(14-Q438)</f>
        <v>1E-13</v>
      </c>
      <c r="U438" s="6">
        <v>0.18333333333333329</v>
      </c>
      <c r="V438" s="6">
        <v>0</v>
      </c>
      <c r="W438" s="6">
        <v>0</v>
      </c>
      <c r="X438" s="6">
        <v>0</v>
      </c>
      <c r="Y438" t="s">
        <v>171</v>
      </c>
      <c r="Z438" s="5">
        <v>200</v>
      </c>
      <c r="AD438">
        <v>1.6666666666666701E-2</v>
      </c>
      <c r="AE438">
        <v>400</v>
      </c>
      <c r="AF438">
        <v>1</v>
      </c>
      <c r="AL438" s="9">
        <v>18.5</v>
      </c>
      <c r="AM438" s="9">
        <v>14</v>
      </c>
      <c r="AN438" s="9">
        <v>3.5</v>
      </c>
      <c r="AQ438" s="8"/>
    </row>
    <row r="439" spans="1:43" x14ac:dyDescent="0.3">
      <c r="A439" t="s">
        <v>1227</v>
      </c>
      <c r="B439" s="8" t="s">
        <v>1586</v>
      </c>
      <c r="C439">
        <v>34</v>
      </c>
      <c r="D439" s="8" t="s">
        <v>1733</v>
      </c>
      <c r="H439" t="s">
        <v>987</v>
      </c>
      <c r="K439" s="4">
        <v>20</v>
      </c>
      <c r="L439" t="s">
        <v>172</v>
      </c>
      <c r="M439" t="s">
        <v>28</v>
      </c>
      <c r="N439" s="3">
        <v>0.28208744710860362</v>
      </c>
      <c r="O439" s="3">
        <v>0</v>
      </c>
      <c r="P439">
        <v>50</v>
      </c>
      <c r="Q439">
        <v>1</v>
      </c>
      <c r="R439" t="s">
        <v>1225</v>
      </c>
      <c r="S439">
        <v>0.18333333333333329</v>
      </c>
      <c r="T439" s="6">
        <f>10^-(14-Q439)</f>
        <v>1E-13</v>
      </c>
      <c r="U439" s="6">
        <v>0.18333333333333329</v>
      </c>
      <c r="V439" s="6">
        <v>0</v>
      </c>
      <c r="W439" s="6">
        <v>0</v>
      </c>
      <c r="X439" s="6">
        <v>0</v>
      </c>
      <c r="Y439" t="s">
        <v>171</v>
      </c>
      <c r="Z439" s="5">
        <v>250</v>
      </c>
      <c r="AD439">
        <v>0.16666666666666666</v>
      </c>
      <c r="AE439">
        <v>510</v>
      </c>
      <c r="AF439">
        <v>1</v>
      </c>
      <c r="AL439" s="9">
        <v>18.5</v>
      </c>
      <c r="AM439" s="9">
        <v>14</v>
      </c>
      <c r="AN439" s="9">
        <v>3.5</v>
      </c>
      <c r="AQ439" s="8"/>
    </row>
    <row r="440" spans="1:43" x14ac:dyDescent="0.3">
      <c r="A440" t="s">
        <v>1228</v>
      </c>
      <c r="B440" s="8" t="s">
        <v>1586</v>
      </c>
      <c r="C440">
        <v>34</v>
      </c>
      <c r="D440" s="8" t="s">
        <v>1733</v>
      </c>
      <c r="H440" t="s">
        <v>987</v>
      </c>
      <c r="K440" s="4">
        <v>20</v>
      </c>
      <c r="L440" t="s">
        <v>172</v>
      </c>
      <c r="M440" t="s">
        <v>28</v>
      </c>
      <c r="N440" s="3">
        <v>0.28208744710860362</v>
      </c>
      <c r="O440" s="3">
        <v>0</v>
      </c>
      <c r="P440">
        <v>50</v>
      </c>
      <c r="Q440">
        <v>1</v>
      </c>
      <c r="R440" t="s">
        <v>1225</v>
      </c>
      <c r="S440">
        <v>0.18333333333333329</v>
      </c>
      <c r="T440" s="6">
        <f>10^-(14-Q440)</f>
        <v>1E-13</v>
      </c>
      <c r="U440" s="6">
        <v>0.18333333333333329</v>
      </c>
      <c r="V440" s="6">
        <v>0</v>
      </c>
      <c r="W440" s="6">
        <v>0</v>
      </c>
      <c r="X440" s="6">
        <v>0</v>
      </c>
      <c r="Y440" t="s">
        <v>171</v>
      </c>
      <c r="Z440" s="5">
        <v>210</v>
      </c>
      <c r="AD440">
        <v>1.6666666666666701E-2</v>
      </c>
      <c r="AE440">
        <v>580</v>
      </c>
      <c r="AF440">
        <v>1</v>
      </c>
      <c r="AL440" s="9">
        <v>18.5</v>
      </c>
      <c r="AM440" s="9">
        <v>14</v>
      </c>
      <c r="AN440" s="9">
        <v>3.5</v>
      </c>
      <c r="AQ440" s="8"/>
    </row>
    <row r="441" spans="1:43" x14ac:dyDescent="0.3">
      <c r="A441" t="s">
        <v>1229</v>
      </c>
      <c r="B441" s="8" t="s">
        <v>1586</v>
      </c>
      <c r="C441">
        <v>34</v>
      </c>
      <c r="D441" s="8" t="s">
        <v>1733</v>
      </c>
      <c r="H441" t="s">
        <v>987</v>
      </c>
      <c r="K441" s="4">
        <v>20</v>
      </c>
      <c r="L441" t="s">
        <v>172</v>
      </c>
      <c r="M441" t="s">
        <v>28</v>
      </c>
      <c r="N441" s="3">
        <v>0.28208744710860362</v>
      </c>
      <c r="O441" s="3">
        <v>0</v>
      </c>
      <c r="P441">
        <v>50</v>
      </c>
      <c r="Q441">
        <v>1</v>
      </c>
      <c r="R441" t="s">
        <v>1225</v>
      </c>
      <c r="S441">
        <v>0.18333333333333329</v>
      </c>
      <c r="T441" s="6">
        <f>10^-(14-Q441)</f>
        <v>1E-13</v>
      </c>
      <c r="U441" s="6">
        <v>0.18333333333333329</v>
      </c>
      <c r="V441" s="6">
        <v>0</v>
      </c>
      <c r="W441" s="6">
        <v>0</v>
      </c>
      <c r="X441" s="6">
        <v>0</v>
      </c>
      <c r="Y441" t="s">
        <v>171</v>
      </c>
      <c r="Z441" s="5">
        <v>220</v>
      </c>
      <c r="AD441">
        <v>0.16666666666666666</v>
      </c>
      <c r="AE441">
        <v>440</v>
      </c>
      <c r="AF441">
        <v>1</v>
      </c>
      <c r="AL441" s="9">
        <v>18.5</v>
      </c>
      <c r="AM441" s="9">
        <v>14</v>
      </c>
      <c r="AN441" s="9">
        <v>3.5</v>
      </c>
      <c r="AQ441" s="8"/>
    </row>
    <row r="442" spans="1:43" x14ac:dyDescent="0.3">
      <c r="A442" t="s">
        <v>1230</v>
      </c>
      <c r="B442" s="8" t="s">
        <v>1586</v>
      </c>
      <c r="C442">
        <v>34</v>
      </c>
      <c r="D442" s="8" t="s">
        <v>1733</v>
      </c>
      <c r="H442" t="s">
        <v>987</v>
      </c>
      <c r="K442" s="4">
        <v>20</v>
      </c>
      <c r="L442" t="s">
        <v>172</v>
      </c>
      <c r="M442" t="s">
        <v>28</v>
      </c>
      <c r="N442" s="3">
        <v>2.8208744710860363</v>
      </c>
      <c r="O442" s="3">
        <v>0</v>
      </c>
      <c r="P442">
        <v>50</v>
      </c>
      <c r="Q442">
        <v>6</v>
      </c>
      <c r="R442" t="s">
        <v>1231</v>
      </c>
      <c r="S442">
        <v>8.3333333333333329E-2</v>
      </c>
      <c r="T442" s="6">
        <f>10^-(14-Q442)</f>
        <v>1E-8</v>
      </c>
      <c r="U442" s="6">
        <v>8.3333333333333329E-2</v>
      </c>
      <c r="V442" s="6">
        <v>0</v>
      </c>
      <c r="W442" s="6">
        <v>0</v>
      </c>
      <c r="X442" s="6">
        <v>0</v>
      </c>
      <c r="Y442" t="s">
        <v>171</v>
      </c>
      <c r="Z442" s="5">
        <v>-220</v>
      </c>
      <c r="AD442">
        <f>0.6/3.6</f>
        <v>0.16666666666666666</v>
      </c>
      <c r="AE442">
        <v>60</v>
      </c>
      <c r="AF442">
        <v>1</v>
      </c>
      <c r="AL442" s="9">
        <v>18.5</v>
      </c>
      <c r="AM442" s="9">
        <v>14</v>
      </c>
      <c r="AN442" s="9">
        <v>3.5</v>
      </c>
      <c r="AQ442" s="8"/>
    </row>
    <row r="443" spans="1:43" x14ac:dyDescent="0.3">
      <c r="A443" t="s">
        <v>1232</v>
      </c>
      <c r="B443" s="8" t="s">
        <v>1586</v>
      </c>
      <c r="C443">
        <v>34</v>
      </c>
      <c r="D443" s="8" t="s">
        <v>1733</v>
      </c>
      <c r="H443" t="s">
        <v>987</v>
      </c>
      <c r="K443" s="4">
        <v>20</v>
      </c>
      <c r="L443" t="s">
        <v>172</v>
      </c>
      <c r="M443" t="s">
        <v>28</v>
      </c>
      <c r="N443" s="3">
        <v>2.8208744710860363</v>
      </c>
      <c r="O443" s="3">
        <v>0</v>
      </c>
      <c r="P443">
        <v>50</v>
      </c>
      <c r="Q443">
        <v>6</v>
      </c>
      <c r="R443" t="s">
        <v>1231</v>
      </c>
      <c r="S443">
        <v>8.3333333333333329E-2</v>
      </c>
      <c r="T443" s="6">
        <f>10^-(14-Q443)</f>
        <v>1E-8</v>
      </c>
      <c r="U443" s="6">
        <v>8.3333333333333329E-2</v>
      </c>
      <c r="V443" s="6">
        <v>0</v>
      </c>
      <c r="W443" s="6">
        <v>0</v>
      </c>
      <c r="X443" s="6">
        <v>0</v>
      </c>
      <c r="Y443" t="s">
        <v>171</v>
      </c>
      <c r="Z443" s="5">
        <v>-150</v>
      </c>
      <c r="AD443">
        <v>1.6666666666666701E-2</v>
      </c>
      <c r="AE443">
        <v>-20</v>
      </c>
      <c r="AF443">
        <v>1</v>
      </c>
      <c r="AL443" s="9">
        <v>18.5</v>
      </c>
      <c r="AM443" s="9">
        <v>14</v>
      </c>
      <c r="AN443" s="9">
        <v>3.5</v>
      </c>
      <c r="AQ443" s="8"/>
    </row>
    <row r="444" spans="1:43" x14ac:dyDescent="0.3">
      <c r="A444" t="s">
        <v>1233</v>
      </c>
      <c r="B444" s="8" t="s">
        <v>1586</v>
      </c>
      <c r="C444">
        <v>34</v>
      </c>
      <c r="D444" s="8" t="s">
        <v>1733</v>
      </c>
      <c r="H444" t="s">
        <v>987</v>
      </c>
      <c r="K444" s="4">
        <v>20</v>
      </c>
      <c r="L444" t="s">
        <v>172</v>
      </c>
      <c r="M444" t="s">
        <v>28</v>
      </c>
      <c r="N444" s="3">
        <v>2.8208744710860363</v>
      </c>
      <c r="O444" s="3">
        <v>0</v>
      </c>
      <c r="P444">
        <v>50</v>
      </c>
      <c r="Q444">
        <v>6</v>
      </c>
      <c r="R444" t="s">
        <v>1231</v>
      </c>
      <c r="S444">
        <v>8.3333333333333329E-2</v>
      </c>
      <c r="T444" s="6">
        <f>10^-(14-Q444)</f>
        <v>1E-8</v>
      </c>
      <c r="U444" s="6">
        <v>8.3333333333333329E-2</v>
      </c>
      <c r="V444" s="6">
        <v>0</v>
      </c>
      <c r="W444" s="6">
        <v>0</v>
      </c>
      <c r="X444" s="6">
        <v>0</v>
      </c>
      <c r="Y444" t="s">
        <v>171</v>
      </c>
      <c r="Z444" s="5">
        <v>20</v>
      </c>
      <c r="AD444">
        <v>0.16666666666666666</v>
      </c>
      <c r="AE444">
        <v>120</v>
      </c>
      <c r="AF444">
        <v>1</v>
      </c>
      <c r="AL444" s="9">
        <v>18.5</v>
      </c>
      <c r="AM444" s="9">
        <v>14</v>
      </c>
      <c r="AN444" s="9">
        <v>3.5</v>
      </c>
      <c r="AQ444" s="8"/>
    </row>
    <row r="445" spans="1:43" x14ac:dyDescent="0.3">
      <c r="A445" t="s">
        <v>1234</v>
      </c>
      <c r="B445" s="8" t="s">
        <v>1586</v>
      </c>
      <c r="C445">
        <v>34</v>
      </c>
      <c r="D445" s="8" t="s">
        <v>1733</v>
      </c>
      <c r="H445" t="s">
        <v>987</v>
      </c>
      <c r="K445" s="4">
        <v>20</v>
      </c>
      <c r="L445" t="s">
        <v>172</v>
      </c>
      <c r="M445" t="s">
        <v>28</v>
      </c>
      <c r="N445" s="3">
        <v>2.8208744710860363</v>
      </c>
      <c r="O445" s="3">
        <v>0</v>
      </c>
      <c r="P445">
        <v>50</v>
      </c>
      <c r="Q445">
        <v>6</v>
      </c>
      <c r="R445" t="s">
        <v>1231</v>
      </c>
      <c r="S445">
        <v>8.3333333333333329E-2</v>
      </c>
      <c r="T445" s="6">
        <f>10^-(14-Q445)</f>
        <v>1E-8</v>
      </c>
      <c r="U445" s="6">
        <v>8.3333333333333329E-2</v>
      </c>
      <c r="V445" s="6">
        <v>0</v>
      </c>
      <c r="W445" s="6">
        <v>0</v>
      </c>
      <c r="X445" s="6">
        <v>0</v>
      </c>
      <c r="Y445" t="s">
        <v>171</v>
      </c>
      <c r="Z445" s="5">
        <v>-200</v>
      </c>
      <c r="AD445">
        <v>1.6666666666666701E-2</v>
      </c>
      <c r="AE445">
        <v>-10</v>
      </c>
      <c r="AF445">
        <v>1</v>
      </c>
      <c r="AL445" s="9">
        <v>18.5</v>
      </c>
      <c r="AM445" s="9">
        <v>14</v>
      </c>
      <c r="AN445" s="9">
        <v>3.5</v>
      </c>
      <c r="AQ445" s="8"/>
    </row>
    <row r="446" spans="1:43" x14ac:dyDescent="0.3">
      <c r="A446" t="s">
        <v>1235</v>
      </c>
      <c r="B446" s="8" t="s">
        <v>1586</v>
      </c>
      <c r="C446">
        <v>34</v>
      </c>
      <c r="D446" s="8" t="s">
        <v>1733</v>
      </c>
      <c r="H446" t="s">
        <v>987</v>
      </c>
      <c r="K446" s="4">
        <v>20</v>
      </c>
      <c r="L446" t="s">
        <v>172</v>
      </c>
      <c r="M446" t="s">
        <v>28</v>
      </c>
      <c r="N446" s="3">
        <v>2.8208744710860363</v>
      </c>
      <c r="O446" s="3">
        <v>0</v>
      </c>
      <c r="P446">
        <v>50</v>
      </c>
      <c r="Q446">
        <v>1</v>
      </c>
      <c r="R446" t="s">
        <v>1236</v>
      </c>
      <c r="S446">
        <v>0.27543859649122804</v>
      </c>
      <c r="T446" s="6">
        <f>10^-(14-Q446)</f>
        <v>1E-13</v>
      </c>
      <c r="U446" s="6">
        <v>0.27543859649122804</v>
      </c>
      <c r="V446" s="6">
        <v>0</v>
      </c>
      <c r="W446" s="6">
        <v>0</v>
      </c>
      <c r="X446" s="6">
        <v>0</v>
      </c>
      <c r="Y446" t="s">
        <v>171</v>
      </c>
      <c r="Z446" s="5">
        <v>10</v>
      </c>
      <c r="AD446">
        <f>0.6/3.6</f>
        <v>0.16666666666666666</v>
      </c>
      <c r="AE446">
        <v>680</v>
      </c>
      <c r="AF446">
        <v>1</v>
      </c>
      <c r="AL446" s="9">
        <v>18.5</v>
      </c>
      <c r="AM446" s="9">
        <v>14</v>
      </c>
      <c r="AN446" s="9">
        <v>3.5</v>
      </c>
      <c r="AQ446" s="8"/>
    </row>
    <row r="447" spans="1:43" x14ac:dyDescent="0.3">
      <c r="A447" t="s">
        <v>1237</v>
      </c>
      <c r="B447" s="8" t="s">
        <v>1586</v>
      </c>
      <c r="C447">
        <v>34</v>
      </c>
      <c r="D447" s="8" t="s">
        <v>1733</v>
      </c>
      <c r="H447" t="s">
        <v>987</v>
      </c>
      <c r="K447" s="4">
        <v>20</v>
      </c>
      <c r="L447" t="s">
        <v>172</v>
      </c>
      <c r="M447" t="s">
        <v>28</v>
      </c>
      <c r="N447" s="3">
        <v>2.8208744710860363</v>
      </c>
      <c r="O447" s="3">
        <v>0</v>
      </c>
      <c r="P447">
        <v>50</v>
      </c>
      <c r="Q447">
        <v>1</v>
      </c>
      <c r="R447" t="s">
        <v>1236</v>
      </c>
      <c r="S447">
        <v>0.27543859649122804</v>
      </c>
      <c r="T447" s="6">
        <f>10^-(14-Q447)</f>
        <v>1E-13</v>
      </c>
      <c r="U447" s="6">
        <v>0.27543859649122804</v>
      </c>
      <c r="V447" s="6">
        <v>0</v>
      </c>
      <c r="W447" s="6">
        <v>0</v>
      </c>
      <c r="X447" s="6">
        <v>0</v>
      </c>
      <c r="Y447" t="s">
        <v>171</v>
      </c>
      <c r="Z447" s="5">
        <v>-120</v>
      </c>
      <c r="AD447">
        <f>0.6/3.6</f>
        <v>0.16666666666666666</v>
      </c>
      <c r="AE447">
        <v>780</v>
      </c>
      <c r="AF447">
        <v>1</v>
      </c>
      <c r="AL447" s="9">
        <v>18.5</v>
      </c>
      <c r="AM447" s="9">
        <v>14</v>
      </c>
      <c r="AN447" s="9">
        <v>3.5</v>
      </c>
      <c r="AQ447" s="8"/>
    </row>
    <row r="448" spans="1:43" x14ac:dyDescent="0.3">
      <c r="A448" t="s">
        <v>1238</v>
      </c>
      <c r="B448" s="8" t="s">
        <v>1586</v>
      </c>
      <c r="C448">
        <v>34</v>
      </c>
      <c r="D448" s="8" t="s">
        <v>1733</v>
      </c>
      <c r="H448" t="s">
        <v>987</v>
      </c>
      <c r="K448" s="4">
        <v>20</v>
      </c>
      <c r="L448" t="s">
        <v>172</v>
      </c>
      <c r="M448" t="s">
        <v>28</v>
      </c>
      <c r="N448" s="3">
        <v>2.8208744710860363</v>
      </c>
      <c r="O448" s="3">
        <v>0</v>
      </c>
      <c r="P448">
        <v>50</v>
      </c>
      <c r="Q448">
        <v>1</v>
      </c>
      <c r="R448" t="s">
        <v>1236</v>
      </c>
      <c r="S448">
        <v>0.27543859649122804</v>
      </c>
      <c r="T448" s="6">
        <f>10^-(14-Q448)</f>
        <v>1E-13</v>
      </c>
      <c r="U448" s="6">
        <v>0.27543859649122804</v>
      </c>
      <c r="V448" s="6">
        <v>0</v>
      </c>
      <c r="W448" s="6">
        <v>0</v>
      </c>
      <c r="X448" s="6">
        <v>0</v>
      </c>
      <c r="Y448" t="s">
        <v>171</v>
      </c>
      <c r="Z448" s="5">
        <v>60</v>
      </c>
      <c r="AD448">
        <v>1.6666666666666701E-2</v>
      </c>
      <c r="AE448">
        <v>820</v>
      </c>
      <c r="AF448">
        <v>1</v>
      </c>
      <c r="AL448" s="9">
        <v>18.5</v>
      </c>
      <c r="AM448" s="9">
        <v>14</v>
      </c>
      <c r="AN448" s="9">
        <v>3.5</v>
      </c>
      <c r="AQ448" s="8"/>
    </row>
    <row r="449" spans="1:43" x14ac:dyDescent="0.3">
      <c r="A449" t="s">
        <v>1239</v>
      </c>
      <c r="B449" s="8" t="s">
        <v>1586</v>
      </c>
      <c r="C449">
        <v>34</v>
      </c>
      <c r="D449" s="8" t="s">
        <v>1733</v>
      </c>
      <c r="H449" t="s">
        <v>987</v>
      </c>
      <c r="K449" s="4">
        <v>20</v>
      </c>
      <c r="L449" t="s">
        <v>172</v>
      </c>
      <c r="M449" t="s">
        <v>28</v>
      </c>
      <c r="N449" s="3">
        <v>2.8208744710860363</v>
      </c>
      <c r="O449" s="3">
        <v>0</v>
      </c>
      <c r="P449">
        <v>50</v>
      </c>
      <c r="Q449">
        <v>1</v>
      </c>
      <c r="R449" t="s">
        <v>1236</v>
      </c>
      <c r="S449">
        <v>0.27543859649122804</v>
      </c>
      <c r="T449" s="6">
        <f>10^-(14-Q449)</f>
        <v>1E-13</v>
      </c>
      <c r="U449" s="6">
        <v>0.27543859649122804</v>
      </c>
      <c r="V449" s="6">
        <v>0</v>
      </c>
      <c r="W449" s="6">
        <v>0</v>
      </c>
      <c r="X449" s="6">
        <v>0</v>
      </c>
      <c r="Y449" t="s">
        <v>171</v>
      </c>
      <c r="Z449" s="5">
        <v>20</v>
      </c>
      <c r="AD449">
        <v>1.6666666666666701E-2</v>
      </c>
      <c r="AE449">
        <v>340</v>
      </c>
      <c r="AF449">
        <v>1</v>
      </c>
      <c r="AL449" s="9">
        <v>18.5</v>
      </c>
      <c r="AM449" s="9">
        <v>14</v>
      </c>
      <c r="AN449" s="9">
        <v>3.5</v>
      </c>
      <c r="AQ449" s="8"/>
    </row>
    <row r="450" spans="1:43" x14ac:dyDescent="0.3">
      <c r="A450" t="s">
        <v>1240</v>
      </c>
      <c r="B450" s="8" t="s">
        <v>1586</v>
      </c>
      <c r="C450">
        <v>34</v>
      </c>
      <c r="D450" s="8" t="s">
        <v>1733</v>
      </c>
      <c r="H450" t="s">
        <v>987</v>
      </c>
      <c r="K450" s="4">
        <v>20</v>
      </c>
      <c r="L450" t="s">
        <v>172</v>
      </c>
      <c r="M450" t="s">
        <v>28</v>
      </c>
      <c r="N450" s="3">
        <v>2.8208744710860363</v>
      </c>
      <c r="O450" s="3">
        <v>0</v>
      </c>
      <c r="P450">
        <v>50</v>
      </c>
      <c r="Q450">
        <v>1</v>
      </c>
      <c r="R450" t="s">
        <v>1236</v>
      </c>
      <c r="S450">
        <v>0.27543859649122804</v>
      </c>
      <c r="T450" s="6">
        <f>10^-(14-Q450)</f>
        <v>1E-13</v>
      </c>
      <c r="U450" s="6">
        <v>0.27543859649122804</v>
      </c>
      <c r="V450" s="6">
        <v>0</v>
      </c>
      <c r="W450" s="6">
        <v>0</v>
      </c>
      <c r="X450" s="6">
        <v>0</v>
      </c>
      <c r="Y450" t="s">
        <v>171</v>
      </c>
      <c r="Z450" s="5">
        <v>-140</v>
      </c>
      <c r="AD450">
        <v>0.16666666666666666</v>
      </c>
      <c r="AE450">
        <v>540</v>
      </c>
      <c r="AF450">
        <v>1</v>
      </c>
      <c r="AL450" s="9">
        <v>18.5</v>
      </c>
      <c r="AM450" s="9">
        <v>14</v>
      </c>
      <c r="AN450" s="9">
        <v>3.5</v>
      </c>
      <c r="AQ450" s="8"/>
    </row>
    <row r="451" spans="1:43" x14ac:dyDescent="0.3">
      <c r="A451" t="s">
        <v>1241</v>
      </c>
      <c r="B451" s="8" t="s">
        <v>1586</v>
      </c>
      <c r="C451">
        <v>34</v>
      </c>
      <c r="D451" s="8" t="s">
        <v>1733</v>
      </c>
      <c r="H451" t="s">
        <v>987</v>
      </c>
      <c r="K451" s="4">
        <v>20</v>
      </c>
      <c r="L451" t="s">
        <v>172</v>
      </c>
      <c r="M451" t="s">
        <v>28</v>
      </c>
      <c r="N451" s="3">
        <v>2.8208744710860363</v>
      </c>
      <c r="O451" s="3">
        <v>0</v>
      </c>
      <c r="P451">
        <v>50</v>
      </c>
      <c r="Q451">
        <v>1</v>
      </c>
      <c r="R451" t="s">
        <v>1236</v>
      </c>
      <c r="S451">
        <v>0.27543859649122804</v>
      </c>
      <c r="T451" s="6">
        <f>10^-(14-Q451)</f>
        <v>1E-13</v>
      </c>
      <c r="U451" s="6">
        <v>0.27543859649122804</v>
      </c>
      <c r="V451" s="6">
        <v>0</v>
      </c>
      <c r="W451" s="6">
        <v>0</v>
      </c>
      <c r="X451" s="6">
        <v>0</v>
      </c>
      <c r="Y451" t="s">
        <v>171</v>
      </c>
      <c r="Z451" s="5">
        <v>-160</v>
      </c>
      <c r="AD451">
        <v>1.6666666666666701E-2</v>
      </c>
      <c r="AE451">
        <v>840</v>
      </c>
      <c r="AF451">
        <v>1</v>
      </c>
      <c r="AL451" s="9">
        <v>18.5</v>
      </c>
      <c r="AM451" s="9">
        <v>14</v>
      </c>
      <c r="AN451" s="9">
        <v>3.5</v>
      </c>
      <c r="AQ451" s="8"/>
    </row>
    <row r="452" spans="1:43" x14ac:dyDescent="0.3">
      <c r="A452">
        <v>58</v>
      </c>
      <c r="B452" t="s">
        <v>1671</v>
      </c>
      <c r="C452">
        <v>35</v>
      </c>
      <c r="D452"/>
      <c r="I452"/>
      <c r="J452"/>
      <c r="K452"/>
      <c r="N452">
        <v>0</v>
      </c>
      <c r="O452" s="3">
        <v>0</v>
      </c>
      <c r="P452">
        <v>25</v>
      </c>
      <c r="Q452">
        <v>0.69899999999999995</v>
      </c>
      <c r="T452" s="6">
        <f>10^-(14-Q452)</f>
        <v>5.0003453497697771E-14</v>
      </c>
      <c r="U452" s="6">
        <v>0</v>
      </c>
      <c r="V452" s="6">
        <v>0.2</v>
      </c>
      <c r="W452" s="6">
        <v>0</v>
      </c>
      <c r="X452" s="6">
        <v>0</v>
      </c>
      <c r="Y452" t="s">
        <v>171</v>
      </c>
      <c r="Z452"/>
      <c r="AA452"/>
      <c r="AB452"/>
      <c r="AC452"/>
      <c r="AE452">
        <v>497</v>
      </c>
      <c r="AF452">
        <v>1</v>
      </c>
      <c r="AH452" s="9">
        <v>2E-3</v>
      </c>
      <c r="AI452" s="9">
        <v>4.2999999999999997E-2</v>
      </c>
      <c r="AK452" s="9">
        <v>6.0000000000000001E-3</v>
      </c>
      <c r="AL452" s="9">
        <v>24.3</v>
      </c>
      <c r="AM452" s="9">
        <v>0</v>
      </c>
      <c r="AN452" s="9">
        <v>6.3E-2</v>
      </c>
      <c r="AQ452" s="8"/>
    </row>
    <row r="453" spans="1:43" x14ac:dyDescent="0.3">
      <c r="A453">
        <v>58</v>
      </c>
      <c r="B453" t="s">
        <v>1671</v>
      </c>
      <c r="C453">
        <v>35</v>
      </c>
      <c r="D453"/>
      <c r="I453"/>
      <c r="J453"/>
      <c r="K453"/>
      <c r="N453">
        <v>0</v>
      </c>
      <c r="O453" s="3">
        <v>0</v>
      </c>
      <c r="P453">
        <v>25</v>
      </c>
      <c r="Q453">
        <v>0.69899999999999995</v>
      </c>
      <c r="T453" s="6">
        <f>10^-(14-Q453)</f>
        <v>5.0003453497697771E-14</v>
      </c>
      <c r="U453" s="6">
        <v>0</v>
      </c>
      <c r="V453" s="6">
        <v>0.2</v>
      </c>
      <c r="W453" s="6">
        <v>0</v>
      </c>
      <c r="X453" s="6">
        <v>0</v>
      </c>
      <c r="Y453" t="s">
        <v>171</v>
      </c>
      <c r="Z453"/>
      <c r="AA453"/>
      <c r="AB453"/>
      <c r="AC453"/>
      <c r="AE453">
        <v>895</v>
      </c>
      <c r="AF453">
        <v>1</v>
      </c>
      <c r="AH453" s="9">
        <v>0.12</v>
      </c>
      <c r="AK453" s="9">
        <v>5.0000000000000001E-3</v>
      </c>
      <c r="AL453" s="9">
        <v>24.3</v>
      </c>
      <c r="AM453" s="9">
        <v>0</v>
      </c>
      <c r="AN453" s="9">
        <v>10.9</v>
      </c>
      <c r="AQ453" s="8"/>
    </row>
    <row r="454" spans="1:43" x14ac:dyDescent="0.3">
      <c r="A454">
        <v>58</v>
      </c>
      <c r="B454" t="s">
        <v>1671</v>
      </c>
      <c r="C454">
        <v>35</v>
      </c>
      <c r="D454"/>
      <c r="I454"/>
      <c r="J454"/>
      <c r="K454"/>
      <c r="N454">
        <v>0.12</v>
      </c>
      <c r="O454" s="3">
        <v>0</v>
      </c>
      <c r="P454">
        <v>25</v>
      </c>
      <c r="Q454">
        <v>0.69899999999999995</v>
      </c>
      <c r="T454" s="6">
        <f>10^-(14-Q454)</f>
        <v>5.0003453497697771E-14</v>
      </c>
      <c r="U454" s="6">
        <v>0</v>
      </c>
      <c r="V454" s="6">
        <v>0.5</v>
      </c>
      <c r="W454" s="6">
        <v>0</v>
      </c>
      <c r="X454" s="6">
        <v>0</v>
      </c>
      <c r="Y454" t="s">
        <v>171</v>
      </c>
      <c r="Z454"/>
      <c r="AA454"/>
      <c r="AB454"/>
      <c r="AC454"/>
      <c r="AE454">
        <v>1056</v>
      </c>
      <c r="AF454">
        <v>1</v>
      </c>
      <c r="AH454" s="9">
        <v>2E-3</v>
      </c>
      <c r="AI454" s="9">
        <v>4.2999999999999997E-2</v>
      </c>
      <c r="AK454" s="9">
        <v>6.0000000000000001E-3</v>
      </c>
      <c r="AL454" s="9">
        <v>24.3</v>
      </c>
      <c r="AM454" s="9">
        <v>0</v>
      </c>
      <c r="AN454" s="9">
        <v>6.3E-2</v>
      </c>
      <c r="AQ454" s="8"/>
    </row>
    <row r="455" spans="1:43" x14ac:dyDescent="0.3">
      <c r="A455">
        <v>58</v>
      </c>
      <c r="B455" t="s">
        <v>1671</v>
      </c>
      <c r="C455">
        <v>35</v>
      </c>
      <c r="D455"/>
      <c r="I455"/>
      <c r="J455"/>
      <c r="K455"/>
      <c r="N455">
        <v>0.12</v>
      </c>
      <c r="O455" s="3">
        <v>0</v>
      </c>
      <c r="P455">
        <v>25</v>
      </c>
      <c r="Q455">
        <v>0.69899999999999995</v>
      </c>
      <c r="T455" s="6">
        <f>10^-(14-Q455)</f>
        <v>5.0003453497697771E-14</v>
      </c>
      <c r="U455" s="6">
        <v>0</v>
      </c>
      <c r="V455" s="6">
        <v>0.5</v>
      </c>
      <c r="W455" s="6">
        <v>0</v>
      </c>
      <c r="X455" s="6">
        <v>0</v>
      </c>
      <c r="Y455" t="s">
        <v>171</v>
      </c>
      <c r="Z455"/>
      <c r="AA455"/>
      <c r="AB455"/>
      <c r="AC455"/>
      <c r="AE455">
        <v>856</v>
      </c>
      <c r="AF455">
        <v>1</v>
      </c>
      <c r="AH455" s="9">
        <v>0.12</v>
      </c>
      <c r="AK455" s="9">
        <v>5.0000000000000001E-3</v>
      </c>
      <c r="AL455" s="9">
        <v>24.3</v>
      </c>
      <c r="AM455" s="9">
        <v>0</v>
      </c>
      <c r="AN455" s="9">
        <v>10.9</v>
      </c>
      <c r="AQ455" s="8"/>
    </row>
    <row r="456" spans="1:43" x14ac:dyDescent="0.3">
      <c r="A456">
        <v>80</v>
      </c>
      <c r="B456" t="s">
        <v>1731</v>
      </c>
      <c r="C456">
        <v>36</v>
      </c>
      <c r="D456" t="s">
        <v>1732</v>
      </c>
      <c r="I456"/>
      <c r="J456"/>
      <c r="K456"/>
      <c r="N456">
        <v>0.1</v>
      </c>
      <c r="O456">
        <v>0</v>
      </c>
      <c r="P456">
        <v>25</v>
      </c>
      <c r="Q456">
        <v>7</v>
      </c>
      <c r="R456" t="s">
        <v>102</v>
      </c>
      <c r="T456" s="6">
        <f>10^-(14-Q456)</f>
        <v>9.9999999999999995E-8</v>
      </c>
      <c r="U456" s="6">
        <v>0</v>
      </c>
      <c r="V456" s="6">
        <v>0</v>
      </c>
      <c r="W456" s="6">
        <v>0</v>
      </c>
      <c r="X456" s="6">
        <v>0</v>
      </c>
      <c r="Y456" t="s">
        <v>171</v>
      </c>
      <c r="Z456"/>
      <c r="AA456"/>
      <c r="AB456"/>
      <c r="AC456"/>
      <c r="AD456">
        <v>1</v>
      </c>
      <c r="AE456">
        <v>1000</v>
      </c>
      <c r="AF456">
        <v>1</v>
      </c>
      <c r="AL456" s="9">
        <v>60.71</v>
      </c>
      <c r="AM456" s="9">
        <v>0</v>
      </c>
      <c r="AN456" s="9">
        <v>0</v>
      </c>
      <c r="AQ456" s="8"/>
    </row>
    <row r="457" spans="1:43" x14ac:dyDescent="0.3">
      <c r="A457">
        <v>45</v>
      </c>
      <c r="B457" t="s">
        <v>1663</v>
      </c>
      <c r="C457">
        <v>37</v>
      </c>
      <c r="D457" t="s">
        <v>1664</v>
      </c>
      <c r="E457">
        <v>600</v>
      </c>
      <c r="I457"/>
      <c r="J457">
        <v>8.3333333333333329E-2</v>
      </c>
      <c r="K457"/>
      <c r="L457" t="s">
        <v>172</v>
      </c>
      <c r="N457">
        <v>0</v>
      </c>
      <c r="O457" s="3">
        <v>0</v>
      </c>
      <c r="Q457">
        <v>0</v>
      </c>
      <c r="R457" t="s">
        <v>102</v>
      </c>
      <c r="T457" s="6">
        <f>10^-(14-Q457)</f>
        <v>1E-14</v>
      </c>
      <c r="U457" s="6">
        <v>0</v>
      </c>
      <c r="V457" s="6">
        <v>0</v>
      </c>
      <c r="W457" s="6">
        <v>0</v>
      </c>
      <c r="X457" s="6">
        <v>0</v>
      </c>
      <c r="Y457" t="s">
        <v>171</v>
      </c>
      <c r="Z457"/>
      <c r="AA457"/>
      <c r="AB457"/>
      <c r="AC457"/>
      <c r="AD457">
        <v>0.33300000000000002</v>
      </c>
      <c r="AE457">
        <v>500</v>
      </c>
      <c r="AF457">
        <v>1</v>
      </c>
      <c r="AG457" s="9">
        <v>1.9E-2</v>
      </c>
      <c r="AH457" s="9">
        <v>1.73</v>
      </c>
      <c r="AI457" s="9">
        <v>0.64</v>
      </c>
      <c r="AJ457" s="9">
        <v>2.1000000000000001E-2</v>
      </c>
      <c r="AK457" s="9">
        <v>0.03</v>
      </c>
      <c r="AL457" s="9">
        <v>17.399999999999999</v>
      </c>
      <c r="AM457" s="9">
        <v>13.2</v>
      </c>
      <c r="AN457" s="9">
        <v>2.57</v>
      </c>
      <c r="AO457" s="9">
        <v>0.16</v>
      </c>
      <c r="AQ457" s="8"/>
    </row>
    <row r="458" spans="1:43" x14ac:dyDescent="0.3">
      <c r="A458">
        <v>45</v>
      </c>
      <c r="B458" t="s">
        <v>1663</v>
      </c>
      <c r="C458">
        <v>37</v>
      </c>
      <c r="D458" t="s">
        <v>1664</v>
      </c>
      <c r="E458">
        <v>600</v>
      </c>
      <c r="I458"/>
      <c r="J458">
        <v>8.3333333333333329E-2</v>
      </c>
      <c r="K458"/>
      <c r="L458" t="s">
        <v>172</v>
      </c>
      <c r="N458">
        <v>3</v>
      </c>
      <c r="O458" s="3">
        <v>0</v>
      </c>
      <c r="Q458">
        <v>7</v>
      </c>
      <c r="R458" t="s">
        <v>102</v>
      </c>
      <c r="T458" s="6">
        <f>10^-(14-Q458)</f>
        <v>9.9999999999999995E-8</v>
      </c>
      <c r="U458" s="6">
        <v>0</v>
      </c>
      <c r="V458" s="6">
        <v>0</v>
      </c>
      <c r="W458" s="6">
        <v>0</v>
      </c>
      <c r="X458" s="6">
        <v>0</v>
      </c>
      <c r="Y458" t="s">
        <v>171</v>
      </c>
      <c r="Z458"/>
      <c r="AA458"/>
      <c r="AB458"/>
      <c r="AC458"/>
      <c r="AD458">
        <v>0.33300000000000002</v>
      </c>
      <c r="AE458">
        <v>720</v>
      </c>
      <c r="AF458">
        <v>1</v>
      </c>
      <c r="AG458" s="9">
        <v>1.9E-2</v>
      </c>
      <c r="AH458" s="9">
        <v>1.73</v>
      </c>
      <c r="AI458" s="9">
        <v>0.64</v>
      </c>
      <c r="AJ458" s="9">
        <v>2.1000000000000001E-2</v>
      </c>
      <c r="AK458" s="9">
        <v>0.03</v>
      </c>
      <c r="AL458" s="9">
        <v>17.399999999999999</v>
      </c>
      <c r="AM458" s="9">
        <v>13.2</v>
      </c>
      <c r="AN458" s="9">
        <v>2.57</v>
      </c>
      <c r="AO458" s="9">
        <v>0.16</v>
      </c>
      <c r="AQ458" s="8"/>
    </row>
    <row r="459" spans="1:43" x14ac:dyDescent="0.3">
      <c r="A459">
        <v>45</v>
      </c>
      <c r="B459" t="s">
        <v>1663</v>
      </c>
      <c r="C459">
        <v>37</v>
      </c>
      <c r="D459" t="s">
        <v>1664</v>
      </c>
      <c r="E459">
        <v>600</v>
      </c>
      <c r="I459"/>
      <c r="J459">
        <v>8.3333333333333329E-2</v>
      </c>
      <c r="K459"/>
      <c r="L459" t="s">
        <v>172</v>
      </c>
      <c r="N459">
        <v>4</v>
      </c>
      <c r="O459" s="3">
        <v>0</v>
      </c>
      <c r="Q459">
        <v>7</v>
      </c>
      <c r="R459" t="s">
        <v>102</v>
      </c>
      <c r="T459" s="6">
        <f>10^-(14-Q459)</f>
        <v>9.9999999999999995E-8</v>
      </c>
      <c r="U459" s="6">
        <v>0</v>
      </c>
      <c r="V459" s="6">
        <v>0</v>
      </c>
      <c r="W459" s="6">
        <v>0</v>
      </c>
      <c r="X459" s="6">
        <v>0</v>
      </c>
      <c r="Y459" t="s">
        <v>171</v>
      </c>
      <c r="Z459"/>
      <c r="AA459"/>
      <c r="AB459"/>
      <c r="AC459"/>
      <c r="AD459">
        <v>0.33300000000000002</v>
      </c>
      <c r="AE459">
        <v>500</v>
      </c>
      <c r="AF459">
        <v>1</v>
      </c>
      <c r="AG459" s="9">
        <v>1.9E-2</v>
      </c>
      <c r="AH459" s="9">
        <v>1.73</v>
      </c>
      <c r="AI459" s="9">
        <v>0.64</v>
      </c>
      <c r="AJ459" s="9">
        <v>2.1000000000000001E-2</v>
      </c>
      <c r="AK459" s="9">
        <v>0.03</v>
      </c>
      <c r="AL459" s="9">
        <v>17.399999999999999</v>
      </c>
      <c r="AM459" s="9">
        <v>13.2</v>
      </c>
      <c r="AN459" s="9">
        <v>2.57</v>
      </c>
      <c r="AO459" s="9">
        <v>0.16</v>
      </c>
      <c r="AQ459" s="8"/>
    </row>
    <row r="460" spans="1:43" x14ac:dyDescent="0.3">
      <c r="A460">
        <v>45</v>
      </c>
      <c r="B460" t="s">
        <v>1663</v>
      </c>
      <c r="C460">
        <v>37</v>
      </c>
      <c r="D460" t="s">
        <v>1664</v>
      </c>
      <c r="E460">
        <v>600</v>
      </c>
      <c r="I460"/>
      <c r="J460">
        <v>8.3333333333333329E-2</v>
      </c>
      <c r="K460"/>
      <c r="L460" t="s">
        <v>172</v>
      </c>
      <c r="N460">
        <v>6.2</v>
      </c>
      <c r="O460" s="3">
        <v>0</v>
      </c>
      <c r="Q460">
        <v>7</v>
      </c>
      <c r="R460" t="s">
        <v>102</v>
      </c>
      <c r="T460" s="6">
        <f>10^-(14-Q460)</f>
        <v>9.9999999999999995E-8</v>
      </c>
      <c r="U460" s="6">
        <v>0</v>
      </c>
      <c r="V460" s="6">
        <v>0</v>
      </c>
      <c r="W460" s="6">
        <v>0</v>
      </c>
      <c r="X460" s="6">
        <v>0</v>
      </c>
      <c r="Y460" t="s">
        <v>171</v>
      </c>
      <c r="Z460"/>
      <c r="AA460"/>
      <c r="AB460"/>
      <c r="AC460"/>
      <c r="AD460">
        <v>0.33300000000000002</v>
      </c>
      <c r="AE460">
        <v>350</v>
      </c>
      <c r="AF460">
        <v>1</v>
      </c>
      <c r="AG460" s="9">
        <v>1.9E-2</v>
      </c>
      <c r="AH460" s="9">
        <v>1.73</v>
      </c>
      <c r="AI460" s="9">
        <v>0.64</v>
      </c>
      <c r="AJ460" s="9">
        <v>2.1000000000000001E-2</v>
      </c>
      <c r="AK460" s="9">
        <v>0.03</v>
      </c>
      <c r="AL460" s="9">
        <v>17.399999999999999</v>
      </c>
      <c r="AM460" s="9">
        <v>13.2</v>
      </c>
      <c r="AN460" s="9">
        <v>2.57</v>
      </c>
      <c r="AO460" s="9">
        <v>0.16</v>
      </c>
      <c r="AQ460" s="8"/>
    </row>
    <row r="461" spans="1:43" x14ac:dyDescent="0.3">
      <c r="A461">
        <v>9</v>
      </c>
      <c r="B461" t="s">
        <v>1722</v>
      </c>
      <c r="C461">
        <v>38</v>
      </c>
      <c r="D461"/>
      <c r="I461"/>
      <c r="J461"/>
      <c r="K461"/>
      <c r="L461" t="s">
        <v>172</v>
      </c>
      <c r="N461">
        <v>1</v>
      </c>
      <c r="O461">
        <v>0</v>
      </c>
      <c r="Q461">
        <v>3</v>
      </c>
      <c r="R461" t="s">
        <v>102</v>
      </c>
      <c r="T461" s="6">
        <f>10^-(14-Q461)</f>
        <v>9.9999999999999994E-12</v>
      </c>
      <c r="U461" s="6">
        <v>0</v>
      </c>
      <c r="V461" s="6">
        <v>0</v>
      </c>
      <c r="W461" s="6">
        <v>0</v>
      </c>
      <c r="X461" s="6">
        <v>0</v>
      </c>
      <c r="Y461" t="s">
        <v>171</v>
      </c>
      <c r="Z461"/>
      <c r="AA461"/>
      <c r="AB461"/>
      <c r="AC461"/>
      <c r="AD461">
        <v>1</v>
      </c>
      <c r="AE461">
        <v>230.52</v>
      </c>
      <c r="AF461">
        <v>1</v>
      </c>
      <c r="AL461" s="9">
        <v>20</v>
      </c>
      <c r="AM461" s="9">
        <v>80</v>
      </c>
      <c r="AN461" s="9">
        <v>0</v>
      </c>
      <c r="AQ461" s="8"/>
    </row>
    <row r="462" spans="1:43" x14ac:dyDescent="0.3">
      <c r="A462">
        <v>9</v>
      </c>
      <c r="B462" t="s">
        <v>1722</v>
      </c>
      <c r="C462">
        <v>38</v>
      </c>
      <c r="D462"/>
      <c r="I462"/>
      <c r="J462"/>
      <c r="K462"/>
      <c r="L462" t="s">
        <v>172</v>
      </c>
      <c r="N462">
        <v>1</v>
      </c>
      <c r="O462">
        <v>0</v>
      </c>
      <c r="Q462">
        <v>4</v>
      </c>
      <c r="R462" t="s">
        <v>102</v>
      </c>
      <c r="T462" s="6">
        <f>10^-(14-Q462)</f>
        <v>1E-10</v>
      </c>
      <c r="U462" s="6">
        <v>0</v>
      </c>
      <c r="V462" s="6">
        <v>0</v>
      </c>
      <c r="W462" s="6">
        <v>0</v>
      </c>
      <c r="X462" s="6">
        <v>0</v>
      </c>
      <c r="Y462" t="s">
        <v>171</v>
      </c>
      <c r="Z462"/>
      <c r="AA462"/>
      <c r="AB462"/>
      <c r="AC462"/>
      <c r="AD462">
        <v>1</v>
      </c>
      <c r="AE462">
        <v>332.48</v>
      </c>
      <c r="AF462">
        <v>1</v>
      </c>
      <c r="AL462" s="9">
        <v>20</v>
      </c>
      <c r="AM462" s="9">
        <v>80</v>
      </c>
      <c r="AN462" s="9">
        <v>0</v>
      </c>
      <c r="AQ462" s="8"/>
    </row>
    <row r="463" spans="1:43" x14ac:dyDescent="0.3">
      <c r="A463">
        <v>9</v>
      </c>
      <c r="B463" t="s">
        <v>1722</v>
      </c>
      <c r="C463">
        <v>38</v>
      </c>
      <c r="D463"/>
      <c r="I463"/>
      <c r="J463"/>
      <c r="K463"/>
      <c r="L463" t="s">
        <v>172</v>
      </c>
      <c r="N463">
        <v>1</v>
      </c>
      <c r="O463">
        <v>0</v>
      </c>
      <c r="Q463">
        <v>5</v>
      </c>
      <c r="R463" t="s">
        <v>102</v>
      </c>
      <c r="T463" s="6">
        <f>10^-(14-Q463)</f>
        <v>1.0000000000000001E-9</v>
      </c>
      <c r="U463" s="6">
        <v>0</v>
      </c>
      <c r="V463" s="6">
        <v>0</v>
      </c>
      <c r="W463" s="6">
        <v>0</v>
      </c>
      <c r="X463" s="6">
        <v>0</v>
      </c>
      <c r="Y463" t="s">
        <v>171</v>
      </c>
      <c r="Z463"/>
      <c r="AA463"/>
      <c r="AB463"/>
      <c r="AC463"/>
      <c r="AD463">
        <v>1</v>
      </c>
      <c r="AE463">
        <v>342.67</v>
      </c>
      <c r="AF463">
        <v>1</v>
      </c>
      <c r="AL463" s="9">
        <v>20</v>
      </c>
      <c r="AM463" s="9">
        <v>80</v>
      </c>
      <c r="AN463" s="9">
        <v>0</v>
      </c>
      <c r="AQ463" s="8"/>
    </row>
    <row r="464" spans="1:43" x14ac:dyDescent="0.3">
      <c r="A464">
        <v>9</v>
      </c>
      <c r="B464" t="s">
        <v>1722</v>
      </c>
      <c r="C464">
        <v>38</v>
      </c>
      <c r="D464"/>
      <c r="I464"/>
      <c r="J464"/>
      <c r="K464"/>
      <c r="L464" t="s">
        <v>172</v>
      </c>
      <c r="N464">
        <v>1</v>
      </c>
      <c r="O464">
        <v>0</v>
      </c>
      <c r="Q464">
        <v>7</v>
      </c>
      <c r="R464" t="s">
        <v>102</v>
      </c>
      <c r="T464" s="6">
        <f>10^-(14-Q464)</f>
        <v>9.9999999999999995E-8</v>
      </c>
      <c r="U464" s="6">
        <v>0</v>
      </c>
      <c r="V464" s="6">
        <v>0</v>
      </c>
      <c r="W464" s="6">
        <v>0</v>
      </c>
      <c r="X464" s="6">
        <v>0</v>
      </c>
      <c r="Y464" t="s">
        <v>171</v>
      </c>
      <c r="Z464"/>
      <c r="AA464"/>
      <c r="AB464"/>
      <c r="AC464"/>
      <c r="AD464">
        <v>1</v>
      </c>
      <c r="AE464">
        <v>370.4</v>
      </c>
      <c r="AF464">
        <v>1</v>
      </c>
      <c r="AL464" s="9">
        <v>20</v>
      </c>
      <c r="AM464" s="9">
        <v>80</v>
      </c>
      <c r="AN464" s="9">
        <v>0</v>
      </c>
      <c r="AQ464" s="8"/>
    </row>
    <row r="465" spans="1:43" x14ac:dyDescent="0.3">
      <c r="A465">
        <v>9</v>
      </c>
      <c r="B465" t="s">
        <v>1722</v>
      </c>
      <c r="C465">
        <v>38</v>
      </c>
      <c r="D465"/>
      <c r="I465"/>
      <c r="J465"/>
      <c r="K465"/>
      <c r="L465" t="s">
        <v>172</v>
      </c>
      <c r="N465">
        <v>1</v>
      </c>
      <c r="O465">
        <v>0</v>
      </c>
      <c r="Q465">
        <v>9</v>
      </c>
      <c r="R465" t="s">
        <v>102</v>
      </c>
      <c r="T465" s="6">
        <f>10^-(14-Q465)</f>
        <v>1.0000000000000001E-5</v>
      </c>
      <c r="U465" s="6">
        <v>0</v>
      </c>
      <c r="V465" s="6">
        <v>0</v>
      </c>
      <c r="W465" s="6">
        <v>0</v>
      </c>
      <c r="X465" s="6">
        <v>0</v>
      </c>
      <c r="Y465" t="s">
        <v>171</v>
      </c>
      <c r="Z465"/>
      <c r="AA465"/>
      <c r="AB465"/>
      <c r="AC465"/>
      <c r="AD465">
        <v>1</v>
      </c>
      <c r="AE465">
        <v>361.39</v>
      </c>
      <c r="AF465">
        <v>1</v>
      </c>
      <c r="AL465" s="9">
        <v>20</v>
      </c>
      <c r="AM465" s="9">
        <v>80</v>
      </c>
      <c r="AN465" s="9">
        <v>0</v>
      </c>
      <c r="AQ465" s="8"/>
    </row>
    <row r="466" spans="1:43" x14ac:dyDescent="0.3">
      <c r="A466">
        <v>9</v>
      </c>
      <c r="B466" t="s">
        <v>1722</v>
      </c>
      <c r="C466">
        <v>38</v>
      </c>
      <c r="D466"/>
      <c r="I466"/>
      <c r="J466"/>
      <c r="K466"/>
      <c r="L466" t="s">
        <v>172</v>
      </c>
      <c r="N466">
        <v>0</v>
      </c>
      <c r="O466">
        <v>1</v>
      </c>
      <c r="Q466">
        <v>3</v>
      </c>
      <c r="R466" t="s">
        <v>102</v>
      </c>
      <c r="T466" s="6">
        <f>10^-(14-Q466)</f>
        <v>9.9999999999999994E-12</v>
      </c>
      <c r="U466" s="6">
        <v>0</v>
      </c>
      <c r="V466" s="6">
        <v>0</v>
      </c>
      <c r="W466" s="6">
        <v>0</v>
      </c>
      <c r="X466" s="6">
        <v>0</v>
      </c>
      <c r="Y466" t="s">
        <v>171</v>
      </c>
      <c r="Z466"/>
      <c r="AA466"/>
      <c r="AB466"/>
      <c r="AC466"/>
      <c r="AD466">
        <v>1</v>
      </c>
      <c r="AE466">
        <v>179.14</v>
      </c>
      <c r="AF466">
        <v>1</v>
      </c>
      <c r="AL466" s="9">
        <v>20</v>
      </c>
      <c r="AM466" s="9">
        <v>80</v>
      </c>
      <c r="AN466" s="9">
        <v>0</v>
      </c>
      <c r="AQ466" s="8"/>
    </row>
    <row r="467" spans="1:43" x14ac:dyDescent="0.3">
      <c r="A467">
        <v>9</v>
      </c>
      <c r="B467" t="s">
        <v>1722</v>
      </c>
      <c r="C467">
        <v>38</v>
      </c>
      <c r="D467"/>
      <c r="I467"/>
      <c r="J467"/>
      <c r="K467"/>
      <c r="L467" t="s">
        <v>172</v>
      </c>
      <c r="N467">
        <v>0</v>
      </c>
      <c r="O467">
        <v>1</v>
      </c>
      <c r="Q467">
        <v>4</v>
      </c>
      <c r="R467" t="s">
        <v>102</v>
      </c>
      <c r="T467" s="6">
        <f>10^-(14-Q467)</f>
        <v>1E-10</v>
      </c>
      <c r="U467" s="6">
        <v>0</v>
      </c>
      <c r="V467" s="6">
        <v>0</v>
      </c>
      <c r="W467" s="6">
        <v>0</v>
      </c>
      <c r="X467" s="6">
        <v>0</v>
      </c>
      <c r="Y467" t="s">
        <v>171</v>
      </c>
      <c r="Z467"/>
      <c r="AA467"/>
      <c r="AB467"/>
      <c r="AC467"/>
      <c r="AD467">
        <v>1</v>
      </c>
      <c r="AE467">
        <v>273.73</v>
      </c>
      <c r="AF467">
        <v>1</v>
      </c>
      <c r="AL467" s="9">
        <v>20</v>
      </c>
      <c r="AM467" s="9">
        <v>80</v>
      </c>
      <c r="AN467" s="9">
        <v>0</v>
      </c>
      <c r="AQ467" s="8"/>
    </row>
    <row r="468" spans="1:43" x14ac:dyDescent="0.3">
      <c r="A468">
        <v>9</v>
      </c>
      <c r="B468" t="s">
        <v>1722</v>
      </c>
      <c r="C468">
        <v>38</v>
      </c>
      <c r="D468"/>
      <c r="I468"/>
      <c r="J468"/>
      <c r="K468"/>
      <c r="L468" t="s">
        <v>172</v>
      </c>
      <c r="N468">
        <v>0</v>
      </c>
      <c r="O468">
        <v>1</v>
      </c>
      <c r="Q468">
        <v>5</v>
      </c>
      <c r="R468" t="s">
        <v>102</v>
      </c>
      <c r="T468" s="6">
        <f>10^-(14-Q468)</f>
        <v>1.0000000000000001E-9</v>
      </c>
      <c r="U468" s="6">
        <v>0</v>
      </c>
      <c r="V468" s="6">
        <v>0</v>
      </c>
      <c r="W468" s="6">
        <v>0</v>
      </c>
      <c r="X468" s="6">
        <v>0</v>
      </c>
      <c r="Y468" t="s">
        <v>171</v>
      </c>
      <c r="Z468"/>
      <c r="AA468"/>
      <c r="AB468"/>
      <c r="AC468"/>
      <c r="AD468">
        <v>1</v>
      </c>
      <c r="AE468">
        <v>309.66000000000003</v>
      </c>
      <c r="AF468">
        <v>1</v>
      </c>
      <c r="AL468" s="9">
        <v>20</v>
      </c>
      <c r="AM468" s="9">
        <v>80</v>
      </c>
      <c r="AN468" s="9">
        <v>0</v>
      </c>
      <c r="AQ468" s="8"/>
    </row>
    <row r="469" spans="1:43" x14ac:dyDescent="0.3">
      <c r="A469">
        <v>9</v>
      </c>
      <c r="B469" t="s">
        <v>1722</v>
      </c>
      <c r="C469">
        <v>38</v>
      </c>
      <c r="D469"/>
      <c r="I469"/>
      <c r="J469"/>
      <c r="K469"/>
      <c r="L469" t="s">
        <v>172</v>
      </c>
      <c r="N469">
        <v>0</v>
      </c>
      <c r="O469">
        <v>1</v>
      </c>
      <c r="Q469">
        <v>7</v>
      </c>
      <c r="R469" t="s">
        <v>102</v>
      </c>
      <c r="T469" s="6">
        <f>10^-(14-Q469)</f>
        <v>9.9999999999999995E-8</v>
      </c>
      <c r="U469" s="6">
        <v>0</v>
      </c>
      <c r="V469" s="6">
        <v>0</v>
      </c>
      <c r="W469" s="6">
        <v>0</v>
      </c>
      <c r="X469" s="6">
        <v>0</v>
      </c>
      <c r="Y469" t="s">
        <v>171</v>
      </c>
      <c r="Z469"/>
      <c r="AA469"/>
      <c r="AB469"/>
      <c r="AC469"/>
      <c r="AD469">
        <v>1</v>
      </c>
      <c r="AE469">
        <v>315.35000000000002</v>
      </c>
      <c r="AF469">
        <v>1</v>
      </c>
      <c r="AL469" s="9">
        <v>20</v>
      </c>
      <c r="AM469" s="9">
        <v>80</v>
      </c>
      <c r="AN469" s="9">
        <v>0</v>
      </c>
      <c r="AQ469" s="8"/>
    </row>
    <row r="470" spans="1:43" x14ac:dyDescent="0.3">
      <c r="A470">
        <v>9</v>
      </c>
      <c r="B470" t="s">
        <v>1722</v>
      </c>
      <c r="C470">
        <v>38</v>
      </c>
      <c r="D470"/>
      <c r="I470"/>
      <c r="J470"/>
      <c r="K470"/>
      <c r="L470" t="s">
        <v>172</v>
      </c>
      <c r="N470">
        <v>0</v>
      </c>
      <c r="O470">
        <v>1</v>
      </c>
      <c r="Q470">
        <v>9</v>
      </c>
      <c r="R470" t="s">
        <v>102</v>
      </c>
      <c r="T470" s="6">
        <f>10^-(14-Q470)</f>
        <v>1.0000000000000001E-5</v>
      </c>
      <c r="U470" s="6">
        <v>0</v>
      </c>
      <c r="V470" s="6">
        <v>0</v>
      </c>
      <c r="W470" s="6">
        <v>0</v>
      </c>
      <c r="X470" s="6">
        <v>0</v>
      </c>
      <c r="Y470" t="s">
        <v>171</v>
      </c>
      <c r="Z470"/>
      <c r="AA470"/>
      <c r="AB470"/>
      <c r="AC470"/>
      <c r="AD470">
        <v>1</v>
      </c>
      <c r="AE470">
        <v>324.7</v>
      </c>
      <c r="AF470">
        <v>1</v>
      </c>
      <c r="AL470" s="9">
        <v>20</v>
      </c>
      <c r="AM470" s="9">
        <v>80</v>
      </c>
      <c r="AN470" s="9">
        <v>0</v>
      </c>
      <c r="AQ470" s="8"/>
    </row>
    <row r="471" spans="1:43" x14ac:dyDescent="0.3">
      <c r="A471" t="s">
        <v>178</v>
      </c>
      <c r="B471" s="8" t="s">
        <v>1589</v>
      </c>
      <c r="C471">
        <v>39</v>
      </c>
      <c r="D471" s="8">
        <v>1.4300999999999999</v>
      </c>
      <c r="E471">
        <v>14000</v>
      </c>
      <c r="G471" t="s">
        <v>29</v>
      </c>
      <c r="H471" t="s">
        <v>987</v>
      </c>
      <c r="J471" s="3">
        <v>0.5</v>
      </c>
      <c r="N471" s="3">
        <v>5.6417489421720732E-3</v>
      </c>
      <c r="O471" s="3">
        <v>0</v>
      </c>
      <c r="P471">
        <v>22.5</v>
      </c>
      <c r="Q471">
        <v>6.5</v>
      </c>
      <c r="R471" t="s">
        <v>102</v>
      </c>
      <c r="S471">
        <v>0</v>
      </c>
      <c r="T471" s="6">
        <f>10^-(14-Q471)</f>
        <v>3.1622776601683699E-8</v>
      </c>
      <c r="U471" s="6">
        <v>0</v>
      </c>
      <c r="V471" s="6">
        <v>0</v>
      </c>
      <c r="W471" s="6">
        <v>0</v>
      </c>
      <c r="X471" s="6">
        <v>0</v>
      </c>
      <c r="Y471" t="s">
        <v>171</v>
      </c>
      <c r="AD471">
        <v>10</v>
      </c>
      <c r="AE471" s="1">
        <f>800-2.06/6.8*600</f>
        <v>618.23529411764707</v>
      </c>
      <c r="AF471">
        <v>1</v>
      </c>
      <c r="AL471" s="9">
        <v>18</v>
      </c>
      <c r="AM471" s="9">
        <v>8</v>
      </c>
      <c r="AQ471" s="8"/>
    </row>
    <row r="472" spans="1:43" x14ac:dyDescent="0.3">
      <c r="A472" t="s">
        <v>179</v>
      </c>
      <c r="B472" s="8" t="s">
        <v>1589</v>
      </c>
      <c r="C472">
        <v>39</v>
      </c>
      <c r="D472" s="8">
        <v>1.4300999999999999</v>
      </c>
      <c r="E472">
        <v>14000</v>
      </c>
      <c r="G472" t="s">
        <v>29</v>
      </c>
      <c r="H472" t="s">
        <v>987</v>
      </c>
      <c r="J472" s="3">
        <v>0.5</v>
      </c>
      <c r="N472" s="3">
        <v>1.4104372355430182E-2</v>
      </c>
      <c r="O472" s="3">
        <v>0</v>
      </c>
      <c r="P472">
        <v>22.5</v>
      </c>
      <c r="Q472">
        <v>6.5</v>
      </c>
      <c r="R472" t="s">
        <v>102</v>
      </c>
      <c r="S472">
        <v>0</v>
      </c>
      <c r="T472" s="6">
        <f>10^-(14-Q472)</f>
        <v>3.1622776601683699E-8</v>
      </c>
      <c r="U472" s="6">
        <v>0</v>
      </c>
      <c r="V472" s="6">
        <v>0</v>
      </c>
      <c r="W472" s="6">
        <v>0</v>
      </c>
      <c r="X472" s="6">
        <v>0</v>
      </c>
      <c r="Y472" t="s">
        <v>171</v>
      </c>
      <c r="AD472">
        <v>10</v>
      </c>
      <c r="AE472" s="1">
        <f>800-2.61/6.8*600</f>
        <v>569.70588235294122</v>
      </c>
      <c r="AF472">
        <v>1</v>
      </c>
      <c r="AL472" s="9">
        <v>18</v>
      </c>
      <c r="AM472" s="9">
        <v>8</v>
      </c>
      <c r="AQ472" s="8"/>
    </row>
    <row r="473" spans="1:43" x14ac:dyDescent="0.3">
      <c r="A473" t="s">
        <v>180</v>
      </c>
      <c r="B473" s="8" t="s">
        <v>1589</v>
      </c>
      <c r="C473">
        <v>39</v>
      </c>
      <c r="D473" s="8">
        <v>1.4300999999999999</v>
      </c>
      <c r="E473">
        <v>14000</v>
      </c>
      <c r="G473" t="s">
        <v>29</v>
      </c>
      <c r="H473" t="s">
        <v>987</v>
      </c>
      <c r="J473" s="3">
        <v>0.5</v>
      </c>
      <c r="N473" s="3">
        <v>2.8208744710860365E-2</v>
      </c>
      <c r="O473" s="3">
        <v>0</v>
      </c>
      <c r="P473">
        <v>22.5</v>
      </c>
      <c r="Q473">
        <v>6.5</v>
      </c>
      <c r="R473" t="s">
        <v>102</v>
      </c>
      <c r="S473">
        <v>0</v>
      </c>
      <c r="T473" s="6">
        <f>10^-(14-Q473)</f>
        <v>3.1622776601683699E-8</v>
      </c>
      <c r="U473" s="6">
        <v>0</v>
      </c>
      <c r="V473" s="6">
        <v>0</v>
      </c>
      <c r="W473" s="6">
        <v>0</v>
      </c>
      <c r="X473" s="6">
        <v>0</v>
      </c>
      <c r="Y473" t="s">
        <v>171</v>
      </c>
      <c r="AD473">
        <v>10</v>
      </c>
      <c r="AE473" s="1">
        <f>800-3.02/6.8*600</f>
        <v>533.52941176470586</v>
      </c>
      <c r="AF473">
        <v>1</v>
      </c>
      <c r="AL473" s="9">
        <v>18</v>
      </c>
      <c r="AM473" s="9">
        <v>8</v>
      </c>
      <c r="AQ473" s="8"/>
    </row>
    <row r="474" spans="1:43" x14ac:dyDescent="0.3">
      <c r="A474" t="s">
        <v>181</v>
      </c>
      <c r="B474" s="8" t="s">
        <v>1589</v>
      </c>
      <c r="C474">
        <v>39</v>
      </c>
      <c r="D474" s="8">
        <v>1.4300999999999999</v>
      </c>
      <c r="E474">
        <v>14000</v>
      </c>
      <c r="G474" t="s">
        <v>29</v>
      </c>
      <c r="H474" t="s">
        <v>987</v>
      </c>
      <c r="J474" s="3">
        <v>0.5</v>
      </c>
      <c r="N474" s="3">
        <v>0.62059238363892799</v>
      </c>
      <c r="O474" s="3">
        <v>0</v>
      </c>
      <c r="P474">
        <v>22.5</v>
      </c>
      <c r="Q474">
        <v>6.5</v>
      </c>
      <c r="R474" t="s">
        <v>102</v>
      </c>
      <c r="S474">
        <v>0</v>
      </c>
      <c r="T474" s="6">
        <f>10^-(14-Q474)</f>
        <v>3.1622776601683699E-8</v>
      </c>
      <c r="U474" s="6">
        <v>0</v>
      </c>
      <c r="V474" s="6">
        <v>0</v>
      </c>
      <c r="W474" s="6">
        <v>0</v>
      </c>
      <c r="X474" s="6">
        <v>0</v>
      </c>
      <c r="Y474" t="s">
        <v>171</v>
      </c>
      <c r="AD474">
        <v>10</v>
      </c>
      <c r="AE474" s="1">
        <f>800-4.94/6.8*600</f>
        <v>364.11764705882348</v>
      </c>
      <c r="AF474">
        <v>1</v>
      </c>
      <c r="AL474" s="9">
        <v>18</v>
      </c>
      <c r="AM474" s="9">
        <v>8</v>
      </c>
      <c r="AQ474" s="8"/>
    </row>
    <row r="475" spans="1:43" x14ac:dyDescent="0.3">
      <c r="A475" t="s">
        <v>182</v>
      </c>
      <c r="B475" s="8" t="s">
        <v>1589</v>
      </c>
      <c r="C475">
        <v>39</v>
      </c>
      <c r="D475" s="8">
        <v>1.4300999999999999</v>
      </c>
      <c r="E475">
        <v>14000</v>
      </c>
      <c r="G475" t="s">
        <v>31</v>
      </c>
      <c r="H475">
        <v>-1.2</v>
      </c>
      <c r="I475" s="4">
        <v>1</v>
      </c>
      <c r="N475" s="3">
        <v>5.6417489421720732E-3</v>
      </c>
      <c r="O475" s="3">
        <v>0</v>
      </c>
      <c r="P475">
        <v>22.5</v>
      </c>
      <c r="Q475">
        <v>6.5</v>
      </c>
      <c r="R475" t="s">
        <v>102</v>
      </c>
      <c r="S475">
        <v>0</v>
      </c>
      <c r="T475" s="6">
        <f>10^-(14-Q475)</f>
        <v>3.1622776601683699E-8</v>
      </c>
      <c r="U475" s="6">
        <v>0</v>
      </c>
      <c r="V475" s="6">
        <v>0</v>
      </c>
      <c r="W475" s="6">
        <v>0</v>
      </c>
      <c r="X475" s="6">
        <v>0</v>
      </c>
      <c r="Y475" t="s">
        <v>171</v>
      </c>
      <c r="AD475">
        <v>10</v>
      </c>
      <c r="AE475" s="1">
        <f>800-2.5/10.16*500</f>
        <v>676.96850393700788</v>
      </c>
      <c r="AF475">
        <v>1</v>
      </c>
      <c r="AL475" s="9">
        <v>18</v>
      </c>
      <c r="AM475" s="9">
        <v>8</v>
      </c>
      <c r="AQ475" s="8"/>
    </row>
    <row r="476" spans="1:43" x14ac:dyDescent="0.3">
      <c r="A476" t="s">
        <v>183</v>
      </c>
      <c r="B476" s="8" t="s">
        <v>1589</v>
      </c>
      <c r="C476">
        <v>39</v>
      </c>
      <c r="D476" s="8">
        <v>1.4300999999999999</v>
      </c>
      <c r="E476">
        <v>14000</v>
      </c>
      <c r="G476" t="s">
        <v>31</v>
      </c>
      <c r="H476">
        <v>-1.2</v>
      </c>
      <c r="I476" s="4">
        <v>1</v>
      </c>
      <c r="N476" s="3">
        <v>1.4104372355430182E-2</v>
      </c>
      <c r="O476" s="3">
        <v>0</v>
      </c>
      <c r="P476">
        <v>22.5</v>
      </c>
      <c r="Q476">
        <v>6.5</v>
      </c>
      <c r="R476" t="s">
        <v>102</v>
      </c>
      <c r="S476">
        <v>0</v>
      </c>
      <c r="T476" s="6">
        <f>10^-(14-Q476)</f>
        <v>3.1622776601683699E-8</v>
      </c>
      <c r="U476" s="6">
        <v>0</v>
      </c>
      <c r="V476" s="6">
        <v>0</v>
      </c>
      <c r="W476" s="6">
        <v>0</v>
      </c>
      <c r="X476" s="6">
        <v>0</v>
      </c>
      <c r="Y476" t="s">
        <v>171</v>
      </c>
      <c r="AD476">
        <v>10</v>
      </c>
      <c r="AE476" s="1">
        <f>800-4.3/10.16*500</f>
        <v>588.38582677165357</v>
      </c>
      <c r="AF476">
        <v>1</v>
      </c>
      <c r="AL476" s="9">
        <v>18</v>
      </c>
      <c r="AM476" s="9">
        <v>8</v>
      </c>
      <c r="AQ476" s="8"/>
    </row>
    <row r="477" spans="1:43" x14ac:dyDescent="0.3">
      <c r="A477" t="s">
        <v>184</v>
      </c>
      <c r="B477" s="8" t="s">
        <v>1589</v>
      </c>
      <c r="C477">
        <v>39</v>
      </c>
      <c r="D477" s="8">
        <v>1.4300999999999999</v>
      </c>
      <c r="E477">
        <v>14000</v>
      </c>
      <c r="G477" t="s">
        <v>31</v>
      </c>
      <c r="H477">
        <v>-1.2</v>
      </c>
      <c r="I477" s="4">
        <v>1</v>
      </c>
      <c r="N477" s="3">
        <v>2.8208744710860365E-2</v>
      </c>
      <c r="O477" s="3">
        <v>0</v>
      </c>
      <c r="P477">
        <v>22.5</v>
      </c>
      <c r="Q477">
        <v>6.5</v>
      </c>
      <c r="R477" t="s">
        <v>102</v>
      </c>
      <c r="S477">
        <v>0</v>
      </c>
      <c r="T477" s="6">
        <f>10^-(14-Q477)</f>
        <v>3.1622776601683699E-8</v>
      </c>
      <c r="U477" s="6">
        <v>0</v>
      </c>
      <c r="V477" s="6">
        <v>0</v>
      </c>
      <c r="W477" s="6">
        <v>0</v>
      </c>
      <c r="X477" s="6">
        <v>0</v>
      </c>
      <c r="Y477" t="s">
        <v>171</v>
      </c>
      <c r="AD477">
        <v>10</v>
      </c>
      <c r="AE477" s="1">
        <f>800-4.9/10.16*500</f>
        <v>558.85826771653547</v>
      </c>
      <c r="AF477">
        <v>1</v>
      </c>
      <c r="AL477" s="9">
        <v>18</v>
      </c>
      <c r="AM477" s="9">
        <v>8</v>
      </c>
      <c r="AQ477" s="8"/>
    </row>
    <row r="478" spans="1:43" x14ac:dyDescent="0.3">
      <c r="A478" t="s">
        <v>185</v>
      </c>
      <c r="B478" s="8" t="s">
        <v>1589</v>
      </c>
      <c r="C478">
        <v>39</v>
      </c>
      <c r="D478" s="8">
        <v>1.4300999999999999</v>
      </c>
      <c r="E478">
        <v>14000</v>
      </c>
      <c r="G478" t="s">
        <v>31</v>
      </c>
      <c r="H478">
        <v>-1.2</v>
      </c>
      <c r="I478" s="4">
        <v>1</v>
      </c>
      <c r="N478" s="3">
        <v>0.62059238363892799</v>
      </c>
      <c r="O478" s="3">
        <v>0</v>
      </c>
      <c r="P478">
        <v>22.5</v>
      </c>
      <c r="Q478">
        <v>6.5</v>
      </c>
      <c r="R478" t="s">
        <v>102</v>
      </c>
      <c r="S478">
        <v>0</v>
      </c>
      <c r="T478" s="6">
        <f>10^-(14-Q478)</f>
        <v>3.1622776601683699E-8</v>
      </c>
      <c r="U478" s="6">
        <v>0</v>
      </c>
      <c r="V478" s="6">
        <v>0</v>
      </c>
      <c r="W478" s="6">
        <v>0</v>
      </c>
      <c r="X478" s="6">
        <v>0</v>
      </c>
      <c r="Y478" t="s">
        <v>171</v>
      </c>
      <c r="AD478">
        <v>10</v>
      </c>
      <c r="AE478" s="1">
        <f>800-7.75/10.16*500</f>
        <v>418.60236220472444</v>
      </c>
      <c r="AF478">
        <v>1</v>
      </c>
      <c r="AL478" s="9">
        <v>18</v>
      </c>
      <c r="AM478" s="9">
        <v>8</v>
      </c>
      <c r="AQ478" s="8"/>
    </row>
    <row r="479" spans="1:43" x14ac:dyDescent="0.3">
      <c r="A479" t="s">
        <v>186</v>
      </c>
      <c r="B479" s="8" t="s">
        <v>1589</v>
      </c>
      <c r="C479">
        <v>39</v>
      </c>
      <c r="D479" s="8">
        <v>1.4300999999999999</v>
      </c>
      <c r="E479">
        <v>14000</v>
      </c>
      <c r="G479" t="s">
        <v>31</v>
      </c>
      <c r="H479">
        <v>-1.2</v>
      </c>
      <c r="I479" s="4">
        <v>1</v>
      </c>
      <c r="N479" s="3">
        <v>5.6417489421720732E-3</v>
      </c>
      <c r="O479" s="3">
        <v>0</v>
      </c>
      <c r="P479">
        <v>22.5</v>
      </c>
      <c r="Q479">
        <v>6.5</v>
      </c>
      <c r="R479" t="s">
        <v>102</v>
      </c>
      <c r="S479">
        <v>0</v>
      </c>
      <c r="T479" s="6">
        <f>10^-(14-Q479)</f>
        <v>3.1622776601683699E-8</v>
      </c>
      <c r="U479" s="6">
        <v>0</v>
      </c>
      <c r="V479" s="6">
        <v>0</v>
      </c>
      <c r="W479" s="6">
        <v>0</v>
      </c>
      <c r="X479" s="6">
        <v>0</v>
      </c>
      <c r="Y479" t="s">
        <v>171</v>
      </c>
      <c r="AD479">
        <v>10</v>
      </c>
      <c r="AE479" s="1">
        <f>800-3.2/15.7*500</f>
        <v>698.08917197452229</v>
      </c>
      <c r="AF479">
        <v>1</v>
      </c>
      <c r="AL479" s="9">
        <v>18</v>
      </c>
      <c r="AM479" s="9">
        <v>8</v>
      </c>
      <c r="AQ479" s="8"/>
    </row>
    <row r="480" spans="1:43" x14ac:dyDescent="0.3">
      <c r="A480" t="s">
        <v>187</v>
      </c>
      <c r="B480" s="8" t="s">
        <v>1589</v>
      </c>
      <c r="C480">
        <v>39</v>
      </c>
      <c r="D480" s="8">
        <v>1.4300999999999999</v>
      </c>
      <c r="E480">
        <v>14000</v>
      </c>
      <c r="G480" t="s">
        <v>31</v>
      </c>
      <c r="H480">
        <v>-1.2</v>
      </c>
      <c r="I480" s="4">
        <v>1</v>
      </c>
      <c r="N480" s="3">
        <v>1.4104372355430182E-2</v>
      </c>
      <c r="O480" s="3">
        <v>0</v>
      </c>
      <c r="P480">
        <v>22.5</v>
      </c>
      <c r="Q480">
        <v>6.5</v>
      </c>
      <c r="R480" t="s">
        <v>102</v>
      </c>
      <c r="S480">
        <v>0</v>
      </c>
      <c r="T480" s="6">
        <f>10^-(14-Q480)</f>
        <v>3.1622776601683699E-8</v>
      </c>
      <c r="U480" s="6">
        <v>0</v>
      </c>
      <c r="V480" s="6">
        <v>0</v>
      </c>
      <c r="W480" s="6">
        <v>0</v>
      </c>
      <c r="X480" s="6">
        <v>0</v>
      </c>
      <c r="Y480" t="s">
        <v>171</v>
      </c>
      <c r="AD480">
        <v>10</v>
      </c>
      <c r="AE480" s="1">
        <f>800-5.6/15.7*500</f>
        <v>621.656050955414</v>
      </c>
      <c r="AF480">
        <v>1</v>
      </c>
      <c r="AL480" s="9">
        <v>18</v>
      </c>
      <c r="AM480" s="9">
        <v>8</v>
      </c>
      <c r="AQ480" s="8"/>
    </row>
    <row r="481" spans="1:43" x14ac:dyDescent="0.3">
      <c r="A481" t="s">
        <v>188</v>
      </c>
      <c r="B481" s="8" t="s">
        <v>1589</v>
      </c>
      <c r="C481">
        <v>39</v>
      </c>
      <c r="D481" s="8">
        <v>1.4300999999999999</v>
      </c>
      <c r="E481">
        <v>14000</v>
      </c>
      <c r="G481" t="s">
        <v>31</v>
      </c>
      <c r="H481">
        <v>-1.2</v>
      </c>
      <c r="I481" s="4">
        <v>1</v>
      </c>
      <c r="N481" s="3">
        <v>2.8208744710860365E-2</v>
      </c>
      <c r="O481" s="3">
        <v>0</v>
      </c>
      <c r="P481">
        <v>22.5</v>
      </c>
      <c r="Q481">
        <v>6.5</v>
      </c>
      <c r="R481" t="s">
        <v>102</v>
      </c>
      <c r="S481">
        <v>0</v>
      </c>
      <c r="T481" s="6">
        <f>10^-(14-Q481)</f>
        <v>3.1622776601683699E-8</v>
      </c>
      <c r="U481" s="6">
        <v>0</v>
      </c>
      <c r="V481" s="6">
        <v>0</v>
      </c>
      <c r="W481" s="6">
        <v>0</v>
      </c>
      <c r="X481" s="6">
        <v>0</v>
      </c>
      <c r="Y481" t="s">
        <v>171</v>
      </c>
      <c r="AD481">
        <v>10</v>
      </c>
      <c r="AE481" s="1">
        <f>800-6.6/15.7*500</f>
        <v>589.80891719745227</v>
      </c>
      <c r="AF481">
        <v>1</v>
      </c>
      <c r="AL481" s="9">
        <v>18</v>
      </c>
      <c r="AM481" s="9">
        <v>8</v>
      </c>
      <c r="AQ481" s="8"/>
    </row>
    <row r="482" spans="1:43" x14ac:dyDescent="0.3">
      <c r="A482" t="s">
        <v>189</v>
      </c>
      <c r="B482" s="8" t="s">
        <v>1589</v>
      </c>
      <c r="C482">
        <v>39</v>
      </c>
      <c r="D482" s="8">
        <v>1.4300999999999999</v>
      </c>
      <c r="E482">
        <v>14000</v>
      </c>
      <c r="G482" t="s">
        <v>31</v>
      </c>
      <c r="H482">
        <v>-1.2</v>
      </c>
      <c r="I482" s="4">
        <v>1</v>
      </c>
      <c r="N482" s="3">
        <v>0.62059238363892799</v>
      </c>
      <c r="O482" s="3">
        <v>0</v>
      </c>
      <c r="P482">
        <v>22.5</v>
      </c>
      <c r="Q482">
        <v>6.5</v>
      </c>
      <c r="R482" t="s">
        <v>102</v>
      </c>
      <c r="S482">
        <v>0</v>
      </c>
      <c r="T482" s="6">
        <f>10^-(14-Q482)</f>
        <v>3.1622776601683699E-8</v>
      </c>
      <c r="U482" s="6">
        <v>0</v>
      </c>
      <c r="V482" s="6">
        <v>0</v>
      </c>
      <c r="W482" s="6">
        <v>0</v>
      </c>
      <c r="X482" s="6">
        <v>0</v>
      </c>
      <c r="Y482" t="s">
        <v>171</v>
      </c>
      <c r="AD482">
        <v>10</v>
      </c>
      <c r="AE482" s="1">
        <f>800-11.6/15.7*500</f>
        <v>430.57324840764329</v>
      </c>
      <c r="AF482">
        <v>1</v>
      </c>
      <c r="AL482" s="9">
        <v>18</v>
      </c>
      <c r="AM482" s="9">
        <v>8</v>
      </c>
      <c r="AQ482" s="8"/>
    </row>
    <row r="483" spans="1:43" x14ac:dyDescent="0.3">
      <c r="A483">
        <v>33</v>
      </c>
      <c r="B483" t="s">
        <v>1681</v>
      </c>
      <c r="C483">
        <v>41</v>
      </c>
      <c r="D483"/>
      <c r="I483"/>
      <c r="J483"/>
      <c r="K483"/>
      <c r="L483" t="s">
        <v>172</v>
      </c>
      <c r="N483">
        <v>0</v>
      </c>
      <c r="O483">
        <v>0</v>
      </c>
      <c r="Q483">
        <v>0</v>
      </c>
      <c r="T483" s="6">
        <f>10^-(14-Q483)</f>
        <v>1E-14</v>
      </c>
      <c r="U483" s="6">
        <v>1</v>
      </c>
      <c r="V483" s="6">
        <v>0</v>
      </c>
      <c r="W483" s="6">
        <v>0</v>
      </c>
      <c r="X483" s="6">
        <v>0</v>
      </c>
      <c r="Y483" t="s">
        <v>171</v>
      </c>
      <c r="Z483"/>
      <c r="AA483"/>
      <c r="AB483"/>
      <c r="AC483"/>
      <c r="AD483">
        <v>1</v>
      </c>
      <c r="AE483">
        <v>860.69</v>
      </c>
      <c r="AF483">
        <v>1</v>
      </c>
      <c r="AL483" s="9">
        <v>17</v>
      </c>
      <c r="AM483" s="9">
        <v>13</v>
      </c>
      <c r="AN483" s="9">
        <v>0</v>
      </c>
      <c r="AO483" s="9">
        <v>0.157</v>
      </c>
      <c r="AQ483" s="8"/>
    </row>
    <row r="484" spans="1:43" x14ac:dyDescent="0.3">
      <c r="A484">
        <v>33</v>
      </c>
      <c r="B484" t="s">
        <v>1681</v>
      </c>
      <c r="C484">
        <v>41</v>
      </c>
      <c r="D484"/>
      <c r="I484"/>
      <c r="J484"/>
      <c r="K484"/>
      <c r="L484" t="s">
        <v>172</v>
      </c>
      <c r="N484">
        <v>0</v>
      </c>
      <c r="O484">
        <v>0</v>
      </c>
      <c r="Q484">
        <v>0</v>
      </c>
      <c r="T484" s="6">
        <f>10^-(14-Q484)</f>
        <v>1E-14</v>
      </c>
      <c r="U484" s="6">
        <v>1</v>
      </c>
      <c r="V484" s="6">
        <v>0</v>
      </c>
      <c r="W484" s="6">
        <v>0</v>
      </c>
      <c r="X484" s="6">
        <v>0</v>
      </c>
      <c r="Y484" t="s">
        <v>171</v>
      </c>
      <c r="Z484"/>
      <c r="AA484"/>
      <c r="AB484"/>
      <c r="AC484"/>
      <c r="AD484">
        <v>1</v>
      </c>
      <c r="AE484">
        <v>860.69</v>
      </c>
      <c r="AF484">
        <v>1</v>
      </c>
      <c r="AL484" s="9">
        <v>18</v>
      </c>
      <c r="AM484" s="9">
        <v>10</v>
      </c>
      <c r="AN484" s="9">
        <v>0</v>
      </c>
      <c r="AO484" s="9">
        <v>1E-3</v>
      </c>
      <c r="AQ484" s="8"/>
    </row>
    <row r="485" spans="1:43" x14ac:dyDescent="0.3">
      <c r="A485">
        <v>49</v>
      </c>
      <c r="B485" t="s">
        <v>1639</v>
      </c>
      <c r="C485">
        <v>42</v>
      </c>
      <c r="D485" t="s">
        <v>1644</v>
      </c>
      <c r="I485"/>
      <c r="J485"/>
      <c r="K485">
        <v>1</v>
      </c>
      <c r="N485">
        <v>5.1334965785245308E-3</v>
      </c>
      <c r="O485" s="3">
        <v>0</v>
      </c>
      <c r="P485">
        <v>50</v>
      </c>
      <c r="Q485">
        <v>7.8</v>
      </c>
      <c r="R485" t="s">
        <v>102</v>
      </c>
      <c r="T485" s="6">
        <f>10^-(14-Q485)</f>
        <v>6.3095734448019254E-7</v>
      </c>
      <c r="U485" s="6">
        <v>0</v>
      </c>
      <c r="V485" s="6">
        <v>0</v>
      </c>
      <c r="W485" s="6">
        <v>0</v>
      </c>
      <c r="X485" s="6">
        <v>0</v>
      </c>
      <c r="Y485" t="s">
        <v>171</v>
      </c>
      <c r="Z485"/>
      <c r="AA485"/>
      <c r="AB485"/>
      <c r="AC485"/>
      <c r="AD485">
        <v>0.1</v>
      </c>
      <c r="AE485">
        <v>144</v>
      </c>
      <c r="AF485">
        <v>1</v>
      </c>
      <c r="AH485" s="9">
        <v>1</v>
      </c>
      <c r="AI485" s="9">
        <v>1</v>
      </c>
      <c r="AJ485" s="9">
        <v>0.04</v>
      </c>
      <c r="AK485" s="9">
        <v>0.35</v>
      </c>
      <c r="AL485" s="9">
        <v>13</v>
      </c>
      <c r="AQ485" s="8"/>
    </row>
    <row r="486" spans="1:43" x14ac:dyDescent="0.3">
      <c r="A486">
        <v>49</v>
      </c>
      <c r="B486" t="s">
        <v>1639</v>
      </c>
      <c r="C486">
        <v>42</v>
      </c>
      <c r="D486" t="s">
        <v>1644</v>
      </c>
      <c r="I486"/>
      <c r="J486"/>
      <c r="K486">
        <v>1</v>
      </c>
      <c r="N486">
        <v>8.5558276308742177E-3</v>
      </c>
      <c r="O486" s="3">
        <v>0</v>
      </c>
      <c r="P486">
        <v>50</v>
      </c>
      <c r="Q486">
        <v>7.8</v>
      </c>
      <c r="R486" t="s">
        <v>102</v>
      </c>
      <c r="T486" s="6">
        <f>10^-(14-Q486)</f>
        <v>6.3095734448019254E-7</v>
      </c>
      <c r="U486" s="6">
        <v>0</v>
      </c>
      <c r="V486" s="6">
        <v>0</v>
      </c>
      <c r="W486" s="6">
        <v>0</v>
      </c>
      <c r="X486" s="6">
        <v>0</v>
      </c>
      <c r="Y486" t="s">
        <v>171</v>
      </c>
      <c r="Z486"/>
      <c r="AA486"/>
      <c r="AB486"/>
      <c r="AC486"/>
      <c r="AD486">
        <v>0.1</v>
      </c>
      <c r="AE486">
        <v>101</v>
      </c>
      <c r="AF486">
        <v>1</v>
      </c>
      <c r="AH486" s="9">
        <v>1</v>
      </c>
      <c r="AI486" s="9">
        <v>1</v>
      </c>
      <c r="AJ486" s="9">
        <v>0.04</v>
      </c>
      <c r="AK486" s="9">
        <v>0.35</v>
      </c>
      <c r="AL486" s="9">
        <v>13</v>
      </c>
      <c r="AQ486" s="8"/>
    </row>
    <row r="487" spans="1:43" x14ac:dyDescent="0.3">
      <c r="A487">
        <v>49</v>
      </c>
      <c r="B487" t="s">
        <v>1639</v>
      </c>
      <c r="C487">
        <v>42</v>
      </c>
      <c r="D487" t="s">
        <v>1644</v>
      </c>
      <c r="I487"/>
      <c r="J487"/>
      <c r="K487">
        <v>1</v>
      </c>
      <c r="N487">
        <v>1.7111655261748435E-2</v>
      </c>
      <c r="O487" s="3">
        <v>0</v>
      </c>
      <c r="P487">
        <v>50</v>
      </c>
      <c r="Q487">
        <v>7.8</v>
      </c>
      <c r="R487" t="s">
        <v>102</v>
      </c>
      <c r="T487" s="6">
        <f>10^-(14-Q487)</f>
        <v>6.3095734448019254E-7</v>
      </c>
      <c r="U487" s="6">
        <v>0</v>
      </c>
      <c r="V487" s="6">
        <v>0</v>
      </c>
      <c r="W487" s="6">
        <v>0</v>
      </c>
      <c r="X487" s="6">
        <v>0</v>
      </c>
      <c r="Y487" t="s">
        <v>171</v>
      </c>
      <c r="Z487"/>
      <c r="AA487"/>
      <c r="AB487"/>
      <c r="AC487"/>
      <c r="AD487">
        <v>0.1</v>
      </c>
      <c r="AE487">
        <v>-120</v>
      </c>
      <c r="AF487">
        <v>1</v>
      </c>
      <c r="AH487" s="9">
        <v>1</v>
      </c>
      <c r="AI487" s="9">
        <v>1</v>
      </c>
      <c r="AJ487" s="9">
        <v>0.04</v>
      </c>
      <c r="AK487" s="9">
        <v>0.35</v>
      </c>
      <c r="AL487" s="9">
        <v>13</v>
      </c>
      <c r="AQ487" s="8"/>
    </row>
    <row r="488" spans="1:43" x14ac:dyDescent="0.3">
      <c r="A488">
        <v>49</v>
      </c>
      <c r="B488" t="s">
        <v>1639</v>
      </c>
      <c r="C488">
        <v>42</v>
      </c>
      <c r="D488" t="s">
        <v>1644</v>
      </c>
      <c r="I488"/>
      <c r="J488"/>
      <c r="K488">
        <v>1</v>
      </c>
      <c r="N488">
        <v>8.5558276308742159E-2</v>
      </c>
      <c r="O488" s="3">
        <v>0</v>
      </c>
      <c r="P488">
        <v>50</v>
      </c>
      <c r="Q488">
        <v>7.8</v>
      </c>
      <c r="R488" t="s">
        <v>102</v>
      </c>
      <c r="T488" s="6">
        <f>10^-(14-Q488)</f>
        <v>6.3095734448019254E-7</v>
      </c>
      <c r="U488" s="6">
        <v>0</v>
      </c>
      <c r="V488" s="6">
        <v>0</v>
      </c>
      <c r="W488" s="6">
        <v>0</v>
      </c>
      <c r="X488" s="6">
        <v>0</v>
      </c>
      <c r="Y488" t="s">
        <v>171</v>
      </c>
      <c r="Z488"/>
      <c r="AA488"/>
      <c r="AB488"/>
      <c r="AC488"/>
      <c r="AD488">
        <v>0.1</v>
      </c>
      <c r="AE488">
        <v>-43</v>
      </c>
      <c r="AF488">
        <v>1</v>
      </c>
      <c r="AH488" s="9">
        <v>1</v>
      </c>
      <c r="AI488" s="9">
        <v>1</v>
      </c>
      <c r="AJ488" s="9">
        <v>0.04</v>
      </c>
      <c r="AK488" s="9">
        <v>0.35</v>
      </c>
      <c r="AL488" s="9">
        <v>13</v>
      </c>
      <c r="AQ488" s="8"/>
    </row>
    <row r="489" spans="1:43" x14ac:dyDescent="0.3">
      <c r="A489">
        <v>49</v>
      </c>
      <c r="B489" t="s">
        <v>1639</v>
      </c>
      <c r="C489">
        <v>42</v>
      </c>
      <c r="D489" t="s">
        <v>1644</v>
      </c>
      <c r="I489"/>
      <c r="J489"/>
      <c r="K489">
        <v>1</v>
      </c>
      <c r="N489">
        <v>0.54600000000000004</v>
      </c>
      <c r="O489" s="3">
        <v>0</v>
      </c>
      <c r="P489">
        <v>50</v>
      </c>
      <c r="Q489">
        <v>8.1999999999999993</v>
      </c>
      <c r="R489" t="s">
        <v>102</v>
      </c>
      <c r="T489" s="6">
        <f>10^-(14-Q489)</f>
        <v>1.5848931924611084E-6</v>
      </c>
      <c r="U489" s="6">
        <v>0</v>
      </c>
      <c r="V489" s="6">
        <v>0</v>
      </c>
      <c r="W489" s="6">
        <v>0</v>
      </c>
      <c r="X489" s="6">
        <v>0</v>
      </c>
      <c r="Y489" t="s">
        <v>171</v>
      </c>
      <c r="Z489"/>
      <c r="AA489"/>
      <c r="AB489"/>
      <c r="AC489"/>
      <c r="AD489">
        <v>0.1</v>
      </c>
      <c r="AE489">
        <v>-145</v>
      </c>
      <c r="AF489">
        <v>1</v>
      </c>
      <c r="AH489" s="9">
        <v>1</v>
      </c>
      <c r="AI489" s="9">
        <v>1</v>
      </c>
      <c r="AJ489" s="9">
        <v>0.04</v>
      </c>
      <c r="AK489" s="9">
        <v>0.35</v>
      </c>
      <c r="AL489" s="9">
        <v>13</v>
      </c>
      <c r="AQ489" s="8"/>
    </row>
    <row r="490" spans="1:43" x14ac:dyDescent="0.3">
      <c r="A490">
        <v>49</v>
      </c>
      <c r="B490" t="s">
        <v>1639</v>
      </c>
      <c r="C490">
        <v>42</v>
      </c>
      <c r="D490" t="s">
        <v>1641</v>
      </c>
      <c r="I490"/>
      <c r="J490"/>
      <c r="K490">
        <v>1</v>
      </c>
      <c r="N490">
        <v>5.1334965785245308E-3</v>
      </c>
      <c r="O490" s="3">
        <v>0</v>
      </c>
      <c r="P490">
        <v>50</v>
      </c>
      <c r="Q490">
        <v>7.8</v>
      </c>
      <c r="R490" t="s">
        <v>102</v>
      </c>
      <c r="T490" s="6">
        <f>10^-(14-Q490)</f>
        <v>6.3095734448019254E-7</v>
      </c>
      <c r="U490" s="6">
        <v>0</v>
      </c>
      <c r="V490" s="6">
        <v>0</v>
      </c>
      <c r="W490" s="6">
        <v>0</v>
      </c>
      <c r="X490" s="6">
        <v>0</v>
      </c>
      <c r="Y490" t="s">
        <v>171</v>
      </c>
      <c r="Z490"/>
      <c r="AA490"/>
      <c r="AB490"/>
      <c r="AC490"/>
      <c r="AD490">
        <v>0.1</v>
      </c>
      <c r="AE490">
        <v>344</v>
      </c>
      <c r="AF490">
        <v>1</v>
      </c>
      <c r="AG490" s="9">
        <v>0.02</v>
      </c>
      <c r="AH490" s="9">
        <v>1</v>
      </c>
      <c r="AI490" s="9">
        <v>1</v>
      </c>
      <c r="AJ490" s="9">
        <v>4.4999999999999998E-2</v>
      </c>
      <c r="AK490" s="9">
        <v>0.2</v>
      </c>
      <c r="AL490" s="9">
        <v>16</v>
      </c>
      <c r="AM490" s="9">
        <v>11</v>
      </c>
      <c r="AN490" s="9">
        <v>3</v>
      </c>
      <c r="AQ490" s="8"/>
    </row>
    <row r="491" spans="1:43" x14ac:dyDescent="0.3">
      <c r="A491">
        <v>49</v>
      </c>
      <c r="B491" t="s">
        <v>1639</v>
      </c>
      <c r="C491">
        <v>42</v>
      </c>
      <c r="D491" t="s">
        <v>1641</v>
      </c>
      <c r="I491"/>
      <c r="J491"/>
      <c r="K491">
        <v>1</v>
      </c>
      <c r="N491">
        <v>8.5558276308742177E-3</v>
      </c>
      <c r="O491" s="3">
        <v>0</v>
      </c>
      <c r="P491">
        <v>50</v>
      </c>
      <c r="Q491">
        <v>7.8</v>
      </c>
      <c r="R491" t="s">
        <v>102</v>
      </c>
      <c r="T491" s="6">
        <f>10^-(14-Q491)</f>
        <v>6.3095734448019254E-7</v>
      </c>
      <c r="U491" s="6">
        <v>0</v>
      </c>
      <c r="V491" s="6">
        <v>0</v>
      </c>
      <c r="W491" s="6">
        <v>0</v>
      </c>
      <c r="X491" s="6">
        <v>0</v>
      </c>
      <c r="Y491" t="s">
        <v>171</v>
      </c>
      <c r="Z491"/>
      <c r="AA491"/>
      <c r="AB491"/>
      <c r="AC491"/>
      <c r="AD491">
        <v>0.1</v>
      </c>
      <c r="AE491">
        <v>330</v>
      </c>
      <c r="AF491">
        <v>1</v>
      </c>
      <c r="AG491" s="9">
        <v>0.02</v>
      </c>
      <c r="AH491" s="9">
        <v>1</v>
      </c>
      <c r="AI491" s="9">
        <v>1</v>
      </c>
      <c r="AJ491" s="9">
        <v>4.4999999999999998E-2</v>
      </c>
      <c r="AK491" s="9">
        <v>0.2</v>
      </c>
      <c r="AL491" s="9">
        <v>16</v>
      </c>
      <c r="AM491" s="9">
        <v>11</v>
      </c>
      <c r="AN491" s="9">
        <v>3</v>
      </c>
      <c r="AQ491" s="8"/>
    </row>
    <row r="492" spans="1:43" x14ac:dyDescent="0.3">
      <c r="A492">
        <v>49</v>
      </c>
      <c r="B492" t="s">
        <v>1639</v>
      </c>
      <c r="C492">
        <v>42</v>
      </c>
      <c r="D492" t="s">
        <v>1641</v>
      </c>
      <c r="I492"/>
      <c r="J492"/>
      <c r="K492">
        <v>1</v>
      </c>
      <c r="N492">
        <v>1.7111655261748435E-2</v>
      </c>
      <c r="O492" s="3">
        <v>0</v>
      </c>
      <c r="P492">
        <v>50</v>
      </c>
      <c r="Q492">
        <v>7.8</v>
      </c>
      <c r="R492" t="s">
        <v>102</v>
      </c>
      <c r="T492" s="6">
        <f>10^-(14-Q492)</f>
        <v>6.3095734448019254E-7</v>
      </c>
      <c r="U492" s="6">
        <v>0</v>
      </c>
      <c r="V492" s="6">
        <v>0</v>
      </c>
      <c r="W492" s="6">
        <v>0</v>
      </c>
      <c r="X492" s="6">
        <v>0</v>
      </c>
      <c r="Y492" t="s">
        <v>171</v>
      </c>
      <c r="Z492"/>
      <c r="AA492"/>
      <c r="AB492"/>
      <c r="AC492"/>
      <c r="AD492">
        <v>0.1</v>
      </c>
      <c r="AE492">
        <v>284</v>
      </c>
      <c r="AF492">
        <v>1</v>
      </c>
      <c r="AG492" s="9">
        <v>0.02</v>
      </c>
      <c r="AH492" s="9">
        <v>1</v>
      </c>
      <c r="AI492" s="9">
        <v>1</v>
      </c>
      <c r="AJ492" s="9">
        <v>4.4999999999999998E-2</v>
      </c>
      <c r="AK492" s="9">
        <v>0.2</v>
      </c>
      <c r="AL492" s="9">
        <v>16</v>
      </c>
      <c r="AM492" s="9">
        <v>11</v>
      </c>
      <c r="AN492" s="9">
        <v>3</v>
      </c>
      <c r="AQ492" s="8"/>
    </row>
    <row r="493" spans="1:43" x14ac:dyDescent="0.3">
      <c r="A493">
        <v>49</v>
      </c>
      <c r="B493" t="s">
        <v>1639</v>
      </c>
      <c r="C493">
        <v>42</v>
      </c>
      <c r="D493" t="s">
        <v>1641</v>
      </c>
      <c r="I493"/>
      <c r="J493"/>
      <c r="K493">
        <v>1</v>
      </c>
      <c r="N493">
        <v>8.5558276308742159E-2</v>
      </c>
      <c r="O493" s="3">
        <v>0</v>
      </c>
      <c r="P493">
        <v>50</v>
      </c>
      <c r="Q493">
        <v>7.8</v>
      </c>
      <c r="R493" t="s">
        <v>102</v>
      </c>
      <c r="T493" s="6">
        <f>10^-(14-Q493)</f>
        <v>6.3095734448019254E-7</v>
      </c>
      <c r="U493" s="6">
        <v>0</v>
      </c>
      <c r="V493" s="6">
        <v>0</v>
      </c>
      <c r="W493" s="6">
        <v>0</v>
      </c>
      <c r="X493" s="6">
        <v>0</v>
      </c>
      <c r="Y493" t="s">
        <v>171</v>
      </c>
      <c r="Z493"/>
      <c r="AA493"/>
      <c r="AB493"/>
      <c r="AC493"/>
      <c r="AD493">
        <v>0.1</v>
      </c>
      <c r="AE493">
        <v>232</v>
      </c>
      <c r="AF493">
        <v>1</v>
      </c>
      <c r="AG493" s="9">
        <v>0.02</v>
      </c>
      <c r="AH493" s="9">
        <v>1</v>
      </c>
      <c r="AI493" s="9">
        <v>1</v>
      </c>
      <c r="AJ493" s="9">
        <v>4.4999999999999998E-2</v>
      </c>
      <c r="AK493" s="9">
        <v>0.2</v>
      </c>
      <c r="AL493" s="9">
        <v>16</v>
      </c>
      <c r="AM493" s="9">
        <v>11</v>
      </c>
      <c r="AN493" s="9">
        <v>3</v>
      </c>
      <c r="AQ493" s="8"/>
    </row>
    <row r="494" spans="1:43" x14ac:dyDescent="0.3">
      <c r="A494">
        <v>49</v>
      </c>
      <c r="B494" t="s">
        <v>1639</v>
      </c>
      <c r="C494">
        <v>42</v>
      </c>
      <c r="D494" t="s">
        <v>1641</v>
      </c>
      <c r="I494"/>
      <c r="J494"/>
      <c r="K494">
        <v>1</v>
      </c>
      <c r="N494">
        <v>0.54600000000000004</v>
      </c>
      <c r="O494" s="3">
        <v>0</v>
      </c>
      <c r="P494">
        <v>50</v>
      </c>
      <c r="Q494">
        <v>8.1999999999999993</v>
      </c>
      <c r="R494" t="s">
        <v>102</v>
      </c>
      <c r="T494" s="6">
        <f>10^-(14-Q494)</f>
        <v>1.5848931924611084E-6</v>
      </c>
      <c r="U494" s="6">
        <v>0</v>
      </c>
      <c r="V494" s="6">
        <v>0</v>
      </c>
      <c r="W494" s="6">
        <v>0</v>
      </c>
      <c r="X494" s="6">
        <v>0</v>
      </c>
      <c r="Y494" t="s">
        <v>171</v>
      </c>
      <c r="Z494"/>
      <c r="AA494"/>
      <c r="AB494"/>
      <c r="AC494"/>
      <c r="AD494">
        <v>0.1</v>
      </c>
      <c r="AE494">
        <v>154</v>
      </c>
      <c r="AF494">
        <v>1</v>
      </c>
      <c r="AG494" s="9">
        <v>0.02</v>
      </c>
      <c r="AH494" s="9">
        <v>1</v>
      </c>
      <c r="AI494" s="9">
        <v>1</v>
      </c>
      <c r="AJ494" s="9">
        <v>4.4999999999999998E-2</v>
      </c>
      <c r="AK494" s="9">
        <v>0.2</v>
      </c>
      <c r="AL494" s="9">
        <v>16</v>
      </c>
      <c r="AM494" s="9">
        <v>11</v>
      </c>
      <c r="AN494" s="9">
        <v>3</v>
      </c>
      <c r="AQ494" s="8"/>
    </row>
    <row r="495" spans="1:43" x14ac:dyDescent="0.3">
      <c r="A495">
        <v>49</v>
      </c>
      <c r="B495" t="s">
        <v>1639</v>
      </c>
      <c r="C495">
        <v>42</v>
      </c>
      <c r="D495" t="s">
        <v>1645</v>
      </c>
      <c r="I495"/>
      <c r="J495"/>
      <c r="K495">
        <v>1</v>
      </c>
      <c r="N495">
        <v>5.1334965785245308E-3</v>
      </c>
      <c r="O495" s="3">
        <v>0</v>
      </c>
      <c r="P495">
        <v>50</v>
      </c>
      <c r="Q495">
        <v>7.8</v>
      </c>
      <c r="R495" t="s">
        <v>102</v>
      </c>
      <c r="T495" s="6">
        <f>10^-(14-Q495)</f>
        <v>6.3095734448019254E-7</v>
      </c>
      <c r="U495" s="6">
        <v>0</v>
      </c>
      <c r="V495" s="6">
        <v>0</v>
      </c>
      <c r="W495" s="6">
        <v>0</v>
      </c>
      <c r="X495" s="6">
        <v>0</v>
      </c>
      <c r="Y495" t="s">
        <v>171</v>
      </c>
      <c r="Z495"/>
      <c r="AA495"/>
      <c r="AB495"/>
      <c r="AC495"/>
      <c r="AD495">
        <v>0.1</v>
      </c>
      <c r="AE495">
        <v>221</v>
      </c>
      <c r="AF495">
        <v>1</v>
      </c>
      <c r="AG495" s="9">
        <v>7.0000000000000007E-2</v>
      </c>
      <c r="AH495" s="9">
        <v>1</v>
      </c>
      <c r="AI495" s="9">
        <v>1</v>
      </c>
      <c r="AJ495" s="9">
        <v>0.04</v>
      </c>
      <c r="AL495" s="9">
        <v>16</v>
      </c>
      <c r="AM495" s="9">
        <v>4.5</v>
      </c>
      <c r="AQ495" s="8"/>
    </row>
    <row r="496" spans="1:43" x14ac:dyDescent="0.3">
      <c r="A496">
        <v>49</v>
      </c>
      <c r="B496" t="s">
        <v>1639</v>
      </c>
      <c r="C496">
        <v>42</v>
      </c>
      <c r="D496" t="s">
        <v>1645</v>
      </c>
      <c r="I496"/>
      <c r="J496"/>
      <c r="K496">
        <v>1</v>
      </c>
      <c r="N496">
        <v>8.5558276308742177E-3</v>
      </c>
      <c r="O496" s="3">
        <v>0</v>
      </c>
      <c r="P496">
        <v>50</v>
      </c>
      <c r="Q496">
        <v>7.8</v>
      </c>
      <c r="R496" t="s">
        <v>102</v>
      </c>
      <c r="T496" s="6">
        <f>10^-(14-Q496)</f>
        <v>6.3095734448019254E-7</v>
      </c>
      <c r="U496" s="6">
        <v>0</v>
      </c>
      <c r="V496" s="6">
        <v>0</v>
      </c>
      <c r="W496" s="6">
        <v>0</v>
      </c>
      <c r="X496" s="6">
        <v>0</v>
      </c>
      <c r="Y496" t="s">
        <v>171</v>
      </c>
      <c r="Z496"/>
      <c r="AA496"/>
      <c r="AB496"/>
      <c r="AC496"/>
      <c r="AD496">
        <v>0.1</v>
      </c>
      <c r="AE496">
        <v>263</v>
      </c>
      <c r="AF496">
        <v>1</v>
      </c>
      <c r="AG496" s="9">
        <v>7.0000000000000007E-2</v>
      </c>
      <c r="AH496" s="9">
        <v>1</v>
      </c>
      <c r="AI496" s="9">
        <v>1</v>
      </c>
      <c r="AJ496" s="9">
        <v>0.04</v>
      </c>
      <c r="AL496" s="9">
        <v>16</v>
      </c>
      <c r="AM496" s="9">
        <v>4.5</v>
      </c>
      <c r="AQ496" s="8"/>
    </row>
    <row r="497" spans="1:43" x14ac:dyDescent="0.3">
      <c r="A497">
        <v>49</v>
      </c>
      <c r="B497" t="s">
        <v>1639</v>
      </c>
      <c r="C497">
        <v>42</v>
      </c>
      <c r="D497" t="s">
        <v>1645</v>
      </c>
      <c r="I497"/>
      <c r="J497"/>
      <c r="K497">
        <v>1</v>
      </c>
      <c r="N497">
        <v>1.7111655261748435E-2</v>
      </c>
      <c r="O497" s="3">
        <v>0</v>
      </c>
      <c r="P497">
        <v>50</v>
      </c>
      <c r="Q497">
        <v>7.8</v>
      </c>
      <c r="R497" t="s">
        <v>102</v>
      </c>
      <c r="T497" s="6">
        <f>10^-(14-Q497)</f>
        <v>6.3095734448019254E-7</v>
      </c>
      <c r="U497" s="6">
        <v>0</v>
      </c>
      <c r="V497" s="6">
        <v>0</v>
      </c>
      <c r="W497" s="6">
        <v>0</v>
      </c>
      <c r="X497" s="6">
        <v>0</v>
      </c>
      <c r="Y497" t="s">
        <v>171</v>
      </c>
      <c r="Z497"/>
      <c r="AA497"/>
      <c r="AB497"/>
      <c r="AC497"/>
      <c r="AD497">
        <v>0.1</v>
      </c>
      <c r="AE497">
        <v>251</v>
      </c>
      <c r="AF497">
        <v>1</v>
      </c>
      <c r="AG497" s="9">
        <v>7.0000000000000007E-2</v>
      </c>
      <c r="AH497" s="9">
        <v>1</v>
      </c>
      <c r="AI497" s="9">
        <v>1</v>
      </c>
      <c r="AJ497" s="9">
        <v>0.04</v>
      </c>
      <c r="AL497" s="9">
        <v>16</v>
      </c>
      <c r="AM497" s="9">
        <v>4.5</v>
      </c>
      <c r="AQ497" s="8"/>
    </row>
    <row r="498" spans="1:43" x14ac:dyDescent="0.3">
      <c r="A498">
        <v>49</v>
      </c>
      <c r="B498" t="s">
        <v>1639</v>
      </c>
      <c r="C498">
        <v>42</v>
      </c>
      <c r="D498" t="s">
        <v>1645</v>
      </c>
      <c r="I498"/>
      <c r="J498"/>
      <c r="K498">
        <v>1</v>
      </c>
      <c r="N498">
        <v>8.5558276308742159E-2</v>
      </c>
      <c r="O498" s="3">
        <v>0</v>
      </c>
      <c r="P498">
        <v>50</v>
      </c>
      <c r="Q498">
        <v>7.8</v>
      </c>
      <c r="R498" t="s">
        <v>102</v>
      </c>
      <c r="T498" s="6">
        <f>10^-(14-Q498)</f>
        <v>6.3095734448019254E-7</v>
      </c>
      <c r="U498" s="6">
        <v>0</v>
      </c>
      <c r="V498" s="6">
        <v>0</v>
      </c>
      <c r="W498" s="6">
        <v>0</v>
      </c>
      <c r="X498" s="6">
        <v>0</v>
      </c>
      <c r="Y498" t="s">
        <v>171</v>
      </c>
      <c r="Z498"/>
      <c r="AA498"/>
      <c r="AB498"/>
      <c r="AC498"/>
      <c r="AD498">
        <v>0.1</v>
      </c>
      <c r="AE498">
        <v>281</v>
      </c>
      <c r="AF498">
        <v>1</v>
      </c>
      <c r="AG498" s="9">
        <v>7.0000000000000007E-2</v>
      </c>
      <c r="AH498" s="9">
        <v>1</v>
      </c>
      <c r="AI498" s="9">
        <v>1</v>
      </c>
      <c r="AJ498" s="9">
        <v>0.04</v>
      </c>
      <c r="AL498" s="9">
        <v>16</v>
      </c>
      <c r="AM498" s="9">
        <v>4.5</v>
      </c>
      <c r="AQ498" s="8"/>
    </row>
    <row r="499" spans="1:43" x14ac:dyDescent="0.3">
      <c r="A499">
        <v>49</v>
      </c>
      <c r="B499" t="s">
        <v>1639</v>
      </c>
      <c r="C499">
        <v>42</v>
      </c>
      <c r="D499" t="s">
        <v>1645</v>
      </c>
      <c r="I499"/>
      <c r="J499"/>
      <c r="K499">
        <v>1</v>
      </c>
      <c r="N499">
        <v>0.54600000000000004</v>
      </c>
      <c r="O499" s="3">
        <v>0</v>
      </c>
      <c r="P499">
        <v>50</v>
      </c>
      <c r="Q499">
        <v>8.1999999999999993</v>
      </c>
      <c r="R499" t="s">
        <v>102</v>
      </c>
      <c r="T499" s="6">
        <f>10^-(14-Q499)</f>
        <v>1.5848931924611084E-6</v>
      </c>
      <c r="U499" s="6">
        <v>0</v>
      </c>
      <c r="V499" s="6">
        <v>0</v>
      </c>
      <c r="W499" s="6">
        <v>0</v>
      </c>
      <c r="X499" s="6">
        <v>0</v>
      </c>
      <c r="Y499" t="s">
        <v>171</v>
      </c>
      <c r="Z499"/>
      <c r="AA499"/>
      <c r="AB499"/>
      <c r="AC499"/>
      <c r="AD499">
        <v>0.1</v>
      </c>
      <c r="AE499">
        <v>1516</v>
      </c>
      <c r="AF499">
        <v>1</v>
      </c>
      <c r="AG499" s="9">
        <v>7.0000000000000007E-2</v>
      </c>
      <c r="AH499" s="9">
        <v>1</v>
      </c>
      <c r="AI499" s="9">
        <v>1</v>
      </c>
      <c r="AJ499" s="9">
        <v>0.04</v>
      </c>
      <c r="AL499" s="9">
        <v>16</v>
      </c>
      <c r="AM499" s="9">
        <v>4.5</v>
      </c>
      <c r="AQ499" s="8"/>
    </row>
    <row r="500" spans="1:43" x14ac:dyDescent="0.3">
      <c r="A500">
        <v>49</v>
      </c>
      <c r="B500" t="s">
        <v>1639</v>
      </c>
      <c r="C500">
        <v>42</v>
      </c>
      <c r="D500" t="s">
        <v>1640</v>
      </c>
      <c r="I500"/>
      <c r="J500"/>
      <c r="K500">
        <v>1</v>
      </c>
      <c r="N500">
        <v>5.1334965785245308E-3</v>
      </c>
      <c r="O500" s="3">
        <v>0</v>
      </c>
      <c r="P500">
        <v>50</v>
      </c>
      <c r="Q500">
        <v>7.8</v>
      </c>
      <c r="R500" t="s">
        <v>102</v>
      </c>
      <c r="T500" s="6">
        <f>10^-(14-Q500)</f>
        <v>6.3095734448019254E-7</v>
      </c>
      <c r="U500" s="6">
        <v>0</v>
      </c>
      <c r="V500" s="6">
        <v>0</v>
      </c>
      <c r="W500" s="6">
        <v>0</v>
      </c>
      <c r="X500" s="6">
        <v>0</v>
      </c>
      <c r="Y500" t="s">
        <v>171</v>
      </c>
      <c r="Z500"/>
      <c r="AA500"/>
      <c r="AB500"/>
      <c r="AC500"/>
      <c r="AD500">
        <v>0.1</v>
      </c>
      <c r="AE500">
        <v>287</v>
      </c>
      <c r="AF500">
        <v>1</v>
      </c>
      <c r="AG500" s="9">
        <v>0.03</v>
      </c>
      <c r="AH500" s="9">
        <v>1</v>
      </c>
      <c r="AI500" s="9">
        <v>1</v>
      </c>
      <c r="AJ500" s="9">
        <v>4.4999999999999998E-2</v>
      </c>
      <c r="AK500" s="9">
        <v>0.02</v>
      </c>
      <c r="AL500" s="9">
        <v>18</v>
      </c>
      <c r="AM500" s="9">
        <v>10</v>
      </c>
      <c r="AO500" s="9">
        <v>0</v>
      </c>
      <c r="AQ500" s="8"/>
    </row>
    <row r="501" spans="1:43" x14ac:dyDescent="0.3">
      <c r="A501">
        <v>49</v>
      </c>
      <c r="B501" t="s">
        <v>1639</v>
      </c>
      <c r="C501">
        <v>42</v>
      </c>
      <c r="D501" t="s">
        <v>1640</v>
      </c>
      <c r="I501"/>
      <c r="J501"/>
      <c r="K501">
        <v>1</v>
      </c>
      <c r="N501">
        <v>8.5558276308742177E-3</v>
      </c>
      <c r="O501" s="3">
        <v>0</v>
      </c>
      <c r="P501">
        <v>50</v>
      </c>
      <c r="Q501">
        <v>7.8</v>
      </c>
      <c r="R501" t="s">
        <v>102</v>
      </c>
      <c r="T501" s="6">
        <f>10^-(14-Q501)</f>
        <v>6.3095734448019254E-7</v>
      </c>
      <c r="U501" s="6">
        <v>0</v>
      </c>
      <c r="V501" s="6">
        <v>0</v>
      </c>
      <c r="W501" s="6">
        <v>0</v>
      </c>
      <c r="X501" s="6">
        <v>0</v>
      </c>
      <c r="Y501" t="s">
        <v>171</v>
      </c>
      <c r="Z501"/>
      <c r="AA501"/>
      <c r="AB501"/>
      <c r="AC501"/>
      <c r="AD501">
        <v>0.1</v>
      </c>
      <c r="AE501">
        <v>260</v>
      </c>
      <c r="AF501">
        <v>1</v>
      </c>
      <c r="AG501" s="9">
        <v>0.03</v>
      </c>
      <c r="AH501" s="9">
        <v>1</v>
      </c>
      <c r="AI501" s="9">
        <v>1</v>
      </c>
      <c r="AJ501" s="9">
        <v>4.4999999999999998E-2</v>
      </c>
      <c r="AK501" s="9">
        <v>0.02</v>
      </c>
      <c r="AL501" s="9">
        <v>18</v>
      </c>
      <c r="AM501" s="9">
        <v>10</v>
      </c>
      <c r="AO501" s="9">
        <v>0</v>
      </c>
      <c r="AQ501" s="8"/>
    </row>
    <row r="502" spans="1:43" x14ac:dyDescent="0.3">
      <c r="A502">
        <v>49</v>
      </c>
      <c r="B502" t="s">
        <v>1639</v>
      </c>
      <c r="C502">
        <v>42</v>
      </c>
      <c r="D502" t="s">
        <v>1640</v>
      </c>
      <c r="I502"/>
      <c r="J502"/>
      <c r="K502">
        <v>1</v>
      </c>
      <c r="N502">
        <v>1.7111655261748435E-2</v>
      </c>
      <c r="O502" s="3">
        <v>0</v>
      </c>
      <c r="P502">
        <v>50</v>
      </c>
      <c r="Q502">
        <v>7.8</v>
      </c>
      <c r="R502" t="s">
        <v>102</v>
      </c>
      <c r="T502" s="6">
        <f>10^-(14-Q502)</f>
        <v>6.3095734448019254E-7</v>
      </c>
      <c r="U502" s="6">
        <v>0</v>
      </c>
      <c r="V502" s="6">
        <v>0</v>
      </c>
      <c r="W502" s="6">
        <v>0</v>
      </c>
      <c r="X502" s="6">
        <v>0</v>
      </c>
      <c r="Y502" t="s">
        <v>171</v>
      </c>
      <c r="Z502"/>
      <c r="AA502"/>
      <c r="AB502"/>
      <c r="AC502"/>
      <c r="AD502">
        <v>0.1</v>
      </c>
      <c r="AE502">
        <v>218</v>
      </c>
      <c r="AF502">
        <v>1</v>
      </c>
      <c r="AG502" s="9">
        <v>0.03</v>
      </c>
      <c r="AH502" s="9">
        <v>1</v>
      </c>
      <c r="AI502" s="9">
        <v>1</v>
      </c>
      <c r="AJ502" s="9">
        <v>4.4999999999999998E-2</v>
      </c>
      <c r="AK502" s="9">
        <v>0.02</v>
      </c>
      <c r="AL502" s="9">
        <v>18</v>
      </c>
      <c r="AM502" s="9">
        <v>10</v>
      </c>
      <c r="AO502" s="9">
        <v>0</v>
      </c>
      <c r="AQ502" s="8"/>
    </row>
    <row r="503" spans="1:43" x14ac:dyDescent="0.3">
      <c r="A503">
        <v>49</v>
      </c>
      <c r="B503" t="s">
        <v>1639</v>
      </c>
      <c r="C503">
        <v>42</v>
      </c>
      <c r="D503" t="s">
        <v>1640</v>
      </c>
      <c r="I503"/>
      <c r="J503"/>
      <c r="K503">
        <v>1</v>
      </c>
      <c r="N503">
        <v>8.5558276308742159E-2</v>
      </c>
      <c r="O503" s="3">
        <v>0</v>
      </c>
      <c r="P503">
        <v>50</v>
      </c>
      <c r="Q503">
        <v>7.8</v>
      </c>
      <c r="R503" t="s">
        <v>102</v>
      </c>
      <c r="T503" s="6">
        <f>10^-(14-Q503)</f>
        <v>6.3095734448019254E-7</v>
      </c>
      <c r="U503" s="6">
        <v>0</v>
      </c>
      <c r="V503" s="6">
        <v>0</v>
      </c>
      <c r="W503" s="6">
        <v>0</v>
      </c>
      <c r="X503" s="6">
        <v>0</v>
      </c>
      <c r="Y503" t="s">
        <v>171</v>
      </c>
      <c r="Z503"/>
      <c r="AA503"/>
      <c r="AB503"/>
      <c r="AC503"/>
      <c r="AD503">
        <v>0.1</v>
      </c>
      <c r="AE503">
        <v>140</v>
      </c>
      <c r="AF503">
        <v>1</v>
      </c>
      <c r="AG503" s="9">
        <v>0.03</v>
      </c>
      <c r="AH503" s="9">
        <v>1</v>
      </c>
      <c r="AI503" s="9">
        <v>1</v>
      </c>
      <c r="AJ503" s="9">
        <v>4.4999999999999998E-2</v>
      </c>
      <c r="AK503" s="9">
        <v>0.02</v>
      </c>
      <c r="AL503" s="9">
        <v>18</v>
      </c>
      <c r="AM503" s="9">
        <v>10</v>
      </c>
      <c r="AO503" s="9">
        <v>0</v>
      </c>
      <c r="AQ503" s="8"/>
    </row>
    <row r="504" spans="1:43" x14ac:dyDescent="0.3">
      <c r="A504">
        <v>49</v>
      </c>
      <c r="B504" t="s">
        <v>1639</v>
      </c>
      <c r="C504">
        <v>42</v>
      </c>
      <c r="D504" t="s">
        <v>1640</v>
      </c>
      <c r="I504"/>
      <c r="J504"/>
      <c r="K504">
        <v>1</v>
      </c>
      <c r="N504">
        <v>0.54600000000000004</v>
      </c>
      <c r="O504" s="3">
        <v>0</v>
      </c>
      <c r="P504">
        <v>50</v>
      </c>
      <c r="Q504">
        <v>8.1999999999999993</v>
      </c>
      <c r="R504" t="s">
        <v>102</v>
      </c>
      <c r="T504" s="6">
        <f>10^-(14-Q504)</f>
        <v>1.5848931924611084E-6</v>
      </c>
      <c r="U504" s="6">
        <v>0</v>
      </c>
      <c r="V504" s="6">
        <v>0</v>
      </c>
      <c r="W504" s="6">
        <v>0</v>
      </c>
      <c r="X504" s="6">
        <v>0</v>
      </c>
      <c r="Y504" t="s">
        <v>171</v>
      </c>
      <c r="Z504"/>
      <c r="AA504"/>
      <c r="AB504"/>
      <c r="AC504"/>
      <c r="AD504">
        <v>0.1</v>
      </c>
      <c r="AE504">
        <v>94</v>
      </c>
      <c r="AF504">
        <v>1</v>
      </c>
      <c r="AG504" s="9">
        <v>0.03</v>
      </c>
      <c r="AH504" s="9">
        <v>1</v>
      </c>
      <c r="AI504" s="9">
        <v>1</v>
      </c>
      <c r="AJ504" s="9">
        <v>4.4999999999999998E-2</v>
      </c>
      <c r="AK504" s="9">
        <v>0.02</v>
      </c>
      <c r="AL504" s="9">
        <v>18</v>
      </c>
      <c r="AM504" s="9">
        <v>10</v>
      </c>
      <c r="AQ504" s="1"/>
    </row>
    <row r="505" spans="1:43" x14ac:dyDescent="0.3">
      <c r="A505">
        <v>49</v>
      </c>
      <c r="B505" t="s">
        <v>1639</v>
      </c>
      <c r="C505">
        <v>42</v>
      </c>
      <c r="D505" t="s">
        <v>1642</v>
      </c>
      <c r="I505"/>
      <c r="J505"/>
      <c r="K505">
        <v>1</v>
      </c>
      <c r="N505">
        <v>5.1334965785245308E-3</v>
      </c>
      <c r="O505" s="3">
        <v>0</v>
      </c>
      <c r="P505">
        <v>50</v>
      </c>
      <c r="Q505">
        <v>7.8</v>
      </c>
      <c r="R505" t="s">
        <v>102</v>
      </c>
      <c r="T505" s="6">
        <f>10^-(14-Q505)</f>
        <v>6.3095734448019254E-7</v>
      </c>
      <c r="U505" s="6">
        <v>0</v>
      </c>
      <c r="V505" s="6">
        <v>0</v>
      </c>
      <c r="W505" s="6">
        <v>0</v>
      </c>
      <c r="X505" s="6">
        <v>0</v>
      </c>
      <c r="Y505" t="s">
        <v>171</v>
      </c>
      <c r="Z505"/>
      <c r="AA505"/>
      <c r="AB505"/>
      <c r="AC505"/>
      <c r="AD505">
        <v>0.1</v>
      </c>
      <c r="AE505">
        <v>720</v>
      </c>
      <c r="AF505">
        <v>1</v>
      </c>
      <c r="AG505" s="9">
        <v>0.02</v>
      </c>
      <c r="AH505" s="9">
        <v>2</v>
      </c>
      <c r="AI505" s="9">
        <v>1</v>
      </c>
      <c r="AJ505" s="9">
        <v>4.4999999999999998E-2</v>
      </c>
      <c r="AK505" s="9">
        <v>0.2</v>
      </c>
      <c r="AL505" s="9">
        <v>18</v>
      </c>
      <c r="AM505" s="9">
        <v>13</v>
      </c>
      <c r="AN505" s="9">
        <v>3</v>
      </c>
      <c r="AQ505" s="1"/>
    </row>
    <row r="506" spans="1:43" x14ac:dyDescent="0.3">
      <c r="A506">
        <v>49</v>
      </c>
      <c r="B506" t="s">
        <v>1639</v>
      </c>
      <c r="C506">
        <v>42</v>
      </c>
      <c r="D506" t="s">
        <v>1642</v>
      </c>
      <c r="I506"/>
      <c r="J506"/>
      <c r="K506">
        <v>1</v>
      </c>
      <c r="N506">
        <v>8.5558276308742177E-3</v>
      </c>
      <c r="O506" s="3">
        <v>0</v>
      </c>
      <c r="P506">
        <v>50</v>
      </c>
      <c r="Q506">
        <v>7.8</v>
      </c>
      <c r="R506" t="s">
        <v>102</v>
      </c>
      <c r="T506" s="6">
        <f>10^-(14-Q506)</f>
        <v>6.3095734448019254E-7</v>
      </c>
      <c r="U506" s="6">
        <v>0</v>
      </c>
      <c r="V506" s="6">
        <v>0</v>
      </c>
      <c r="W506" s="6">
        <v>0</v>
      </c>
      <c r="X506" s="6">
        <v>0</v>
      </c>
      <c r="Y506" t="s">
        <v>171</v>
      </c>
      <c r="Z506"/>
      <c r="AA506"/>
      <c r="AB506"/>
      <c r="AC506"/>
      <c r="AD506">
        <v>0.1</v>
      </c>
      <c r="AE506">
        <v>647</v>
      </c>
      <c r="AF506">
        <v>1</v>
      </c>
      <c r="AG506" s="9">
        <v>0.02</v>
      </c>
      <c r="AH506" s="9">
        <v>2</v>
      </c>
      <c r="AI506" s="9">
        <v>1</v>
      </c>
      <c r="AJ506" s="9">
        <v>4.4999999999999998E-2</v>
      </c>
      <c r="AK506" s="9">
        <v>0.2</v>
      </c>
      <c r="AL506" s="9">
        <v>18</v>
      </c>
      <c r="AM506" s="9">
        <v>13</v>
      </c>
      <c r="AN506" s="9">
        <v>3</v>
      </c>
      <c r="AQ506" s="1"/>
    </row>
    <row r="507" spans="1:43" x14ac:dyDescent="0.3">
      <c r="A507">
        <v>49</v>
      </c>
      <c r="B507" t="s">
        <v>1639</v>
      </c>
      <c r="C507">
        <v>42</v>
      </c>
      <c r="D507" t="s">
        <v>1642</v>
      </c>
      <c r="I507"/>
      <c r="J507"/>
      <c r="K507">
        <v>1</v>
      </c>
      <c r="N507">
        <v>1.7111655261748435E-2</v>
      </c>
      <c r="O507" s="3">
        <v>0</v>
      </c>
      <c r="P507">
        <v>50</v>
      </c>
      <c r="Q507">
        <v>7.8</v>
      </c>
      <c r="R507" t="s">
        <v>102</v>
      </c>
      <c r="T507" s="6">
        <f>10^-(14-Q507)</f>
        <v>6.3095734448019254E-7</v>
      </c>
      <c r="U507" s="6">
        <v>0</v>
      </c>
      <c r="V507" s="6">
        <v>0</v>
      </c>
      <c r="W507" s="6">
        <v>0</v>
      </c>
      <c r="X507" s="6">
        <v>0</v>
      </c>
      <c r="Y507" t="s">
        <v>171</v>
      </c>
      <c r="Z507"/>
      <c r="AA507"/>
      <c r="AB507"/>
      <c r="AC507"/>
      <c r="AD507">
        <v>0.1</v>
      </c>
      <c r="AE507">
        <v>556</v>
      </c>
      <c r="AF507">
        <v>1</v>
      </c>
      <c r="AG507" s="9">
        <v>0.02</v>
      </c>
      <c r="AH507" s="9">
        <v>2</v>
      </c>
      <c r="AI507" s="9">
        <v>1</v>
      </c>
      <c r="AJ507" s="9">
        <v>4.4999999999999998E-2</v>
      </c>
      <c r="AK507" s="9">
        <v>0.2</v>
      </c>
      <c r="AL507" s="9">
        <v>18</v>
      </c>
      <c r="AM507" s="9">
        <v>13</v>
      </c>
      <c r="AN507" s="9">
        <v>3</v>
      </c>
      <c r="AQ507" s="1"/>
    </row>
    <row r="508" spans="1:43" x14ac:dyDescent="0.3">
      <c r="A508">
        <v>49</v>
      </c>
      <c r="B508" t="s">
        <v>1639</v>
      </c>
      <c r="C508">
        <v>42</v>
      </c>
      <c r="D508" t="s">
        <v>1642</v>
      </c>
      <c r="I508"/>
      <c r="J508"/>
      <c r="K508">
        <v>1</v>
      </c>
      <c r="N508">
        <v>8.5558276308742159E-2</v>
      </c>
      <c r="O508" s="3">
        <v>0</v>
      </c>
      <c r="P508">
        <v>50</v>
      </c>
      <c r="Q508">
        <v>7.8</v>
      </c>
      <c r="R508" t="s">
        <v>102</v>
      </c>
      <c r="T508" s="6">
        <f>10^-(14-Q508)</f>
        <v>6.3095734448019254E-7</v>
      </c>
      <c r="U508" s="6">
        <v>0</v>
      </c>
      <c r="V508" s="6">
        <v>0</v>
      </c>
      <c r="W508" s="6">
        <v>0</v>
      </c>
      <c r="X508" s="6">
        <v>0</v>
      </c>
      <c r="Y508" t="s">
        <v>171</v>
      </c>
      <c r="Z508"/>
      <c r="AA508"/>
      <c r="AB508"/>
      <c r="AC508"/>
      <c r="AD508">
        <v>0.1</v>
      </c>
      <c r="AE508">
        <v>275</v>
      </c>
      <c r="AF508">
        <v>1</v>
      </c>
      <c r="AG508" s="9">
        <v>0.02</v>
      </c>
      <c r="AH508" s="9">
        <v>2</v>
      </c>
      <c r="AI508" s="9">
        <v>1</v>
      </c>
      <c r="AJ508" s="9">
        <v>4.4999999999999998E-2</v>
      </c>
      <c r="AK508" s="9">
        <v>0.2</v>
      </c>
      <c r="AL508" s="9">
        <v>18</v>
      </c>
      <c r="AM508" s="9">
        <v>13</v>
      </c>
      <c r="AN508" s="9">
        <v>3</v>
      </c>
      <c r="AQ508" s="1"/>
    </row>
    <row r="509" spans="1:43" x14ac:dyDescent="0.3">
      <c r="A509">
        <v>49</v>
      </c>
      <c r="B509" t="s">
        <v>1639</v>
      </c>
      <c r="C509">
        <v>42</v>
      </c>
      <c r="D509" t="s">
        <v>1642</v>
      </c>
      <c r="I509"/>
      <c r="J509"/>
      <c r="K509">
        <v>1</v>
      </c>
      <c r="N509">
        <v>0.54600000000000004</v>
      </c>
      <c r="O509" s="3">
        <v>0</v>
      </c>
      <c r="P509">
        <v>50</v>
      </c>
      <c r="Q509">
        <v>8.1999999999999993</v>
      </c>
      <c r="R509" t="s">
        <v>102</v>
      </c>
      <c r="T509" s="6">
        <f>10^-(14-Q509)</f>
        <v>1.5848931924611084E-6</v>
      </c>
      <c r="U509" s="6">
        <v>0</v>
      </c>
      <c r="V509" s="6">
        <v>0</v>
      </c>
      <c r="W509" s="6">
        <v>0</v>
      </c>
      <c r="X509" s="6">
        <v>0</v>
      </c>
      <c r="Y509" t="s">
        <v>171</v>
      </c>
      <c r="Z509"/>
      <c r="AA509"/>
      <c r="AB509"/>
      <c r="AC509"/>
      <c r="AD509">
        <v>0.1</v>
      </c>
      <c r="AE509">
        <v>204</v>
      </c>
      <c r="AF509">
        <v>1</v>
      </c>
      <c r="AG509" s="9">
        <v>0.02</v>
      </c>
      <c r="AH509" s="9">
        <v>2</v>
      </c>
      <c r="AI509" s="9">
        <v>1</v>
      </c>
      <c r="AJ509" s="9">
        <v>4.4999999999999998E-2</v>
      </c>
      <c r="AK509" s="9">
        <v>0.2</v>
      </c>
      <c r="AL509" s="9">
        <v>18</v>
      </c>
      <c r="AM509" s="9">
        <v>13</v>
      </c>
      <c r="AN509" s="9">
        <v>3</v>
      </c>
      <c r="AQ509" s="1"/>
    </row>
    <row r="510" spans="1:43" x14ac:dyDescent="0.3">
      <c r="A510">
        <v>49</v>
      </c>
      <c r="B510" t="s">
        <v>1639</v>
      </c>
      <c r="C510">
        <v>42</v>
      </c>
      <c r="D510" t="s">
        <v>1650</v>
      </c>
      <c r="I510"/>
      <c r="J510"/>
      <c r="K510">
        <v>1</v>
      </c>
      <c r="N510">
        <v>5.1334965785245308E-3</v>
      </c>
      <c r="O510" s="3">
        <v>0</v>
      </c>
      <c r="P510">
        <v>50</v>
      </c>
      <c r="Q510">
        <v>7.8</v>
      </c>
      <c r="R510" t="s">
        <v>102</v>
      </c>
      <c r="T510" s="6">
        <f>10^-(14-Q510)</f>
        <v>6.3095734448019254E-7</v>
      </c>
      <c r="U510" s="6">
        <v>0</v>
      </c>
      <c r="V510" s="6">
        <v>0</v>
      </c>
      <c r="W510" s="6">
        <v>0</v>
      </c>
      <c r="X510" s="6">
        <v>0</v>
      </c>
      <c r="Y510" t="s">
        <v>171</v>
      </c>
      <c r="Z510"/>
      <c r="AA510"/>
      <c r="AB510"/>
      <c r="AC510"/>
      <c r="AD510">
        <v>0.1</v>
      </c>
      <c r="AE510">
        <v>912</v>
      </c>
      <c r="AF510">
        <v>1</v>
      </c>
      <c r="AG510" s="9">
        <v>0.02</v>
      </c>
      <c r="AH510" s="9">
        <v>0.4</v>
      </c>
      <c r="AI510" s="9">
        <v>0.4</v>
      </c>
      <c r="AL510" s="9">
        <v>19</v>
      </c>
      <c r="AM510" s="9">
        <v>33</v>
      </c>
      <c r="AN510" s="9">
        <v>2</v>
      </c>
      <c r="AQ510" s="1"/>
    </row>
    <row r="511" spans="1:43" x14ac:dyDescent="0.3">
      <c r="A511">
        <v>49</v>
      </c>
      <c r="B511" t="s">
        <v>1639</v>
      </c>
      <c r="C511">
        <v>42</v>
      </c>
      <c r="D511" t="s">
        <v>1650</v>
      </c>
      <c r="I511"/>
      <c r="J511"/>
      <c r="K511">
        <v>1</v>
      </c>
      <c r="N511">
        <v>8.5558276308742177E-3</v>
      </c>
      <c r="O511" s="3">
        <v>0</v>
      </c>
      <c r="P511">
        <v>50</v>
      </c>
      <c r="Q511">
        <v>7.8</v>
      </c>
      <c r="R511" t="s">
        <v>102</v>
      </c>
      <c r="T511" s="6">
        <f>10^-(14-Q511)</f>
        <v>6.3095734448019254E-7</v>
      </c>
      <c r="U511" s="6">
        <v>0</v>
      </c>
      <c r="V511" s="6">
        <v>0</v>
      </c>
      <c r="W511" s="6">
        <v>0</v>
      </c>
      <c r="X511" s="6">
        <v>0</v>
      </c>
      <c r="Y511" t="s">
        <v>171</v>
      </c>
      <c r="Z511"/>
      <c r="AA511"/>
      <c r="AB511"/>
      <c r="AC511"/>
      <c r="AD511">
        <v>0.1</v>
      </c>
      <c r="AE511">
        <v>631</v>
      </c>
      <c r="AF511">
        <v>1</v>
      </c>
      <c r="AG511" s="9">
        <v>0.02</v>
      </c>
      <c r="AH511" s="9">
        <v>0.4</v>
      </c>
      <c r="AI511" s="9">
        <v>0.4</v>
      </c>
      <c r="AL511" s="9">
        <v>19</v>
      </c>
      <c r="AM511" s="9">
        <v>33</v>
      </c>
      <c r="AN511" s="9">
        <v>2</v>
      </c>
      <c r="AQ511" s="1"/>
    </row>
    <row r="512" spans="1:43" x14ac:dyDescent="0.3">
      <c r="A512">
        <v>49</v>
      </c>
      <c r="B512" t="s">
        <v>1639</v>
      </c>
      <c r="C512">
        <v>42</v>
      </c>
      <c r="D512" t="s">
        <v>1650</v>
      </c>
      <c r="I512"/>
      <c r="J512"/>
      <c r="K512">
        <v>1</v>
      </c>
      <c r="N512">
        <v>1.7111655261748435E-2</v>
      </c>
      <c r="O512" s="3">
        <v>0</v>
      </c>
      <c r="P512">
        <v>50</v>
      </c>
      <c r="Q512">
        <v>7.8</v>
      </c>
      <c r="R512" t="s">
        <v>102</v>
      </c>
      <c r="T512" s="6">
        <f>10^-(14-Q512)</f>
        <v>6.3095734448019254E-7</v>
      </c>
      <c r="U512" s="6">
        <v>0</v>
      </c>
      <c r="V512" s="6">
        <v>0</v>
      </c>
      <c r="W512" s="6">
        <v>0</v>
      </c>
      <c r="X512" s="6">
        <v>0</v>
      </c>
      <c r="Y512" t="s">
        <v>171</v>
      </c>
      <c r="Z512"/>
      <c r="AA512"/>
      <c r="AB512"/>
      <c r="AC512"/>
      <c r="AD512">
        <v>0.1</v>
      </c>
      <c r="AE512">
        <v>761</v>
      </c>
      <c r="AF512">
        <v>1</v>
      </c>
      <c r="AG512" s="9">
        <v>0.02</v>
      </c>
      <c r="AH512" s="9">
        <v>0.4</v>
      </c>
      <c r="AI512" s="9">
        <v>0.4</v>
      </c>
      <c r="AL512" s="9">
        <v>19</v>
      </c>
      <c r="AM512" s="9">
        <v>33</v>
      </c>
      <c r="AN512" s="9">
        <v>2</v>
      </c>
      <c r="AQ512" s="1"/>
    </row>
    <row r="513" spans="1:43" x14ac:dyDescent="0.3">
      <c r="A513">
        <v>49</v>
      </c>
      <c r="B513" t="s">
        <v>1639</v>
      </c>
      <c r="C513">
        <v>42</v>
      </c>
      <c r="D513" t="s">
        <v>1650</v>
      </c>
      <c r="I513"/>
      <c r="J513"/>
      <c r="K513">
        <v>1</v>
      </c>
      <c r="N513">
        <v>8.5558276308742159E-2</v>
      </c>
      <c r="O513" s="3">
        <v>0</v>
      </c>
      <c r="P513">
        <v>50</v>
      </c>
      <c r="Q513">
        <v>7.8</v>
      </c>
      <c r="R513" t="s">
        <v>102</v>
      </c>
      <c r="T513" s="6">
        <f>10^-(14-Q513)</f>
        <v>6.3095734448019254E-7</v>
      </c>
      <c r="U513" s="6">
        <v>0</v>
      </c>
      <c r="V513" s="6">
        <v>0</v>
      </c>
      <c r="W513" s="6">
        <v>0</v>
      </c>
      <c r="X513" s="6">
        <v>0</v>
      </c>
      <c r="Y513" t="s">
        <v>171</v>
      </c>
      <c r="Z513"/>
      <c r="AA513"/>
      <c r="AB513"/>
      <c r="AC513"/>
      <c r="AD513">
        <v>0.1</v>
      </c>
      <c r="AE513">
        <v>830</v>
      </c>
      <c r="AF513">
        <v>1</v>
      </c>
      <c r="AG513" s="9">
        <v>0.02</v>
      </c>
      <c r="AH513" s="9">
        <v>0.4</v>
      </c>
      <c r="AI513" s="9">
        <v>0.4</v>
      </c>
      <c r="AL513" s="9">
        <v>19</v>
      </c>
      <c r="AM513" s="9">
        <v>33</v>
      </c>
      <c r="AN513" s="9">
        <v>2</v>
      </c>
      <c r="AQ513" s="1"/>
    </row>
    <row r="514" spans="1:43" x14ac:dyDescent="0.3">
      <c r="A514">
        <v>49</v>
      </c>
      <c r="B514" t="s">
        <v>1639</v>
      </c>
      <c r="C514">
        <v>42</v>
      </c>
      <c r="D514" t="s">
        <v>1650</v>
      </c>
      <c r="I514"/>
      <c r="J514"/>
      <c r="K514">
        <v>1</v>
      </c>
      <c r="N514">
        <v>0.54600000000000004</v>
      </c>
      <c r="O514" s="3">
        <v>0</v>
      </c>
      <c r="P514">
        <v>50</v>
      </c>
      <c r="Q514">
        <v>8.1999999999999993</v>
      </c>
      <c r="R514" t="s">
        <v>102</v>
      </c>
      <c r="T514" s="6">
        <f>10^-(14-Q514)</f>
        <v>1.5848931924611084E-6</v>
      </c>
      <c r="U514" s="6">
        <v>0</v>
      </c>
      <c r="V514" s="6">
        <v>0</v>
      </c>
      <c r="W514" s="6">
        <v>0</v>
      </c>
      <c r="X514" s="6">
        <v>0</v>
      </c>
      <c r="Y514" t="s">
        <v>171</v>
      </c>
      <c r="Z514"/>
      <c r="AA514"/>
      <c r="AB514"/>
      <c r="AC514"/>
      <c r="AD514">
        <v>0.1</v>
      </c>
      <c r="AE514">
        <v>538</v>
      </c>
      <c r="AF514">
        <v>1</v>
      </c>
      <c r="AG514" s="9">
        <v>0.02</v>
      </c>
      <c r="AH514" s="9">
        <v>0.4</v>
      </c>
      <c r="AI514" s="9">
        <v>0.4</v>
      </c>
      <c r="AL514" s="9">
        <v>19</v>
      </c>
      <c r="AM514" s="9">
        <v>33</v>
      </c>
      <c r="AN514" s="9">
        <v>2</v>
      </c>
      <c r="AQ514" s="1"/>
    </row>
    <row r="515" spans="1:43" x14ac:dyDescent="0.3">
      <c r="A515">
        <v>49</v>
      </c>
      <c r="B515" t="s">
        <v>1639</v>
      </c>
      <c r="C515">
        <v>42</v>
      </c>
      <c r="D515" t="s">
        <v>1643</v>
      </c>
      <c r="I515"/>
      <c r="J515"/>
      <c r="K515">
        <v>1</v>
      </c>
      <c r="N515">
        <v>5.1334965785245308E-3</v>
      </c>
      <c r="O515" s="3">
        <v>0</v>
      </c>
      <c r="P515">
        <v>50</v>
      </c>
      <c r="Q515">
        <v>7.8</v>
      </c>
      <c r="R515" t="s">
        <v>102</v>
      </c>
      <c r="T515" s="6">
        <f>10^-(14-Q515)</f>
        <v>6.3095734448019254E-7</v>
      </c>
      <c r="U515" s="6">
        <v>0</v>
      </c>
      <c r="V515" s="6">
        <v>0</v>
      </c>
      <c r="W515" s="6">
        <v>0</v>
      </c>
      <c r="X515" s="6">
        <v>0</v>
      </c>
      <c r="Y515" t="s">
        <v>171</v>
      </c>
      <c r="Z515"/>
      <c r="AA515"/>
      <c r="AB515"/>
      <c r="AC515"/>
      <c r="AD515">
        <v>0.1</v>
      </c>
      <c r="AE515">
        <v>876</v>
      </c>
      <c r="AF515">
        <v>1</v>
      </c>
      <c r="AG515" s="9">
        <v>0.02</v>
      </c>
      <c r="AH515" s="9">
        <v>1.5</v>
      </c>
      <c r="AJ515" s="9">
        <v>4.4999999999999998E-2</v>
      </c>
      <c r="AK515" s="9">
        <v>0.2</v>
      </c>
      <c r="AL515" s="9">
        <v>20</v>
      </c>
      <c r="AM515" s="9">
        <v>24.5</v>
      </c>
      <c r="AN515" s="9">
        <v>5</v>
      </c>
      <c r="AQ515" s="1"/>
    </row>
    <row r="516" spans="1:43" x14ac:dyDescent="0.3">
      <c r="A516">
        <v>49</v>
      </c>
      <c r="B516" t="s">
        <v>1639</v>
      </c>
      <c r="C516">
        <v>42</v>
      </c>
      <c r="D516" t="s">
        <v>1643</v>
      </c>
      <c r="I516"/>
      <c r="J516"/>
      <c r="K516">
        <v>1</v>
      </c>
      <c r="N516">
        <v>8.5558276308742177E-3</v>
      </c>
      <c r="O516" s="3">
        <v>0</v>
      </c>
      <c r="P516">
        <v>50</v>
      </c>
      <c r="Q516">
        <v>7.8</v>
      </c>
      <c r="R516" t="s">
        <v>102</v>
      </c>
      <c r="T516" s="6">
        <f>10^-(14-Q516)</f>
        <v>6.3095734448019254E-7</v>
      </c>
      <c r="U516" s="6">
        <v>0</v>
      </c>
      <c r="V516" s="6">
        <v>0</v>
      </c>
      <c r="W516" s="6">
        <v>0</v>
      </c>
      <c r="X516" s="6">
        <v>0</v>
      </c>
      <c r="Y516" t="s">
        <v>171</v>
      </c>
      <c r="Z516"/>
      <c r="AA516"/>
      <c r="AB516"/>
      <c r="AC516"/>
      <c r="AD516">
        <v>0.1</v>
      </c>
      <c r="AE516">
        <v>860</v>
      </c>
      <c r="AF516">
        <v>1</v>
      </c>
      <c r="AG516" s="9">
        <v>0.02</v>
      </c>
      <c r="AH516" s="9">
        <v>1.5</v>
      </c>
      <c r="AJ516" s="9">
        <v>4.4999999999999998E-2</v>
      </c>
      <c r="AK516" s="9">
        <v>0.2</v>
      </c>
      <c r="AL516" s="9">
        <v>20</v>
      </c>
      <c r="AM516" s="9">
        <v>24.5</v>
      </c>
      <c r="AN516" s="9">
        <v>5</v>
      </c>
      <c r="AQ516" s="1"/>
    </row>
    <row r="517" spans="1:43" x14ac:dyDescent="0.3">
      <c r="A517">
        <v>49</v>
      </c>
      <c r="B517" t="s">
        <v>1639</v>
      </c>
      <c r="C517">
        <v>42</v>
      </c>
      <c r="D517" t="s">
        <v>1643</v>
      </c>
      <c r="I517"/>
      <c r="J517"/>
      <c r="K517">
        <v>1</v>
      </c>
      <c r="N517">
        <v>1.7111655261748435E-2</v>
      </c>
      <c r="O517" s="3">
        <v>0</v>
      </c>
      <c r="P517">
        <v>50</v>
      </c>
      <c r="Q517">
        <v>7.8</v>
      </c>
      <c r="R517" t="s">
        <v>102</v>
      </c>
      <c r="T517" s="6">
        <f>10^-(14-Q517)</f>
        <v>6.3095734448019254E-7</v>
      </c>
      <c r="U517" s="6">
        <v>0</v>
      </c>
      <c r="V517" s="6">
        <v>0</v>
      </c>
      <c r="W517" s="6">
        <v>0</v>
      </c>
      <c r="X517" s="6">
        <v>0</v>
      </c>
      <c r="Y517" t="s">
        <v>171</v>
      </c>
      <c r="Z517"/>
      <c r="AA517"/>
      <c r="AB517"/>
      <c r="AC517"/>
      <c r="AD517">
        <v>0.1</v>
      </c>
      <c r="AE517">
        <v>780</v>
      </c>
      <c r="AF517">
        <v>1</v>
      </c>
      <c r="AG517" s="9">
        <v>0.02</v>
      </c>
      <c r="AH517" s="9">
        <v>1.5</v>
      </c>
      <c r="AJ517" s="9">
        <v>4.4999999999999998E-2</v>
      </c>
      <c r="AK517" s="9">
        <v>0.2</v>
      </c>
      <c r="AL517" s="9">
        <v>20</v>
      </c>
      <c r="AM517" s="9">
        <v>24.5</v>
      </c>
      <c r="AN517" s="9">
        <v>5</v>
      </c>
      <c r="AQ517" s="1"/>
    </row>
    <row r="518" spans="1:43" x14ac:dyDescent="0.3">
      <c r="A518">
        <v>49</v>
      </c>
      <c r="B518" t="s">
        <v>1639</v>
      </c>
      <c r="C518">
        <v>42</v>
      </c>
      <c r="D518" t="s">
        <v>1643</v>
      </c>
      <c r="I518"/>
      <c r="J518"/>
      <c r="K518">
        <v>1</v>
      </c>
      <c r="N518">
        <v>8.5558276308742159E-2</v>
      </c>
      <c r="O518" s="3">
        <v>0</v>
      </c>
      <c r="P518">
        <v>50</v>
      </c>
      <c r="Q518">
        <v>7.8</v>
      </c>
      <c r="R518" t="s">
        <v>102</v>
      </c>
      <c r="T518" s="6">
        <f>10^-(14-Q518)</f>
        <v>6.3095734448019254E-7</v>
      </c>
      <c r="U518" s="6">
        <v>0</v>
      </c>
      <c r="V518" s="6">
        <v>0</v>
      </c>
      <c r="W518" s="6">
        <v>0</v>
      </c>
      <c r="X518" s="6">
        <v>0</v>
      </c>
      <c r="Y518" t="s">
        <v>171</v>
      </c>
      <c r="Z518"/>
      <c r="AA518"/>
      <c r="AB518"/>
      <c r="AC518"/>
      <c r="AD518">
        <v>0.1</v>
      </c>
      <c r="AE518">
        <v>587</v>
      </c>
      <c r="AF518">
        <v>1</v>
      </c>
      <c r="AG518" s="9">
        <v>0.02</v>
      </c>
      <c r="AH518" s="9">
        <v>1.5</v>
      </c>
      <c r="AJ518" s="9">
        <v>4.4999999999999998E-2</v>
      </c>
      <c r="AK518" s="9">
        <v>0.2</v>
      </c>
      <c r="AL518" s="9">
        <v>20</v>
      </c>
      <c r="AM518" s="9">
        <v>24.5</v>
      </c>
      <c r="AN518" s="9">
        <v>5</v>
      </c>
      <c r="AQ518" s="1"/>
    </row>
    <row r="519" spans="1:43" x14ac:dyDescent="0.3">
      <c r="A519">
        <v>49</v>
      </c>
      <c r="B519" t="s">
        <v>1639</v>
      </c>
      <c r="C519">
        <v>42</v>
      </c>
      <c r="D519" t="s">
        <v>1643</v>
      </c>
      <c r="I519"/>
      <c r="J519"/>
      <c r="K519">
        <v>1</v>
      </c>
      <c r="N519">
        <v>0.54600000000000004</v>
      </c>
      <c r="O519" s="3">
        <v>0</v>
      </c>
      <c r="P519">
        <v>50</v>
      </c>
      <c r="Q519">
        <v>8.1999999999999993</v>
      </c>
      <c r="R519" t="s">
        <v>102</v>
      </c>
      <c r="T519" s="6">
        <f>10^-(14-Q519)</f>
        <v>1.5848931924611084E-6</v>
      </c>
      <c r="U519" s="6">
        <v>0</v>
      </c>
      <c r="V519" s="6">
        <v>0</v>
      </c>
      <c r="W519" s="6">
        <v>0</v>
      </c>
      <c r="X519" s="6">
        <v>0</v>
      </c>
      <c r="Y519" t="s">
        <v>171</v>
      </c>
      <c r="Z519"/>
      <c r="AA519"/>
      <c r="AB519"/>
      <c r="AC519"/>
      <c r="AD519">
        <v>0.1</v>
      </c>
      <c r="AE519">
        <v>427</v>
      </c>
      <c r="AF519">
        <v>1</v>
      </c>
      <c r="AG519" s="9">
        <v>0.02</v>
      </c>
      <c r="AH519" s="9">
        <v>1.5</v>
      </c>
      <c r="AJ519" s="9">
        <v>4.4999999999999998E-2</v>
      </c>
      <c r="AK519" s="9">
        <v>0.2</v>
      </c>
      <c r="AL519" s="9">
        <v>20</v>
      </c>
      <c r="AM519" s="9">
        <v>24.5</v>
      </c>
      <c r="AN519" s="9">
        <v>5</v>
      </c>
      <c r="AQ519" s="1"/>
    </row>
    <row r="520" spans="1:43" x14ac:dyDescent="0.3">
      <c r="A520">
        <v>49</v>
      </c>
      <c r="B520" t="s">
        <v>1639</v>
      </c>
      <c r="C520">
        <v>42</v>
      </c>
      <c r="D520" t="s">
        <v>1646</v>
      </c>
      <c r="I520"/>
      <c r="J520"/>
      <c r="K520">
        <v>1</v>
      </c>
      <c r="N520">
        <v>5.1334965785245308E-3</v>
      </c>
      <c r="O520" s="3">
        <v>0</v>
      </c>
      <c r="P520">
        <v>50</v>
      </c>
      <c r="Q520">
        <v>7.8</v>
      </c>
      <c r="R520" t="s">
        <v>102</v>
      </c>
      <c r="T520" s="6">
        <f>10^-(14-Q520)</f>
        <v>6.3095734448019254E-7</v>
      </c>
      <c r="U520" s="6">
        <v>0</v>
      </c>
      <c r="V520" s="6">
        <v>0</v>
      </c>
      <c r="W520" s="6">
        <v>0</v>
      </c>
      <c r="X520" s="6">
        <v>0</v>
      </c>
      <c r="Y520" t="s">
        <v>171</v>
      </c>
      <c r="Z520"/>
      <c r="AA520"/>
      <c r="AB520"/>
      <c r="AC520"/>
      <c r="AD520">
        <v>0.1</v>
      </c>
      <c r="AE520">
        <v>840</v>
      </c>
      <c r="AF520">
        <v>1</v>
      </c>
      <c r="AG520" s="9">
        <v>0.02</v>
      </c>
      <c r="AI520" s="9">
        <v>2E-3</v>
      </c>
      <c r="AL520" s="9">
        <v>20</v>
      </c>
      <c r="AM520" s="9">
        <v>18</v>
      </c>
      <c r="AN520" s="9">
        <v>6</v>
      </c>
      <c r="AO520" s="9">
        <v>0.2</v>
      </c>
      <c r="AQ520" s="1"/>
    </row>
    <row r="521" spans="1:43" x14ac:dyDescent="0.3">
      <c r="A521">
        <v>49</v>
      </c>
      <c r="B521" t="s">
        <v>1639</v>
      </c>
      <c r="C521">
        <v>42</v>
      </c>
      <c r="D521" t="s">
        <v>1646</v>
      </c>
      <c r="I521"/>
      <c r="J521"/>
      <c r="K521">
        <v>1</v>
      </c>
      <c r="N521">
        <v>8.5558276308742177E-3</v>
      </c>
      <c r="O521" s="3">
        <v>0</v>
      </c>
      <c r="P521">
        <v>50</v>
      </c>
      <c r="Q521">
        <v>7.8</v>
      </c>
      <c r="R521" t="s">
        <v>102</v>
      </c>
      <c r="T521" s="6">
        <f>10^-(14-Q521)</f>
        <v>6.3095734448019254E-7</v>
      </c>
      <c r="U521" s="6">
        <v>0</v>
      </c>
      <c r="V521" s="6">
        <v>0</v>
      </c>
      <c r="W521" s="6">
        <v>0</v>
      </c>
      <c r="X521" s="6">
        <v>0</v>
      </c>
      <c r="Y521" t="s">
        <v>171</v>
      </c>
      <c r="Z521"/>
      <c r="AA521"/>
      <c r="AB521"/>
      <c r="AC521"/>
      <c r="AD521">
        <v>0.1</v>
      </c>
      <c r="AE521">
        <v>830</v>
      </c>
      <c r="AF521">
        <v>1</v>
      </c>
      <c r="AG521" s="9">
        <v>0.02</v>
      </c>
      <c r="AI521" s="9">
        <v>2E-3</v>
      </c>
      <c r="AL521" s="9">
        <v>20</v>
      </c>
      <c r="AM521" s="9">
        <v>18</v>
      </c>
      <c r="AN521" s="9">
        <v>6</v>
      </c>
      <c r="AO521" s="9">
        <v>0.2</v>
      </c>
      <c r="AQ521" s="1"/>
    </row>
    <row r="522" spans="1:43" x14ac:dyDescent="0.3">
      <c r="A522">
        <v>49</v>
      </c>
      <c r="B522" t="s">
        <v>1639</v>
      </c>
      <c r="C522">
        <v>42</v>
      </c>
      <c r="D522" t="s">
        <v>1646</v>
      </c>
      <c r="I522"/>
      <c r="J522"/>
      <c r="K522">
        <v>1</v>
      </c>
      <c r="N522">
        <v>1.7111655261748435E-2</v>
      </c>
      <c r="O522" s="3">
        <v>0</v>
      </c>
      <c r="P522">
        <v>50</v>
      </c>
      <c r="Q522">
        <v>7.8</v>
      </c>
      <c r="R522" t="s">
        <v>102</v>
      </c>
      <c r="T522" s="6">
        <f>10^-(14-Q522)</f>
        <v>6.3095734448019254E-7</v>
      </c>
      <c r="U522" s="6">
        <v>0</v>
      </c>
      <c r="V522" s="6">
        <v>0</v>
      </c>
      <c r="W522" s="6">
        <v>0</v>
      </c>
      <c r="X522" s="6">
        <v>0</v>
      </c>
      <c r="Y522" t="s">
        <v>171</v>
      </c>
      <c r="Z522"/>
      <c r="AA522"/>
      <c r="AB522"/>
      <c r="AC522"/>
      <c r="AD522">
        <v>0.1</v>
      </c>
      <c r="AE522">
        <v>821</v>
      </c>
      <c r="AF522">
        <v>1</v>
      </c>
      <c r="AG522" s="9">
        <v>0.02</v>
      </c>
      <c r="AI522" s="9">
        <v>2E-3</v>
      </c>
      <c r="AL522" s="9">
        <v>20</v>
      </c>
      <c r="AM522" s="9">
        <v>18</v>
      </c>
      <c r="AN522" s="9">
        <v>6</v>
      </c>
      <c r="AO522" s="9">
        <v>0.2</v>
      </c>
      <c r="AQ522" s="1"/>
    </row>
    <row r="523" spans="1:43" x14ac:dyDescent="0.3">
      <c r="A523">
        <v>49</v>
      </c>
      <c r="B523" t="s">
        <v>1639</v>
      </c>
      <c r="C523">
        <v>42</v>
      </c>
      <c r="D523" t="s">
        <v>1646</v>
      </c>
      <c r="I523"/>
      <c r="J523"/>
      <c r="K523">
        <v>1</v>
      </c>
      <c r="N523">
        <v>8.5558276308742159E-2</v>
      </c>
      <c r="O523" s="3">
        <v>0</v>
      </c>
      <c r="P523">
        <v>50</v>
      </c>
      <c r="Q523">
        <v>7.8</v>
      </c>
      <c r="R523" t="s">
        <v>102</v>
      </c>
      <c r="T523" s="6">
        <f>10^-(14-Q523)</f>
        <v>6.3095734448019254E-7</v>
      </c>
      <c r="U523" s="6">
        <v>0</v>
      </c>
      <c r="V523" s="6">
        <v>0</v>
      </c>
      <c r="W523" s="6">
        <v>0</v>
      </c>
      <c r="X523" s="6">
        <v>0</v>
      </c>
      <c r="Y523" t="s">
        <v>171</v>
      </c>
      <c r="Z523"/>
      <c r="AA523"/>
      <c r="AB523"/>
      <c r="AC523"/>
      <c r="AD523">
        <v>0.1</v>
      </c>
      <c r="AE523">
        <v>785</v>
      </c>
      <c r="AF523">
        <v>1</v>
      </c>
      <c r="AG523" s="9">
        <v>0.02</v>
      </c>
      <c r="AI523" s="9">
        <v>2E-3</v>
      </c>
      <c r="AL523" s="9">
        <v>20</v>
      </c>
      <c r="AM523" s="9">
        <v>18</v>
      </c>
      <c r="AN523" s="9">
        <v>6</v>
      </c>
      <c r="AO523" s="9">
        <v>0.2</v>
      </c>
      <c r="AQ523" s="1"/>
    </row>
    <row r="524" spans="1:43" x14ac:dyDescent="0.3">
      <c r="A524">
        <v>49</v>
      </c>
      <c r="B524" t="s">
        <v>1639</v>
      </c>
      <c r="C524">
        <v>42</v>
      </c>
      <c r="D524" t="s">
        <v>1646</v>
      </c>
      <c r="I524"/>
      <c r="J524"/>
      <c r="K524">
        <v>1</v>
      </c>
      <c r="N524">
        <v>0.54600000000000004</v>
      </c>
      <c r="O524" s="3">
        <v>0</v>
      </c>
      <c r="P524">
        <v>50</v>
      </c>
      <c r="Q524">
        <v>8.1999999999999993</v>
      </c>
      <c r="R524" t="s">
        <v>102</v>
      </c>
      <c r="T524" s="6">
        <f>10^-(14-Q524)</f>
        <v>1.5848931924611084E-6</v>
      </c>
      <c r="U524" s="6">
        <v>0</v>
      </c>
      <c r="V524" s="6">
        <v>0</v>
      </c>
      <c r="W524" s="6">
        <v>0</v>
      </c>
      <c r="X524" s="6">
        <v>0</v>
      </c>
      <c r="Y524" t="s">
        <v>171</v>
      </c>
      <c r="Z524"/>
      <c r="AA524"/>
      <c r="AB524"/>
      <c r="AC524"/>
      <c r="AD524">
        <v>0.1</v>
      </c>
      <c r="AE524">
        <v>813</v>
      </c>
      <c r="AF524">
        <v>1</v>
      </c>
      <c r="AG524" s="9">
        <v>0.02</v>
      </c>
      <c r="AI524" s="9">
        <v>2E-3</v>
      </c>
      <c r="AL524" s="9">
        <v>20</v>
      </c>
      <c r="AM524" s="9">
        <v>18</v>
      </c>
      <c r="AN524" s="9">
        <v>6</v>
      </c>
      <c r="AO524" s="9">
        <v>0.2</v>
      </c>
      <c r="AQ524" s="1"/>
    </row>
    <row r="525" spans="1:43" x14ac:dyDescent="0.3">
      <c r="A525">
        <v>49</v>
      </c>
      <c r="B525" t="s">
        <v>1639</v>
      </c>
      <c r="C525">
        <v>42</v>
      </c>
      <c r="D525" t="s">
        <v>1648</v>
      </c>
      <c r="I525"/>
      <c r="J525"/>
      <c r="K525">
        <v>1</v>
      </c>
      <c r="N525">
        <v>5.1334965785245308E-3</v>
      </c>
      <c r="O525" s="3">
        <v>0</v>
      </c>
      <c r="P525">
        <v>50</v>
      </c>
      <c r="Q525">
        <v>7.8</v>
      </c>
      <c r="R525" t="s">
        <v>102</v>
      </c>
      <c r="T525" s="6">
        <f>10^-(14-Q525)</f>
        <v>6.3095734448019254E-7</v>
      </c>
      <c r="U525" s="6">
        <v>0</v>
      </c>
      <c r="V525" s="6">
        <v>0</v>
      </c>
      <c r="W525" s="6">
        <v>0</v>
      </c>
      <c r="X525" s="6">
        <v>0</v>
      </c>
      <c r="Y525" t="s">
        <v>171</v>
      </c>
      <c r="Z525"/>
      <c r="AA525"/>
      <c r="AB525"/>
      <c r="AC525"/>
      <c r="AD525">
        <v>0.1</v>
      </c>
      <c r="AE525">
        <v>917</v>
      </c>
      <c r="AF525">
        <v>1</v>
      </c>
      <c r="AG525" s="9">
        <v>0.01</v>
      </c>
      <c r="AH525" s="9">
        <v>0.9</v>
      </c>
      <c r="AI525" s="9">
        <v>2E-3</v>
      </c>
      <c r="AL525" s="9">
        <v>21</v>
      </c>
      <c r="AM525" s="9">
        <v>25</v>
      </c>
      <c r="AN525" s="9">
        <v>6</v>
      </c>
      <c r="AO525" s="9">
        <v>0.2</v>
      </c>
      <c r="AQ525" s="1"/>
    </row>
    <row r="526" spans="1:43" x14ac:dyDescent="0.3">
      <c r="A526">
        <v>49</v>
      </c>
      <c r="B526" t="s">
        <v>1639</v>
      </c>
      <c r="C526">
        <v>42</v>
      </c>
      <c r="D526" t="s">
        <v>1648</v>
      </c>
      <c r="I526"/>
      <c r="J526"/>
      <c r="K526">
        <v>1</v>
      </c>
      <c r="N526">
        <v>8.5558276308742177E-3</v>
      </c>
      <c r="O526" s="3">
        <v>0</v>
      </c>
      <c r="P526">
        <v>50</v>
      </c>
      <c r="Q526">
        <v>7.8</v>
      </c>
      <c r="R526" t="s">
        <v>102</v>
      </c>
      <c r="T526" s="6">
        <f>10^-(14-Q526)</f>
        <v>6.3095734448019254E-7</v>
      </c>
      <c r="U526" s="6">
        <v>0</v>
      </c>
      <c r="V526" s="6">
        <v>0</v>
      </c>
      <c r="W526" s="6">
        <v>0</v>
      </c>
      <c r="X526" s="6">
        <v>0</v>
      </c>
      <c r="Y526" t="s">
        <v>171</v>
      </c>
      <c r="Z526"/>
      <c r="AA526"/>
      <c r="AB526"/>
      <c r="AC526"/>
      <c r="AD526">
        <v>0.1</v>
      </c>
      <c r="AE526">
        <v>867</v>
      </c>
      <c r="AF526">
        <v>1</v>
      </c>
      <c r="AG526" s="9">
        <v>0.01</v>
      </c>
      <c r="AH526" s="9">
        <v>0.9</v>
      </c>
      <c r="AI526" s="9">
        <v>2E-3</v>
      </c>
      <c r="AL526" s="9">
        <v>21</v>
      </c>
      <c r="AM526" s="9">
        <v>25</v>
      </c>
      <c r="AN526" s="9">
        <v>6</v>
      </c>
      <c r="AO526" s="9">
        <v>0.2</v>
      </c>
      <c r="AQ526" s="1"/>
    </row>
    <row r="527" spans="1:43" x14ac:dyDescent="0.3">
      <c r="A527">
        <v>49</v>
      </c>
      <c r="B527" t="s">
        <v>1639</v>
      </c>
      <c r="C527">
        <v>42</v>
      </c>
      <c r="D527" t="s">
        <v>1648</v>
      </c>
      <c r="I527"/>
      <c r="J527"/>
      <c r="K527">
        <v>1</v>
      </c>
      <c r="N527">
        <v>1.7111655261748435E-2</v>
      </c>
      <c r="O527" s="3">
        <v>0</v>
      </c>
      <c r="P527">
        <v>50</v>
      </c>
      <c r="Q527">
        <v>7.8</v>
      </c>
      <c r="R527" t="s">
        <v>102</v>
      </c>
      <c r="T527" s="6">
        <f>10^-(14-Q527)</f>
        <v>6.3095734448019254E-7</v>
      </c>
      <c r="U527" s="6">
        <v>0</v>
      </c>
      <c r="V527" s="6">
        <v>0</v>
      </c>
      <c r="W527" s="6">
        <v>0</v>
      </c>
      <c r="X527" s="6">
        <v>0</v>
      </c>
      <c r="Y527" t="s">
        <v>171</v>
      </c>
      <c r="Z527"/>
      <c r="AA527"/>
      <c r="AB527"/>
      <c r="AC527"/>
      <c r="AD527">
        <v>0.1</v>
      </c>
      <c r="AE527">
        <v>738</v>
      </c>
      <c r="AF527">
        <v>1</v>
      </c>
      <c r="AG527" s="9">
        <v>0.01</v>
      </c>
      <c r="AH527" s="9">
        <v>0.9</v>
      </c>
      <c r="AI527" s="9">
        <v>2E-3</v>
      </c>
      <c r="AL527" s="9">
        <v>21</v>
      </c>
      <c r="AM527" s="9">
        <v>25</v>
      </c>
      <c r="AN527" s="9">
        <v>6</v>
      </c>
      <c r="AO527" s="9">
        <v>0.2</v>
      </c>
      <c r="AQ527" s="1"/>
    </row>
    <row r="528" spans="1:43" x14ac:dyDescent="0.3">
      <c r="A528">
        <v>49</v>
      </c>
      <c r="B528" t="s">
        <v>1639</v>
      </c>
      <c r="C528">
        <v>42</v>
      </c>
      <c r="D528" t="s">
        <v>1648</v>
      </c>
      <c r="I528"/>
      <c r="J528"/>
      <c r="K528">
        <v>1</v>
      </c>
      <c r="N528">
        <v>8.5558276308742159E-2</v>
      </c>
      <c r="O528" s="3">
        <v>0</v>
      </c>
      <c r="P528">
        <v>50</v>
      </c>
      <c r="Q528">
        <v>7.8</v>
      </c>
      <c r="R528" t="s">
        <v>102</v>
      </c>
      <c r="T528" s="6">
        <f>10^-(14-Q528)</f>
        <v>6.3095734448019254E-7</v>
      </c>
      <c r="U528" s="6">
        <v>0</v>
      </c>
      <c r="V528" s="6">
        <v>0</v>
      </c>
      <c r="W528" s="6">
        <v>0</v>
      </c>
      <c r="X528" s="6">
        <v>0</v>
      </c>
      <c r="Y528" t="s">
        <v>171</v>
      </c>
      <c r="Z528"/>
      <c r="AA528"/>
      <c r="AB528"/>
      <c r="AC528"/>
      <c r="AD528">
        <v>0.1</v>
      </c>
      <c r="AE528">
        <v>530</v>
      </c>
      <c r="AF528">
        <v>1</v>
      </c>
      <c r="AG528" s="9">
        <v>0.01</v>
      </c>
      <c r="AH528" s="9">
        <v>0.9</v>
      </c>
      <c r="AI528" s="9">
        <v>2E-3</v>
      </c>
      <c r="AL528" s="9">
        <v>21</v>
      </c>
      <c r="AM528" s="9">
        <v>25</v>
      </c>
      <c r="AN528" s="9">
        <v>6</v>
      </c>
      <c r="AO528" s="9">
        <v>0.2</v>
      </c>
      <c r="AQ528" s="1"/>
    </row>
    <row r="529" spans="1:43" x14ac:dyDescent="0.3">
      <c r="A529">
        <v>49</v>
      </c>
      <c r="B529" t="s">
        <v>1639</v>
      </c>
      <c r="C529">
        <v>42</v>
      </c>
      <c r="D529" t="s">
        <v>1648</v>
      </c>
      <c r="I529"/>
      <c r="J529"/>
      <c r="K529">
        <v>1</v>
      </c>
      <c r="N529">
        <v>0.54600000000000004</v>
      </c>
      <c r="O529" s="3">
        <v>0</v>
      </c>
      <c r="P529">
        <v>50</v>
      </c>
      <c r="Q529">
        <v>8.1999999999999993</v>
      </c>
      <c r="R529" t="s">
        <v>102</v>
      </c>
      <c r="T529" s="6">
        <f>10^-(14-Q529)</f>
        <v>1.5848931924611084E-6</v>
      </c>
      <c r="U529" s="6">
        <v>0</v>
      </c>
      <c r="V529" s="6">
        <v>0</v>
      </c>
      <c r="W529" s="6">
        <v>0</v>
      </c>
      <c r="X529" s="6">
        <v>0</v>
      </c>
      <c r="Y529" t="s">
        <v>171</v>
      </c>
      <c r="Z529"/>
      <c r="AA529"/>
      <c r="AB529"/>
      <c r="AC529"/>
      <c r="AD529">
        <v>0.1</v>
      </c>
      <c r="AE529">
        <v>1060</v>
      </c>
      <c r="AF529">
        <v>1</v>
      </c>
      <c r="AG529" s="9">
        <v>0.01</v>
      </c>
      <c r="AH529" s="9">
        <v>0.9</v>
      </c>
      <c r="AI529" s="9">
        <v>2E-3</v>
      </c>
      <c r="AL529" s="9">
        <v>21</v>
      </c>
      <c r="AM529" s="9">
        <v>25</v>
      </c>
      <c r="AN529" s="9">
        <v>6</v>
      </c>
      <c r="AO529" s="9">
        <v>0.2</v>
      </c>
      <c r="AQ529" s="1"/>
    </row>
    <row r="530" spans="1:43" x14ac:dyDescent="0.3">
      <c r="A530">
        <v>49</v>
      </c>
      <c r="B530" t="s">
        <v>1639</v>
      </c>
      <c r="C530">
        <v>42</v>
      </c>
      <c r="D530" t="s">
        <v>1652</v>
      </c>
      <c r="I530"/>
      <c r="J530"/>
      <c r="K530">
        <v>1</v>
      </c>
      <c r="N530">
        <v>5.1334965785245308E-3</v>
      </c>
      <c r="O530" s="3">
        <v>0</v>
      </c>
      <c r="P530">
        <v>50</v>
      </c>
      <c r="Q530">
        <v>7.8</v>
      </c>
      <c r="R530" t="s">
        <v>102</v>
      </c>
      <c r="T530" s="6">
        <f>10^-(14-Q530)</f>
        <v>6.3095734448019254E-7</v>
      </c>
      <c r="U530" s="6">
        <v>0</v>
      </c>
      <c r="V530" s="6">
        <v>0</v>
      </c>
      <c r="W530" s="6">
        <v>0</v>
      </c>
      <c r="X530" s="6">
        <v>0</v>
      </c>
      <c r="Y530" t="s">
        <v>171</v>
      </c>
      <c r="Z530"/>
      <c r="AA530"/>
      <c r="AB530"/>
      <c r="AC530"/>
      <c r="AD530">
        <v>0.1</v>
      </c>
      <c r="AE530">
        <v>885</v>
      </c>
      <c r="AF530">
        <v>1</v>
      </c>
      <c r="AG530" s="9">
        <v>0.02</v>
      </c>
      <c r="AH530" s="9">
        <v>1.5</v>
      </c>
      <c r="AL530" s="9">
        <v>22</v>
      </c>
      <c r="AM530" s="9">
        <v>6</v>
      </c>
      <c r="AN530" s="9">
        <v>3</v>
      </c>
      <c r="AQ530" s="1"/>
    </row>
    <row r="531" spans="1:43" x14ac:dyDescent="0.3">
      <c r="A531">
        <v>49</v>
      </c>
      <c r="B531" t="s">
        <v>1639</v>
      </c>
      <c r="C531">
        <v>42</v>
      </c>
      <c r="D531" t="s">
        <v>1652</v>
      </c>
      <c r="I531"/>
      <c r="J531"/>
      <c r="K531">
        <v>1</v>
      </c>
      <c r="N531">
        <v>8.5558276308742177E-3</v>
      </c>
      <c r="O531" s="3">
        <v>0</v>
      </c>
      <c r="P531">
        <v>50</v>
      </c>
      <c r="Q531">
        <v>7.8</v>
      </c>
      <c r="R531" t="s">
        <v>102</v>
      </c>
      <c r="T531" s="6">
        <f>10^-(14-Q531)</f>
        <v>6.3095734448019254E-7</v>
      </c>
      <c r="U531" s="6">
        <v>0</v>
      </c>
      <c r="V531" s="6">
        <v>0</v>
      </c>
      <c r="W531" s="6">
        <v>0</v>
      </c>
      <c r="X531" s="6">
        <v>0</v>
      </c>
      <c r="Y531" t="s">
        <v>171</v>
      </c>
      <c r="Z531"/>
      <c r="AA531"/>
      <c r="AB531"/>
      <c r="AC531"/>
      <c r="AD531">
        <v>0.1</v>
      </c>
      <c r="AE531">
        <v>855</v>
      </c>
      <c r="AF531">
        <v>1</v>
      </c>
      <c r="AG531" s="9">
        <v>0.02</v>
      </c>
      <c r="AH531" s="9">
        <v>1.5</v>
      </c>
      <c r="AL531" s="9">
        <v>22</v>
      </c>
      <c r="AM531" s="9">
        <v>6</v>
      </c>
      <c r="AN531" s="9">
        <v>3</v>
      </c>
      <c r="AQ531" s="1"/>
    </row>
    <row r="532" spans="1:43" x14ac:dyDescent="0.3">
      <c r="A532">
        <v>49</v>
      </c>
      <c r="B532" t="s">
        <v>1639</v>
      </c>
      <c r="C532">
        <v>42</v>
      </c>
      <c r="D532" t="s">
        <v>1652</v>
      </c>
      <c r="I532"/>
      <c r="J532"/>
      <c r="K532">
        <v>1</v>
      </c>
      <c r="N532">
        <v>1.7111655261748435E-2</v>
      </c>
      <c r="O532" s="3">
        <v>0</v>
      </c>
      <c r="P532">
        <v>50</v>
      </c>
      <c r="Q532">
        <v>7.8</v>
      </c>
      <c r="R532" t="s">
        <v>102</v>
      </c>
      <c r="T532" s="6">
        <f>10^-(14-Q532)</f>
        <v>6.3095734448019254E-7</v>
      </c>
      <c r="U532" s="6">
        <v>0</v>
      </c>
      <c r="V532" s="6">
        <v>0</v>
      </c>
      <c r="W532" s="6">
        <v>0</v>
      </c>
      <c r="X532" s="6">
        <v>0</v>
      </c>
      <c r="Y532" t="s">
        <v>171</v>
      </c>
      <c r="Z532"/>
      <c r="AA532"/>
      <c r="AB532"/>
      <c r="AC532"/>
      <c r="AD532">
        <v>0.1</v>
      </c>
      <c r="AE532">
        <v>872</v>
      </c>
      <c r="AF532">
        <v>1</v>
      </c>
      <c r="AG532" s="9">
        <v>0.02</v>
      </c>
      <c r="AH532" s="9">
        <v>1.5</v>
      </c>
      <c r="AL532" s="9">
        <v>22</v>
      </c>
      <c r="AM532" s="9">
        <v>6</v>
      </c>
      <c r="AN532" s="9">
        <v>3</v>
      </c>
      <c r="AQ532" s="1"/>
    </row>
    <row r="533" spans="1:43" x14ac:dyDescent="0.3">
      <c r="A533">
        <v>49</v>
      </c>
      <c r="B533" t="s">
        <v>1639</v>
      </c>
      <c r="C533">
        <v>42</v>
      </c>
      <c r="D533" t="s">
        <v>1652</v>
      </c>
      <c r="I533"/>
      <c r="J533"/>
      <c r="K533">
        <v>1</v>
      </c>
      <c r="N533">
        <v>8.5558276308742159E-2</v>
      </c>
      <c r="O533" s="3">
        <v>0</v>
      </c>
      <c r="P533">
        <v>50</v>
      </c>
      <c r="Q533">
        <v>7.8</v>
      </c>
      <c r="R533" t="s">
        <v>102</v>
      </c>
      <c r="T533" s="6">
        <f>10^-(14-Q533)</f>
        <v>6.3095734448019254E-7</v>
      </c>
      <c r="U533" s="6">
        <v>0</v>
      </c>
      <c r="V533" s="6">
        <v>0</v>
      </c>
      <c r="W533" s="6">
        <v>0</v>
      </c>
      <c r="X533" s="6">
        <v>0</v>
      </c>
      <c r="Y533" t="s">
        <v>171</v>
      </c>
      <c r="Z533"/>
      <c r="AA533"/>
      <c r="AB533"/>
      <c r="AC533"/>
      <c r="AD533">
        <v>0.1</v>
      </c>
      <c r="AE533">
        <v>851</v>
      </c>
      <c r="AF533">
        <v>1</v>
      </c>
      <c r="AG533" s="9">
        <v>0.02</v>
      </c>
      <c r="AH533" s="9">
        <v>1.5</v>
      </c>
      <c r="AL533" s="9">
        <v>22</v>
      </c>
      <c r="AM533" s="9">
        <v>6</v>
      </c>
      <c r="AN533" s="9">
        <v>3</v>
      </c>
      <c r="AQ533" s="1"/>
    </row>
    <row r="534" spans="1:43" x14ac:dyDescent="0.3">
      <c r="A534">
        <v>49</v>
      </c>
      <c r="B534" t="s">
        <v>1639</v>
      </c>
      <c r="C534">
        <v>42</v>
      </c>
      <c r="D534" t="s">
        <v>1652</v>
      </c>
      <c r="I534"/>
      <c r="J534"/>
      <c r="K534">
        <v>1</v>
      </c>
      <c r="N534">
        <v>0.54600000000000004</v>
      </c>
      <c r="O534" s="3">
        <v>0</v>
      </c>
      <c r="P534">
        <v>50</v>
      </c>
      <c r="Q534">
        <v>8.1999999999999993</v>
      </c>
      <c r="R534" t="s">
        <v>102</v>
      </c>
      <c r="T534" s="6">
        <f>10^-(14-Q534)</f>
        <v>1.5848931924611084E-6</v>
      </c>
      <c r="U534" s="6">
        <v>0</v>
      </c>
      <c r="V534" s="6">
        <v>0</v>
      </c>
      <c r="W534" s="6">
        <v>0</v>
      </c>
      <c r="X534" s="6">
        <v>0</v>
      </c>
      <c r="Y534" t="s">
        <v>171</v>
      </c>
      <c r="Z534"/>
      <c r="AA534"/>
      <c r="AB534"/>
      <c r="AC534"/>
      <c r="AD534">
        <v>0.1</v>
      </c>
      <c r="AE534">
        <v>629</v>
      </c>
      <c r="AF534">
        <v>1</v>
      </c>
      <c r="AG534" s="9">
        <v>0.02</v>
      </c>
      <c r="AH534" s="9">
        <v>1.5</v>
      </c>
      <c r="AL534" s="9">
        <v>22</v>
      </c>
      <c r="AM534" s="9">
        <v>6</v>
      </c>
      <c r="AN534" s="9">
        <v>3</v>
      </c>
      <c r="AQ534" s="1"/>
    </row>
    <row r="535" spans="1:43" x14ac:dyDescent="0.3">
      <c r="A535">
        <v>49</v>
      </c>
      <c r="B535" t="s">
        <v>1639</v>
      </c>
      <c r="C535">
        <v>42</v>
      </c>
      <c r="D535" t="s">
        <v>1647</v>
      </c>
      <c r="I535"/>
      <c r="J535"/>
      <c r="K535">
        <v>1</v>
      </c>
      <c r="N535">
        <v>5.1334965785245308E-3</v>
      </c>
      <c r="O535" s="3">
        <v>0</v>
      </c>
      <c r="P535">
        <v>50</v>
      </c>
      <c r="Q535">
        <v>7.8</v>
      </c>
      <c r="R535" t="s">
        <v>102</v>
      </c>
      <c r="T535" s="6">
        <f>10^-(14-Q535)</f>
        <v>6.3095734448019254E-7</v>
      </c>
      <c r="U535" s="6">
        <v>0</v>
      </c>
      <c r="V535" s="6">
        <v>0</v>
      </c>
      <c r="W535" s="6">
        <v>0</v>
      </c>
      <c r="X535" s="6">
        <v>0</v>
      </c>
      <c r="Y535" t="s">
        <v>171</v>
      </c>
      <c r="Z535"/>
      <c r="AA535"/>
      <c r="AB535"/>
      <c r="AC535"/>
      <c r="AD535">
        <v>0.1</v>
      </c>
      <c r="AE535">
        <v>979</v>
      </c>
      <c r="AF535">
        <v>1</v>
      </c>
      <c r="AG535" s="9">
        <v>1.4999999999999999E-2</v>
      </c>
      <c r="AH535" s="9">
        <v>0.5</v>
      </c>
      <c r="AL535" s="9">
        <v>25</v>
      </c>
      <c r="AM535" s="9">
        <v>22</v>
      </c>
      <c r="AN535" s="9">
        <v>7</v>
      </c>
      <c r="AO535" s="9">
        <v>0.5</v>
      </c>
      <c r="AQ535" s="1"/>
    </row>
    <row r="536" spans="1:43" x14ac:dyDescent="0.3">
      <c r="A536">
        <v>49</v>
      </c>
      <c r="B536" t="s">
        <v>1639</v>
      </c>
      <c r="C536">
        <v>42</v>
      </c>
      <c r="D536" t="s">
        <v>1647</v>
      </c>
      <c r="I536"/>
      <c r="J536"/>
      <c r="K536">
        <v>1</v>
      </c>
      <c r="N536">
        <v>8.5558276308742177E-3</v>
      </c>
      <c r="O536" s="3">
        <v>0</v>
      </c>
      <c r="P536">
        <v>50</v>
      </c>
      <c r="Q536">
        <v>7.8</v>
      </c>
      <c r="R536" t="s">
        <v>102</v>
      </c>
      <c r="T536" s="6">
        <f>10^-(14-Q536)</f>
        <v>6.3095734448019254E-7</v>
      </c>
      <c r="U536" s="6">
        <v>0</v>
      </c>
      <c r="V536" s="6">
        <v>0</v>
      </c>
      <c r="W536" s="6">
        <v>0</v>
      </c>
      <c r="X536" s="6">
        <v>0</v>
      </c>
      <c r="Y536" t="s">
        <v>171</v>
      </c>
      <c r="Z536"/>
      <c r="AA536"/>
      <c r="AB536"/>
      <c r="AC536"/>
      <c r="AD536">
        <v>0.1</v>
      </c>
      <c r="AE536">
        <v>975</v>
      </c>
      <c r="AF536">
        <v>1</v>
      </c>
      <c r="AG536" s="9">
        <v>1.4999999999999999E-2</v>
      </c>
      <c r="AH536" s="9">
        <v>0.5</v>
      </c>
      <c r="AL536" s="9">
        <v>25</v>
      </c>
      <c r="AM536" s="9">
        <v>22</v>
      </c>
      <c r="AN536" s="9">
        <v>7</v>
      </c>
      <c r="AO536" s="9">
        <v>0.5</v>
      </c>
      <c r="AQ536" s="1"/>
    </row>
    <row r="537" spans="1:43" x14ac:dyDescent="0.3">
      <c r="A537">
        <v>49</v>
      </c>
      <c r="B537" t="s">
        <v>1639</v>
      </c>
      <c r="C537">
        <v>42</v>
      </c>
      <c r="D537" t="s">
        <v>1647</v>
      </c>
      <c r="I537"/>
      <c r="J537"/>
      <c r="K537">
        <v>1</v>
      </c>
      <c r="N537">
        <v>1.7111655261748435E-2</v>
      </c>
      <c r="O537" s="3">
        <v>0</v>
      </c>
      <c r="P537">
        <v>50</v>
      </c>
      <c r="Q537">
        <v>7.8</v>
      </c>
      <c r="R537" t="s">
        <v>102</v>
      </c>
      <c r="T537" s="6">
        <f>10^-(14-Q537)</f>
        <v>6.3095734448019254E-7</v>
      </c>
      <c r="U537" s="6">
        <v>0</v>
      </c>
      <c r="V537" s="6">
        <v>0</v>
      </c>
      <c r="W537" s="6">
        <v>0</v>
      </c>
      <c r="X537" s="6">
        <v>0</v>
      </c>
      <c r="Y537" t="s">
        <v>171</v>
      </c>
      <c r="Z537"/>
      <c r="AA537"/>
      <c r="AB537"/>
      <c r="AC537"/>
      <c r="AD537">
        <v>0.1</v>
      </c>
      <c r="AE537">
        <v>972</v>
      </c>
      <c r="AF537">
        <v>1</v>
      </c>
      <c r="AG537" s="9">
        <v>1.4999999999999999E-2</v>
      </c>
      <c r="AH537" s="9">
        <v>0.5</v>
      </c>
      <c r="AL537" s="9">
        <v>25</v>
      </c>
      <c r="AM537" s="9">
        <v>22</v>
      </c>
      <c r="AN537" s="9">
        <v>7</v>
      </c>
      <c r="AO537" s="9">
        <v>0.5</v>
      </c>
      <c r="AQ537" s="1"/>
    </row>
    <row r="538" spans="1:43" x14ac:dyDescent="0.3">
      <c r="A538">
        <v>49</v>
      </c>
      <c r="B538" t="s">
        <v>1639</v>
      </c>
      <c r="C538">
        <v>42</v>
      </c>
      <c r="D538" t="s">
        <v>1647</v>
      </c>
      <c r="I538"/>
      <c r="J538"/>
      <c r="K538">
        <v>1</v>
      </c>
      <c r="N538">
        <v>8.5558276308742159E-2</v>
      </c>
      <c r="O538" s="3">
        <v>0</v>
      </c>
      <c r="P538">
        <v>50</v>
      </c>
      <c r="Q538">
        <v>7.8</v>
      </c>
      <c r="R538" t="s">
        <v>102</v>
      </c>
      <c r="T538" s="6">
        <f>10^-(14-Q538)</f>
        <v>6.3095734448019254E-7</v>
      </c>
      <c r="U538" s="6">
        <v>0</v>
      </c>
      <c r="V538" s="6">
        <v>0</v>
      </c>
      <c r="W538" s="6">
        <v>0</v>
      </c>
      <c r="X538" s="6">
        <v>0</v>
      </c>
      <c r="Y538" t="s">
        <v>171</v>
      </c>
      <c r="Z538"/>
      <c r="AA538"/>
      <c r="AB538"/>
      <c r="AC538"/>
      <c r="AD538">
        <v>0.1</v>
      </c>
      <c r="AE538">
        <v>908</v>
      </c>
      <c r="AF538">
        <v>1</v>
      </c>
      <c r="AG538" s="9">
        <v>1.4999999999999999E-2</v>
      </c>
      <c r="AH538" s="9">
        <v>0.5</v>
      </c>
      <c r="AL538" s="9">
        <v>25</v>
      </c>
      <c r="AM538" s="9">
        <v>22</v>
      </c>
      <c r="AN538" s="9">
        <v>7</v>
      </c>
      <c r="AO538" s="9">
        <v>0.5</v>
      </c>
      <c r="AQ538" s="1"/>
    </row>
    <row r="539" spans="1:43" x14ac:dyDescent="0.3">
      <c r="A539">
        <v>49</v>
      </c>
      <c r="B539" t="s">
        <v>1639</v>
      </c>
      <c r="C539">
        <v>42</v>
      </c>
      <c r="D539" t="s">
        <v>1647</v>
      </c>
      <c r="I539"/>
      <c r="J539"/>
      <c r="K539">
        <v>1</v>
      </c>
      <c r="N539">
        <v>0.54600000000000004</v>
      </c>
      <c r="O539" s="3">
        <v>0</v>
      </c>
      <c r="P539">
        <v>50</v>
      </c>
      <c r="Q539">
        <v>8.1999999999999993</v>
      </c>
      <c r="R539" t="s">
        <v>102</v>
      </c>
      <c r="T539" s="6">
        <f>10^-(14-Q539)</f>
        <v>1.5848931924611084E-6</v>
      </c>
      <c r="U539" s="6">
        <v>0</v>
      </c>
      <c r="V539" s="6">
        <v>0</v>
      </c>
      <c r="W539" s="6">
        <v>0</v>
      </c>
      <c r="X539" s="6">
        <v>0</v>
      </c>
      <c r="Y539" t="s">
        <v>171</v>
      </c>
      <c r="Z539"/>
      <c r="AA539"/>
      <c r="AB539"/>
      <c r="AC539"/>
      <c r="AD539">
        <v>0.1</v>
      </c>
      <c r="AE539">
        <v>883</v>
      </c>
      <c r="AF539">
        <v>1</v>
      </c>
      <c r="AG539" s="9">
        <v>1.4999999999999999E-2</v>
      </c>
      <c r="AH539" s="9">
        <v>0.5</v>
      </c>
      <c r="AL539" s="9">
        <v>25</v>
      </c>
      <c r="AM539" s="9">
        <v>22</v>
      </c>
      <c r="AN539" s="9">
        <v>7</v>
      </c>
      <c r="AO539" s="9">
        <v>0.5</v>
      </c>
      <c r="AQ539" s="1"/>
    </row>
    <row r="540" spans="1:43" x14ac:dyDescent="0.3">
      <c r="A540">
        <v>49</v>
      </c>
      <c r="B540" t="s">
        <v>1639</v>
      </c>
      <c r="C540">
        <v>42</v>
      </c>
      <c r="D540" t="s">
        <v>1651</v>
      </c>
      <c r="I540"/>
      <c r="J540"/>
      <c r="K540">
        <v>1</v>
      </c>
      <c r="N540">
        <v>5.1334965785245308E-3</v>
      </c>
      <c r="O540" s="3">
        <v>0</v>
      </c>
      <c r="P540">
        <v>50</v>
      </c>
      <c r="Q540">
        <v>7.8</v>
      </c>
      <c r="R540" t="s">
        <v>102</v>
      </c>
      <c r="T540" s="6">
        <f>10^-(14-Q540)</f>
        <v>6.3095734448019254E-7</v>
      </c>
      <c r="U540" s="6">
        <v>0</v>
      </c>
      <c r="V540" s="6">
        <v>0</v>
      </c>
      <c r="W540" s="6">
        <v>0</v>
      </c>
      <c r="X540" s="6">
        <v>0</v>
      </c>
      <c r="Y540" t="s">
        <v>171</v>
      </c>
      <c r="Z540"/>
      <c r="AA540"/>
      <c r="AB540"/>
      <c r="AC540"/>
      <c r="AD540">
        <v>0.1</v>
      </c>
      <c r="AE540">
        <v>1006</v>
      </c>
      <c r="AF540">
        <v>1</v>
      </c>
      <c r="AG540" s="9">
        <v>2.5000000000000001E-2</v>
      </c>
      <c r="AH540" s="9">
        <v>0.4</v>
      </c>
      <c r="AL540" s="9">
        <v>25</v>
      </c>
      <c r="AM540" s="9">
        <v>4</v>
      </c>
      <c r="AN540" s="9">
        <v>4</v>
      </c>
      <c r="AQ540" s="1"/>
    </row>
    <row r="541" spans="1:43" x14ac:dyDescent="0.3">
      <c r="A541">
        <v>49</v>
      </c>
      <c r="B541" t="s">
        <v>1639</v>
      </c>
      <c r="C541">
        <v>42</v>
      </c>
      <c r="D541" t="s">
        <v>1651</v>
      </c>
      <c r="I541"/>
      <c r="J541"/>
      <c r="K541">
        <v>1</v>
      </c>
      <c r="N541">
        <v>8.5558276308742177E-3</v>
      </c>
      <c r="O541" s="3">
        <v>0</v>
      </c>
      <c r="P541">
        <v>50</v>
      </c>
      <c r="Q541">
        <v>7.8</v>
      </c>
      <c r="R541" t="s">
        <v>102</v>
      </c>
      <c r="T541" s="6">
        <f>10^-(14-Q541)</f>
        <v>6.3095734448019254E-7</v>
      </c>
      <c r="U541" s="6">
        <v>0</v>
      </c>
      <c r="V541" s="6">
        <v>0</v>
      </c>
      <c r="W541" s="6">
        <v>0</v>
      </c>
      <c r="X541" s="6">
        <v>0</v>
      </c>
      <c r="Y541" t="s">
        <v>171</v>
      </c>
      <c r="Z541"/>
      <c r="AA541"/>
      <c r="AB541"/>
      <c r="AC541"/>
      <c r="AD541">
        <v>0.1</v>
      </c>
      <c r="AE541">
        <v>1003</v>
      </c>
      <c r="AF541">
        <v>1</v>
      </c>
      <c r="AG541" s="9">
        <v>2.5000000000000001E-2</v>
      </c>
      <c r="AH541" s="9">
        <v>0.4</v>
      </c>
      <c r="AL541" s="9">
        <v>25</v>
      </c>
      <c r="AM541" s="9">
        <v>4</v>
      </c>
      <c r="AN541" s="9">
        <v>4</v>
      </c>
      <c r="AQ541" s="1"/>
    </row>
    <row r="542" spans="1:43" x14ac:dyDescent="0.3">
      <c r="A542">
        <v>49</v>
      </c>
      <c r="B542" t="s">
        <v>1639</v>
      </c>
      <c r="C542">
        <v>42</v>
      </c>
      <c r="D542" t="s">
        <v>1651</v>
      </c>
      <c r="I542"/>
      <c r="J542"/>
      <c r="K542">
        <v>1</v>
      </c>
      <c r="N542">
        <v>1.7111655261748435E-2</v>
      </c>
      <c r="O542" s="3">
        <v>0</v>
      </c>
      <c r="P542">
        <v>50</v>
      </c>
      <c r="Q542">
        <v>7.8</v>
      </c>
      <c r="R542" t="s">
        <v>102</v>
      </c>
      <c r="T542" s="6">
        <f>10^-(14-Q542)</f>
        <v>6.3095734448019254E-7</v>
      </c>
      <c r="U542" s="6">
        <v>0</v>
      </c>
      <c r="V542" s="6">
        <v>0</v>
      </c>
      <c r="W542" s="6">
        <v>0</v>
      </c>
      <c r="X542" s="6">
        <v>0</v>
      </c>
      <c r="Y542" t="s">
        <v>171</v>
      </c>
      <c r="Z542"/>
      <c r="AA542"/>
      <c r="AB542"/>
      <c r="AC542"/>
      <c r="AD542">
        <v>0.1</v>
      </c>
      <c r="AE542">
        <v>942</v>
      </c>
      <c r="AF542">
        <v>1</v>
      </c>
      <c r="AG542" s="9">
        <v>2.5000000000000001E-2</v>
      </c>
      <c r="AH542" s="9">
        <v>0.4</v>
      </c>
      <c r="AL542" s="9">
        <v>25</v>
      </c>
      <c r="AM542" s="9">
        <v>4</v>
      </c>
      <c r="AN542" s="9">
        <v>4</v>
      </c>
      <c r="AQ542" s="1"/>
    </row>
    <row r="543" spans="1:43" x14ac:dyDescent="0.3">
      <c r="A543">
        <v>49</v>
      </c>
      <c r="B543" t="s">
        <v>1639</v>
      </c>
      <c r="C543">
        <v>42</v>
      </c>
      <c r="D543" t="s">
        <v>1651</v>
      </c>
      <c r="I543"/>
      <c r="J543"/>
      <c r="K543">
        <v>1</v>
      </c>
      <c r="N543">
        <v>8.5558276308742159E-2</v>
      </c>
      <c r="O543" s="3">
        <v>0</v>
      </c>
      <c r="P543">
        <v>50</v>
      </c>
      <c r="Q543">
        <v>7.8</v>
      </c>
      <c r="R543" t="s">
        <v>102</v>
      </c>
      <c r="T543" s="6">
        <f>10^-(14-Q543)</f>
        <v>6.3095734448019254E-7</v>
      </c>
      <c r="U543" s="6">
        <v>0</v>
      </c>
      <c r="V543" s="6">
        <v>0</v>
      </c>
      <c r="W543" s="6">
        <v>0</v>
      </c>
      <c r="X543" s="6">
        <v>0</v>
      </c>
      <c r="Y543" t="s">
        <v>171</v>
      </c>
      <c r="Z543"/>
      <c r="AA543"/>
      <c r="AB543"/>
      <c r="AC543"/>
      <c r="AD543">
        <v>0.1</v>
      </c>
      <c r="AE543">
        <v>940</v>
      </c>
      <c r="AF543">
        <v>1</v>
      </c>
      <c r="AG543" s="9">
        <v>2.5000000000000001E-2</v>
      </c>
      <c r="AH543" s="9">
        <v>0.4</v>
      </c>
      <c r="AL543" s="9">
        <v>25</v>
      </c>
      <c r="AM543" s="9">
        <v>4</v>
      </c>
      <c r="AN543" s="9">
        <v>4</v>
      </c>
      <c r="AQ543" s="1"/>
    </row>
    <row r="544" spans="1:43" x14ac:dyDescent="0.3">
      <c r="A544">
        <v>49</v>
      </c>
      <c r="B544" t="s">
        <v>1639</v>
      </c>
      <c r="C544">
        <v>42</v>
      </c>
      <c r="D544" t="s">
        <v>1651</v>
      </c>
      <c r="I544"/>
      <c r="J544"/>
      <c r="K544">
        <v>1</v>
      </c>
      <c r="N544">
        <v>0.54600000000000004</v>
      </c>
      <c r="O544" s="3">
        <v>0</v>
      </c>
      <c r="P544">
        <v>50</v>
      </c>
      <c r="Q544">
        <v>8.1999999999999993</v>
      </c>
      <c r="R544" t="s">
        <v>102</v>
      </c>
      <c r="T544" s="6">
        <f>10^-(14-Q544)</f>
        <v>1.5848931924611084E-6</v>
      </c>
      <c r="U544" s="6">
        <v>0</v>
      </c>
      <c r="V544" s="6">
        <v>0</v>
      </c>
      <c r="W544" s="6">
        <v>0</v>
      </c>
      <c r="X544" s="6">
        <v>0</v>
      </c>
      <c r="Y544" t="s">
        <v>171</v>
      </c>
      <c r="Z544"/>
      <c r="AA544"/>
      <c r="AB544"/>
      <c r="AC544"/>
      <c r="AD544">
        <v>0.1</v>
      </c>
      <c r="AE544">
        <v>721</v>
      </c>
      <c r="AF544">
        <v>1</v>
      </c>
      <c r="AG544" s="9">
        <v>2.5000000000000001E-2</v>
      </c>
      <c r="AH544" s="9">
        <v>0.4</v>
      </c>
      <c r="AL544" s="9">
        <v>25</v>
      </c>
      <c r="AM544" s="9">
        <v>4</v>
      </c>
      <c r="AN544" s="9">
        <v>4</v>
      </c>
      <c r="AQ544" s="1"/>
    </row>
    <row r="545" spans="1:43" x14ac:dyDescent="0.3">
      <c r="A545">
        <v>49</v>
      </c>
      <c r="B545" t="s">
        <v>1639</v>
      </c>
      <c r="C545">
        <v>42</v>
      </c>
      <c r="D545" t="s">
        <v>1649</v>
      </c>
      <c r="I545"/>
      <c r="J545"/>
      <c r="K545">
        <v>1</v>
      </c>
      <c r="N545">
        <v>5.1334965785245308E-3</v>
      </c>
      <c r="O545" s="3">
        <v>0</v>
      </c>
      <c r="P545">
        <v>50</v>
      </c>
      <c r="Q545">
        <v>7.8</v>
      </c>
      <c r="R545" t="s">
        <v>102</v>
      </c>
      <c r="T545" s="6">
        <f>10^-(14-Q545)</f>
        <v>6.3095734448019254E-7</v>
      </c>
      <c r="U545" s="6">
        <v>0</v>
      </c>
      <c r="V545" s="6">
        <v>0</v>
      </c>
      <c r="W545" s="6">
        <v>0</v>
      </c>
      <c r="X545" s="6">
        <v>0</v>
      </c>
      <c r="Y545" t="s">
        <v>171</v>
      </c>
      <c r="Z545"/>
      <c r="AA545"/>
      <c r="AB545"/>
      <c r="AC545"/>
      <c r="AD545">
        <v>0.1</v>
      </c>
      <c r="AE545">
        <v>997</v>
      </c>
      <c r="AF545">
        <v>1</v>
      </c>
      <c r="AG545" s="9">
        <v>0.02</v>
      </c>
      <c r="AH545" s="9">
        <v>2</v>
      </c>
      <c r="AL545" s="9">
        <v>27</v>
      </c>
      <c r="AM545" s="9">
        <v>32</v>
      </c>
      <c r="AN545" s="9">
        <v>6.5</v>
      </c>
      <c r="AQ545" s="1"/>
    </row>
    <row r="546" spans="1:43" x14ac:dyDescent="0.3">
      <c r="A546">
        <v>49</v>
      </c>
      <c r="B546" t="s">
        <v>1639</v>
      </c>
      <c r="C546">
        <v>42</v>
      </c>
      <c r="D546" t="s">
        <v>1649</v>
      </c>
      <c r="I546"/>
      <c r="J546"/>
      <c r="K546">
        <v>1</v>
      </c>
      <c r="N546">
        <v>8.5558276308742177E-3</v>
      </c>
      <c r="O546" s="3">
        <v>0</v>
      </c>
      <c r="P546">
        <v>50</v>
      </c>
      <c r="Q546">
        <v>7.8</v>
      </c>
      <c r="R546" t="s">
        <v>102</v>
      </c>
      <c r="T546" s="6">
        <f>10^-(14-Q546)</f>
        <v>6.3095734448019254E-7</v>
      </c>
      <c r="U546" s="6">
        <v>0</v>
      </c>
      <c r="V546" s="6">
        <v>0</v>
      </c>
      <c r="W546" s="6">
        <v>0</v>
      </c>
      <c r="X546" s="6">
        <v>0</v>
      </c>
      <c r="Y546" t="s">
        <v>171</v>
      </c>
      <c r="Z546"/>
      <c r="AA546"/>
      <c r="AB546"/>
      <c r="AC546"/>
      <c r="AD546">
        <v>0.1</v>
      </c>
      <c r="AE546">
        <v>980</v>
      </c>
      <c r="AF546">
        <v>1</v>
      </c>
      <c r="AG546" s="9">
        <v>0.02</v>
      </c>
      <c r="AH546" s="9">
        <v>2</v>
      </c>
      <c r="AL546" s="9">
        <v>27</v>
      </c>
      <c r="AM546" s="9">
        <v>32</v>
      </c>
      <c r="AN546" s="9">
        <v>6.5</v>
      </c>
      <c r="AQ546" s="1"/>
    </row>
    <row r="547" spans="1:43" x14ac:dyDescent="0.3">
      <c r="A547">
        <v>49</v>
      </c>
      <c r="B547" t="s">
        <v>1639</v>
      </c>
      <c r="C547">
        <v>42</v>
      </c>
      <c r="D547" t="s">
        <v>1649</v>
      </c>
      <c r="I547"/>
      <c r="J547"/>
      <c r="K547">
        <v>1</v>
      </c>
      <c r="N547">
        <v>1.7111655261748435E-2</v>
      </c>
      <c r="O547" s="3">
        <v>0</v>
      </c>
      <c r="P547">
        <v>50</v>
      </c>
      <c r="Q547">
        <v>7.8</v>
      </c>
      <c r="R547" t="s">
        <v>102</v>
      </c>
      <c r="T547" s="6">
        <f>10^-(14-Q547)</f>
        <v>6.3095734448019254E-7</v>
      </c>
      <c r="U547" s="6">
        <v>0</v>
      </c>
      <c r="V547" s="6">
        <v>0</v>
      </c>
      <c r="W547" s="6">
        <v>0</v>
      </c>
      <c r="X547" s="6">
        <v>0</v>
      </c>
      <c r="Y547" t="s">
        <v>171</v>
      </c>
      <c r="Z547"/>
      <c r="AA547"/>
      <c r="AB547"/>
      <c r="AC547"/>
      <c r="AD547">
        <v>0.1</v>
      </c>
      <c r="AE547">
        <v>973</v>
      </c>
      <c r="AF547">
        <v>1</v>
      </c>
      <c r="AG547" s="9">
        <v>0.02</v>
      </c>
      <c r="AH547" s="9">
        <v>2</v>
      </c>
      <c r="AL547" s="9">
        <v>27</v>
      </c>
      <c r="AM547" s="9">
        <v>32</v>
      </c>
      <c r="AN547" s="9">
        <v>6.5</v>
      </c>
      <c r="AQ547" s="1"/>
    </row>
    <row r="548" spans="1:43" x14ac:dyDescent="0.3">
      <c r="A548">
        <v>49</v>
      </c>
      <c r="B548" t="s">
        <v>1639</v>
      </c>
      <c r="C548">
        <v>42</v>
      </c>
      <c r="D548" t="s">
        <v>1649</v>
      </c>
      <c r="I548"/>
      <c r="J548"/>
      <c r="K548">
        <v>1</v>
      </c>
      <c r="N548">
        <v>8.5558276308742159E-2</v>
      </c>
      <c r="O548" s="3">
        <v>0</v>
      </c>
      <c r="P548">
        <v>50</v>
      </c>
      <c r="Q548">
        <v>7.8</v>
      </c>
      <c r="R548" t="s">
        <v>102</v>
      </c>
      <c r="T548" s="6">
        <f>10^-(14-Q548)</f>
        <v>6.3095734448019254E-7</v>
      </c>
      <c r="U548" s="6">
        <v>0</v>
      </c>
      <c r="V548" s="6">
        <v>0</v>
      </c>
      <c r="W548" s="6">
        <v>0</v>
      </c>
      <c r="X548" s="6">
        <v>0</v>
      </c>
      <c r="Y548" t="s">
        <v>171</v>
      </c>
      <c r="Z548"/>
      <c r="AA548"/>
      <c r="AB548"/>
      <c r="AC548"/>
      <c r="AD548">
        <v>0.1</v>
      </c>
      <c r="AE548">
        <v>933</v>
      </c>
      <c r="AF548">
        <v>1</v>
      </c>
      <c r="AG548" s="9">
        <v>0.02</v>
      </c>
      <c r="AH548" s="9">
        <v>2</v>
      </c>
      <c r="AL548" s="9">
        <v>27</v>
      </c>
      <c r="AM548" s="9">
        <v>32</v>
      </c>
      <c r="AN548" s="9">
        <v>6.5</v>
      </c>
      <c r="AQ548" s="1"/>
    </row>
    <row r="549" spans="1:43" x14ac:dyDescent="0.3">
      <c r="A549">
        <v>49</v>
      </c>
      <c r="B549" t="s">
        <v>1639</v>
      </c>
      <c r="C549">
        <v>42</v>
      </c>
      <c r="D549" t="s">
        <v>1649</v>
      </c>
      <c r="I549"/>
      <c r="J549"/>
      <c r="K549">
        <v>1</v>
      </c>
      <c r="N549">
        <v>0.54600000000000004</v>
      </c>
      <c r="O549" s="3">
        <v>0</v>
      </c>
      <c r="P549">
        <v>50</v>
      </c>
      <c r="Q549">
        <v>8.1999999999999993</v>
      </c>
      <c r="R549" t="s">
        <v>102</v>
      </c>
      <c r="T549" s="6">
        <f>10^-(14-Q549)</f>
        <v>1.5848931924611084E-6</v>
      </c>
      <c r="U549" s="6">
        <v>0</v>
      </c>
      <c r="V549" s="6">
        <v>0</v>
      </c>
      <c r="W549" s="6">
        <v>0</v>
      </c>
      <c r="X549" s="6">
        <v>0</v>
      </c>
      <c r="Y549" t="s">
        <v>171</v>
      </c>
      <c r="Z549"/>
      <c r="AA549"/>
      <c r="AB549"/>
      <c r="AC549"/>
      <c r="AD549">
        <v>0.1</v>
      </c>
      <c r="AE549">
        <v>883</v>
      </c>
      <c r="AF549">
        <v>1</v>
      </c>
      <c r="AG549" s="9">
        <v>0.02</v>
      </c>
      <c r="AH549" s="9">
        <v>2</v>
      </c>
      <c r="AL549" s="9">
        <v>27</v>
      </c>
      <c r="AM549" s="9">
        <v>32</v>
      </c>
      <c r="AN549" s="9">
        <v>6.5</v>
      </c>
      <c r="AQ549" s="1"/>
    </row>
    <row r="550" spans="1:43" x14ac:dyDescent="0.3">
      <c r="A550">
        <v>40</v>
      </c>
      <c r="B550" t="s">
        <v>1659</v>
      </c>
      <c r="C550">
        <v>90</v>
      </c>
      <c r="D550" t="s">
        <v>1660</v>
      </c>
      <c r="I550"/>
      <c r="J550"/>
      <c r="K550"/>
      <c r="N550">
        <v>0.62</v>
      </c>
      <c r="O550" s="3">
        <v>0</v>
      </c>
      <c r="P550">
        <v>65</v>
      </c>
      <c r="Q550">
        <v>7</v>
      </c>
      <c r="R550" t="s">
        <v>102</v>
      </c>
      <c r="T550" s="6">
        <f>10^-(14-Q550)</f>
        <v>9.9999999999999995E-8</v>
      </c>
      <c r="U550" s="6">
        <v>0</v>
      </c>
      <c r="V550" s="6">
        <v>0</v>
      </c>
      <c r="W550" s="6">
        <v>0</v>
      </c>
      <c r="X550" s="6">
        <v>0</v>
      </c>
      <c r="Y550" t="s">
        <v>171</v>
      </c>
      <c r="Z550"/>
      <c r="AA550"/>
      <c r="AB550"/>
      <c r="AC550"/>
      <c r="AD550">
        <v>1</v>
      </c>
      <c r="AE550">
        <v>322</v>
      </c>
      <c r="AF550">
        <v>1</v>
      </c>
      <c r="AG550" s="9">
        <v>0.03</v>
      </c>
      <c r="AH550" s="9">
        <v>0.96</v>
      </c>
      <c r="AI550" s="9">
        <v>0.47</v>
      </c>
      <c r="AJ550" s="9">
        <v>2.4E-2</v>
      </c>
      <c r="AK550" s="9">
        <v>7.0000000000000001E-3</v>
      </c>
      <c r="AL550" s="9">
        <v>25.92</v>
      </c>
      <c r="AM550" s="9">
        <v>5.9</v>
      </c>
      <c r="AN550" s="9">
        <v>3.19</v>
      </c>
      <c r="AO550" s="9">
        <v>0.2</v>
      </c>
      <c r="AQ550" s="1"/>
    </row>
    <row r="551" spans="1:43" x14ac:dyDescent="0.3">
      <c r="A551">
        <v>40</v>
      </c>
      <c r="B551" t="s">
        <v>1659</v>
      </c>
      <c r="C551">
        <v>90</v>
      </c>
      <c r="D551" t="s">
        <v>1660</v>
      </c>
      <c r="I551"/>
      <c r="J551"/>
      <c r="K551"/>
      <c r="N551">
        <v>0.62</v>
      </c>
      <c r="O551" s="3">
        <v>0</v>
      </c>
      <c r="P551">
        <v>65</v>
      </c>
      <c r="Q551">
        <v>7</v>
      </c>
      <c r="R551" t="s">
        <v>102</v>
      </c>
      <c r="T551" s="6">
        <f>10^-(14-Q551)</f>
        <v>9.9999999999999995E-8</v>
      </c>
      <c r="U551" s="6">
        <v>0</v>
      </c>
      <c r="V551" s="6">
        <v>0</v>
      </c>
      <c r="W551" s="6">
        <v>0</v>
      </c>
      <c r="X551" s="6">
        <v>0</v>
      </c>
      <c r="Y551" t="s">
        <v>171</v>
      </c>
      <c r="Z551"/>
      <c r="AA551"/>
      <c r="AB551"/>
      <c r="AC551"/>
      <c r="AD551">
        <v>1</v>
      </c>
      <c r="AE551">
        <v>255</v>
      </c>
      <c r="AF551">
        <v>1</v>
      </c>
      <c r="AG551" s="9">
        <v>0.03</v>
      </c>
      <c r="AH551" s="9">
        <v>0.96</v>
      </c>
      <c r="AI551" s="9">
        <v>0.47</v>
      </c>
      <c r="AJ551" s="9">
        <v>2.4E-2</v>
      </c>
      <c r="AK551" s="9">
        <v>7.0000000000000001E-3</v>
      </c>
      <c r="AL551" s="9">
        <v>25.92</v>
      </c>
      <c r="AM551" s="9">
        <v>5.9</v>
      </c>
      <c r="AN551" s="9">
        <v>3.19</v>
      </c>
      <c r="AO551" s="9">
        <v>0.2</v>
      </c>
      <c r="AQ551" s="1"/>
    </row>
    <row r="552" spans="1:43" x14ac:dyDescent="0.3">
      <c r="A552">
        <v>40</v>
      </c>
      <c r="B552" t="s">
        <v>1659</v>
      </c>
      <c r="C552">
        <v>90</v>
      </c>
      <c r="D552" t="s">
        <v>1660</v>
      </c>
      <c r="I552"/>
      <c r="J552"/>
      <c r="K552"/>
      <c r="N552">
        <v>0.62</v>
      </c>
      <c r="O552" s="3">
        <v>0</v>
      </c>
      <c r="P552">
        <v>65</v>
      </c>
      <c r="Q552">
        <v>7</v>
      </c>
      <c r="R552" t="s">
        <v>102</v>
      </c>
      <c r="T552" s="6">
        <f>10^-(14-Q552)</f>
        <v>9.9999999999999995E-8</v>
      </c>
      <c r="U552" s="6">
        <v>0</v>
      </c>
      <c r="V552" s="6">
        <v>0</v>
      </c>
      <c r="W552" s="6">
        <v>0</v>
      </c>
      <c r="X552" s="6">
        <v>0</v>
      </c>
      <c r="Y552" t="s">
        <v>171</v>
      </c>
      <c r="Z552"/>
      <c r="AA552"/>
      <c r="AB552"/>
      <c r="AC552"/>
      <c r="AD552">
        <v>1</v>
      </c>
      <c r="AE552">
        <v>209</v>
      </c>
      <c r="AF552">
        <v>1</v>
      </c>
      <c r="AG552" s="9">
        <v>0.03</v>
      </c>
      <c r="AH552" s="9">
        <v>0.96</v>
      </c>
      <c r="AI552" s="9">
        <v>0.47</v>
      </c>
      <c r="AJ552" s="9">
        <v>2.4E-2</v>
      </c>
      <c r="AK552" s="9">
        <v>7.0000000000000001E-3</v>
      </c>
      <c r="AL552" s="9">
        <v>25.92</v>
      </c>
      <c r="AM552" s="9">
        <v>5.9</v>
      </c>
      <c r="AN552" s="9">
        <v>3.19</v>
      </c>
      <c r="AO552" s="9">
        <v>0.2</v>
      </c>
      <c r="AQ552" s="1"/>
    </row>
    <row r="553" spans="1:43" x14ac:dyDescent="0.3">
      <c r="A553">
        <v>40</v>
      </c>
      <c r="B553" t="s">
        <v>1659</v>
      </c>
      <c r="C553">
        <v>90</v>
      </c>
      <c r="D553" t="s">
        <v>1660</v>
      </c>
      <c r="I553"/>
      <c r="J553"/>
      <c r="K553"/>
      <c r="N553">
        <v>0.62</v>
      </c>
      <c r="O553" s="3">
        <v>0</v>
      </c>
      <c r="P553">
        <v>65</v>
      </c>
      <c r="Q553">
        <v>7</v>
      </c>
      <c r="R553" t="s">
        <v>102</v>
      </c>
      <c r="T553" s="6">
        <f>10^-(14-Q553)</f>
        <v>9.9999999999999995E-8</v>
      </c>
      <c r="U553" s="6">
        <v>0</v>
      </c>
      <c r="V553" s="6">
        <v>0</v>
      </c>
      <c r="W553" s="6">
        <v>0</v>
      </c>
      <c r="X553" s="6">
        <v>0</v>
      </c>
      <c r="Y553" t="s">
        <v>171</v>
      </c>
      <c r="Z553"/>
      <c r="AA553"/>
      <c r="AB553"/>
      <c r="AC553"/>
      <c r="AD553">
        <v>1</v>
      </c>
      <c r="AE553">
        <v>176</v>
      </c>
      <c r="AF553">
        <v>1</v>
      </c>
      <c r="AG553" s="9">
        <v>0.03</v>
      </c>
      <c r="AH553" s="9">
        <v>0.96</v>
      </c>
      <c r="AI553" s="9">
        <v>0.47</v>
      </c>
      <c r="AJ553" s="9">
        <v>2.4E-2</v>
      </c>
      <c r="AK553" s="9">
        <v>7.0000000000000001E-3</v>
      </c>
      <c r="AL553" s="9">
        <v>25.92</v>
      </c>
      <c r="AM553" s="9">
        <v>5.9</v>
      </c>
      <c r="AN553" s="9">
        <v>3.19</v>
      </c>
      <c r="AO553" s="9">
        <v>0.2</v>
      </c>
      <c r="AQ553" s="1"/>
    </row>
    <row r="554" spans="1:43" x14ac:dyDescent="0.3">
      <c r="A554">
        <v>31</v>
      </c>
      <c r="B554" t="s">
        <v>1665</v>
      </c>
      <c r="C554">
        <v>43</v>
      </c>
      <c r="D554"/>
      <c r="H554">
        <v>0</v>
      </c>
      <c r="I554">
        <v>-0.7</v>
      </c>
      <c r="J554">
        <v>0.25</v>
      </c>
      <c r="K554"/>
      <c r="N554">
        <v>0.5</v>
      </c>
      <c r="O554" s="3">
        <v>0</v>
      </c>
      <c r="P554">
        <v>22</v>
      </c>
      <c r="Q554">
        <v>1</v>
      </c>
      <c r="R554" t="s">
        <v>102</v>
      </c>
      <c r="T554" s="6">
        <f>10^-(14-Q554)</f>
        <v>1E-13</v>
      </c>
      <c r="U554" s="6">
        <v>0</v>
      </c>
      <c r="V554" s="6">
        <v>0</v>
      </c>
      <c r="W554" s="6">
        <v>0</v>
      </c>
      <c r="X554" s="6">
        <v>0</v>
      </c>
      <c r="Y554" t="s">
        <v>171</v>
      </c>
      <c r="Z554"/>
      <c r="AA554"/>
      <c r="AB554"/>
      <c r="AC554"/>
      <c r="AD554">
        <v>1</v>
      </c>
      <c r="AE554">
        <v>239</v>
      </c>
      <c r="AF554">
        <v>1</v>
      </c>
      <c r="AG554" s="9">
        <v>4.0000000000000001E-3</v>
      </c>
      <c r="AH554" s="9">
        <v>0.18</v>
      </c>
      <c r="AI554" s="9">
        <v>0.08</v>
      </c>
      <c r="AJ554" s="9">
        <v>3.0000000000000001E-3</v>
      </c>
      <c r="AK554" s="9">
        <v>2.2000000000000001E-3</v>
      </c>
      <c r="AL554" s="9">
        <v>20.12</v>
      </c>
      <c r="AM554" s="9">
        <v>20.18</v>
      </c>
      <c r="AN554" s="9">
        <v>0.01</v>
      </c>
      <c r="AO554" s="9">
        <v>1.0999999999999999E-2</v>
      </c>
      <c r="AQ554" s="1"/>
    </row>
    <row r="555" spans="1:43" x14ac:dyDescent="0.3">
      <c r="A555">
        <v>35</v>
      </c>
      <c r="B555" t="s">
        <v>1683</v>
      </c>
      <c r="C555">
        <v>44</v>
      </c>
      <c r="D555" t="s">
        <v>1684</v>
      </c>
      <c r="I555">
        <v>-0.7</v>
      </c>
      <c r="J555">
        <v>0.16666666666666666</v>
      </c>
      <c r="K555"/>
      <c r="L555" t="s">
        <v>172</v>
      </c>
      <c r="N555">
        <v>0.5</v>
      </c>
      <c r="O555">
        <v>0</v>
      </c>
      <c r="P555">
        <v>22</v>
      </c>
      <c r="Q555">
        <v>1</v>
      </c>
      <c r="R555" t="s">
        <v>102</v>
      </c>
      <c r="T555" s="6">
        <f>10^-(14-Q555)</f>
        <v>1E-13</v>
      </c>
      <c r="U555" s="6">
        <v>0</v>
      </c>
      <c r="V555" s="6">
        <v>0</v>
      </c>
      <c r="W555" s="6">
        <v>0</v>
      </c>
      <c r="X555" s="6">
        <v>0</v>
      </c>
      <c r="Y555" t="s">
        <v>171</v>
      </c>
      <c r="Z555"/>
      <c r="AA555"/>
      <c r="AB555"/>
      <c r="AC555"/>
      <c r="AD555">
        <v>1</v>
      </c>
      <c r="AE555">
        <v>841.50900000000001</v>
      </c>
      <c r="AF555">
        <v>1</v>
      </c>
      <c r="AG555" s="9">
        <v>5.0000000000000001E-3</v>
      </c>
      <c r="AH555" s="9">
        <v>0.14000000000000001</v>
      </c>
      <c r="AI555" s="9">
        <v>0.09</v>
      </c>
      <c r="AJ555" s="9">
        <v>8.9999999999999993E-3</v>
      </c>
      <c r="AK555" s="9">
        <v>2.1999999999999999E-2</v>
      </c>
      <c r="AL555" s="9">
        <v>19.739999999999998</v>
      </c>
      <c r="AM555" s="9">
        <v>19.96</v>
      </c>
      <c r="AN555" s="9">
        <v>5.96</v>
      </c>
      <c r="AO555" s="9">
        <v>0.19</v>
      </c>
      <c r="AQ555" s="1"/>
    </row>
    <row r="556" spans="1:43" x14ac:dyDescent="0.3">
      <c r="A556">
        <v>35</v>
      </c>
      <c r="B556" t="s">
        <v>1683</v>
      </c>
      <c r="C556">
        <v>44</v>
      </c>
      <c r="D556" t="s">
        <v>1684</v>
      </c>
      <c r="I556">
        <v>-0.7</v>
      </c>
      <c r="J556">
        <v>0.16666666666666666</v>
      </c>
      <c r="K556"/>
      <c r="L556" t="s">
        <v>172</v>
      </c>
      <c r="N556">
        <v>0.5</v>
      </c>
      <c r="O556">
        <v>0</v>
      </c>
      <c r="P556">
        <v>22</v>
      </c>
      <c r="Q556">
        <v>1</v>
      </c>
      <c r="R556" t="s">
        <v>102</v>
      </c>
      <c r="T556" s="6">
        <f>10^-(14-Q556)</f>
        <v>1E-13</v>
      </c>
      <c r="U556" s="6">
        <v>0</v>
      </c>
      <c r="V556" s="6">
        <v>0</v>
      </c>
      <c r="W556" s="6">
        <v>0</v>
      </c>
      <c r="X556" s="6">
        <v>0</v>
      </c>
      <c r="Y556" t="s">
        <v>171</v>
      </c>
      <c r="Z556"/>
      <c r="AA556"/>
      <c r="AB556"/>
      <c r="AC556"/>
      <c r="AD556">
        <v>1</v>
      </c>
      <c r="AE556">
        <v>841.50900000000001</v>
      </c>
      <c r="AF556">
        <v>1</v>
      </c>
      <c r="AG556" s="9">
        <v>6.0000000000000001E-3</v>
      </c>
      <c r="AH556" s="9">
        <v>0.2</v>
      </c>
      <c r="AI556" s="9">
        <v>0.08</v>
      </c>
      <c r="AJ556" s="9">
        <v>0.01</v>
      </c>
      <c r="AK556" s="9">
        <v>2.1000000000000001E-2</v>
      </c>
      <c r="AL556" s="9">
        <v>19.86</v>
      </c>
      <c r="AM556" s="9">
        <v>19.98</v>
      </c>
      <c r="AN556" s="9">
        <v>5.99</v>
      </c>
      <c r="AO556" s="9">
        <v>1.0999999999999999E-2</v>
      </c>
      <c r="AQ556" s="1"/>
    </row>
    <row r="557" spans="1:43" x14ac:dyDescent="0.3">
      <c r="A557">
        <v>70</v>
      </c>
      <c r="B557" t="s">
        <v>1653</v>
      </c>
      <c r="C557">
        <v>45</v>
      </c>
      <c r="D557"/>
      <c r="I557"/>
      <c r="J557"/>
      <c r="K557"/>
      <c r="N557">
        <v>0.5</v>
      </c>
      <c r="O557" s="3">
        <v>0</v>
      </c>
      <c r="P557">
        <v>25</v>
      </c>
      <c r="Q557">
        <v>-0.30099999999999999</v>
      </c>
      <c r="T557" s="6">
        <f>10^-(14-Q557)</f>
        <v>5.0003453497697719E-15</v>
      </c>
      <c r="U557" s="6">
        <v>2</v>
      </c>
      <c r="V557" s="6">
        <v>0</v>
      </c>
      <c r="W557" s="6">
        <v>0</v>
      </c>
      <c r="X557" s="6">
        <v>0</v>
      </c>
      <c r="Y557" t="s">
        <v>171</v>
      </c>
      <c r="Z557"/>
      <c r="AA557"/>
      <c r="AB557"/>
      <c r="AC557"/>
      <c r="AE557">
        <v>532.29999999999995</v>
      </c>
      <c r="AF557">
        <v>1</v>
      </c>
      <c r="AG557" s="9">
        <v>4.2999999999999997E-2</v>
      </c>
      <c r="AH557" s="9">
        <v>1.78</v>
      </c>
      <c r="AI557" s="9">
        <v>0.41</v>
      </c>
      <c r="AJ557" s="9">
        <v>2.8000000000000001E-2</v>
      </c>
      <c r="AK557" s="9">
        <v>8.0000000000000002E-3</v>
      </c>
      <c r="AL557" s="9">
        <v>18.8</v>
      </c>
      <c r="AM557" s="9">
        <v>8.6300000000000008</v>
      </c>
      <c r="AN557" s="9">
        <v>0.38</v>
      </c>
      <c r="AO557" s="9">
        <v>0.16</v>
      </c>
      <c r="AQ557" s="1"/>
    </row>
    <row r="558" spans="1:43" x14ac:dyDescent="0.3">
      <c r="A558">
        <v>70</v>
      </c>
      <c r="B558" t="s">
        <v>1653</v>
      </c>
      <c r="C558">
        <v>45</v>
      </c>
      <c r="D558"/>
      <c r="I558"/>
      <c r="J558"/>
      <c r="K558"/>
      <c r="N558">
        <v>0.5</v>
      </c>
      <c r="O558" s="3">
        <v>0</v>
      </c>
      <c r="P558">
        <v>25</v>
      </c>
      <c r="Q558">
        <v>-0.30099999999999999</v>
      </c>
      <c r="T558" s="6">
        <f>10^-(14-Q558)</f>
        <v>5.0003453497697719E-15</v>
      </c>
      <c r="U558" s="6">
        <v>2</v>
      </c>
      <c r="V558" s="6">
        <v>0</v>
      </c>
      <c r="W558" s="6">
        <v>0</v>
      </c>
      <c r="X558" s="6">
        <v>0</v>
      </c>
      <c r="Y558" t="s">
        <v>171</v>
      </c>
      <c r="Z558"/>
      <c r="AA558"/>
      <c r="AB558"/>
      <c r="AC558"/>
      <c r="AE558">
        <v>328.5</v>
      </c>
      <c r="AF558">
        <v>1</v>
      </c>
      <c r="AG558" s="9">
        <v>4.3999999999999997E-2</v>
      </c>
      <c r="AH558" s="9">
        <v>1.77</v>
      </c>
      <c r="AI558" s="9">
        <v>0.46</v>
      </c>
      <c r="AJ558" s="9">
        <v>3.4000000000000002E-2</v>
      </c>
      <c r="AK558" s="9">
        <v>7.0000000000000001E-3</v>
      </c>
      <c r="AL558" s="9">
        <v>18.87</v>
      </c>
      <c r="AM558" s="9">
        <v>8.59</v>
      </c>
      <c r="AN558" s="9">
        <v>0.36</v>
      </c>
      <c r="AO558" s="9">
        <v>0.11</v>
      </c>
      <c r="AQ558" s="1"/>
    </row>
    <row r="559" spans="1:43" x14ac:dyDescent="0.3">
      <c r="A559">
        <v>70</v>
      </c>
      <c r="B559" t="s">
        <v>1653</v>
      </c>
      <c r="C559">
        <v>45</v>
      </c>
      <c r="D559"/>
      <c r="I559"/>
      <c r="J559"/>
      <c r="K559"/>
      <c r="L559" t="s">
        <v>172</v>
      </c>
      <c r="N559">
        <v>0.5</v>
      </c>
      <c r="O559" s="3">
        <v>0</v>
      </c>
      <c r="P559">
        <v>25</v>
      </c>
      <c r="Q559">
        <v>-0.30099999999999999</v>
      </c>
      <c r="T559" s="6">
        <f>10^-(14-Q559)</f>
        <v>5.0003453497697719E-15</v>
      </c>
      <c r="U559" s="6">
        <v>2</v>
      </c>
      <c r="V559" s="6">
        <v>0</v>
      </c>
      <c r="W559" s="6">
        <v>0</v>
      </c>
      <c r="X559" s="6">
        <v>0</v>
      </c>
      <c r="Y559" t="s">
        <v>171</v>
      </c>
      <c r="Z559"/>
      <c r="AA559"/>
      <c r="AB559"/>
      <c r="AC559"/>
      <c r="AE559">
        <v>265.5</v>
      </c>
      <c r="AF559">
        <v>1</v>
      </c>
      <c r="AG559" s="9">
        <v>5.7000000000000002E-2</v>
      </c>
      <c r="AH559" s="9">
        <v>1.59</v>
      </c>
      <c r="AI559" s="9">
        <v>0.46</v>
      </c>
      <c r="AJ559" s="9">
        <v>3.5000000000000003E-2</v>
      </c>
      <c r="AK559" s="9">
        <v>1.2999999999999999E-2</v>
      </c>
      <c r="AL559" s="9">
        <v>18.920000000000002</v>
      </c>
      <c r="AM559" s="9">
        <v>8.51</v>
      </c>
      <c r="AN559" s="9">
        <v>0.35</v>
      </c>
      <c r="AO559" s="9">
        <v>3.5999999999999997E-2</v>
      </c>
      <c r="AQ559" s="1"/>
    </row>
    <row r="560" spans="1:43" x14ac:dyDescent="0.3">
      <c r="A560">
        <v>74</v>
      </c>
      <c r="B560" t="s">
        <v>1725</v>
      </c>
      <c r="C560">
        <v>46</v>
      </c>
      <c r="D560"/>
      <c r="I560"/>
      <c r="J560"/>
      <c r="K560">
        <v>2</v>
      </c>
      <c r="L560" t="s">
        <v>172</v>
      </c>
      <c r="N560">
        <v>8</v>
      </c>
      <c r="O560">
        <v>0</v>
      </c>
      <c r="P560">
        <v>80</v>
      </c>
      <c r="R560" t="s">
        <v>102</v>
      </c>
      <c r="T560" s="6">
        <f>10^-(14-Q560)</f>
        <v>1E-14</v>
      </c>
      <c r="U560" s="6">
        <v>0</v>
      </c>
      <c r="V560" s="6">
        <v>0</v>
      </c>
      <c r="W560" s="6">
        <v>0</v>
      </c>
      <c r="X560" s="6">
        <v>0</v>
      </c>
      <c r="Y560" t="s">
        <v>171</v>
      </c>
      <c r="Z560"/>
      <c r="AA560"/>
      <c r="AB560"/>
      <c r="AC560"/>
      <c r="AD560">
        <v>0.5</v>
      </c>
      <c r="AE560">
        <v>199</v>
      </c>
      <c r="AF560">
        <v>1</v>
      </c>
      <c r="AG560" s="9">
        <v>7.1000000000000004E-3</v>
      </c>
      <c r="AI560" s="9">
        <v>0.46</v>
      </c>
      <c r="AL560" s="9">
        <v>28.78</v>
      </c>
      <c r="AM560" s="9">
        <v>0</v>
      </c>
      <c r="AN560" s="9">
        <v>0.01</v>
      </c>
      <c r="AO560" s="9">
        <v>1E-3</v>
      </c>
      <c r="AQ560" s="1"/>
    </row>
    <row r="561" spans="1:43" x14ac:dyDescent="0.3">
      <c r="A561">
        <v>74</v>
      </c>
      <c r="B561" t="s">
        <v>1725</v>
      </c>
      <c r="C561">
        <v>46</v>
      </c>
      <c r="D561"/>
      <c r="I561"/>
      <c r="J561"/>
      <c r="K561">
        <v>2</v>
      </c>
      <c r="L561" t="s">
        <v>172</v>
      </c>
      <c r="N561">
        <v>8</v>
      </c>
      <c r="O561">
        <v>0</v>
      </c>
      <c r="P561">
        <v>80</v>
      </c>
      <c r="R561" t="s">
        <v>102</v>
      </c>
      <c r="T561" s="6">
        <f>10^-(14-Q561)</f>
        <v>1E-14</v>
      </c>
      <c r="U561" s="6">
        <v>0</v>
      </c>
      <c r="V561" s="6">
        <v>0</v>
      </c>
      <c r="W561" s="6">
        <v>0</v>
      </c>
      <c r="X561" s="6">
        <v>0</v>
      </c>
      <c r="Y561" t="s">
        <v>171</v>
      </c>
      <c r="Z561"/>
      <c r="AA561"/>
      <c r="AB561"/>
      <c r="AC561"/>
      <c r="AD561">
        <v>0.5</v>
      </c>
      <c r="AE561">
        <v>-11</v>
      </c>
      <c r="AF561">
        <v>1</v>
      </c>
      <c r="AG561" s="9">
        <v>5.4999999999999997E-3</v>
      </c>
      <c r="AI561" s="9">
        <v>0.44</v>
      </c>
      <c r="AL561" s="9">
        <v>28.85</v>
      </c>
      <c r="AM561" s="9">
        <v>0</v>
      </c>
      <c r="AN561" s="9">
        <v>0.01</v>
      </c>
      <c r="AO561" s="9">
        <v>8.9999999999999998E-4</v>
      </c>
      <c r="AQ561" s="1"/>
    </row>
    <row r="562" spans="1:43" x14ac:dyDescent="0.3">
      <c r="A562">
        <v>74</v>
      </c>
      <c r="B562" t="s">
        <v>1725</v>
      </c>
      <c r="C562">
        <v>46</v>
      </c>
      <c r="D562"/>
      <c r="I562"/>
      <c r="J562"/>
      <c r="K562">
        <v>2</v>
      </c>
      <c r="L562" t="s">
        <v>172</v>
      </c>
      <c r="N562">
        <v>8</v>
      </c>
      <c r="O562">
        <v>0</v>
      </c>
      <c r="P562">
        <v>80</v>
      </c>
      <c r="R562" t="s">
        <v>102</v>
      </c>
      <c r="T562" s="6">
        <f>10^-(14-Q562)</f>
        <v>1E-14</v>
      </c>
      <c r="U562" s="6">
        <v>0</v>
      </c>
      <c r="V562" s="6">
        <v>0</v>
      </c>
      <c r="W562" s="6">
        <v>0</v>
      </c>
      <c r="X562" s="6">
        <v>0</v>
      </c>
      <c r="Y562" t="s">
        <v>171</v>
      </c>
      <c r="Z562"/>
      <c r="AA562"/>
      <c r="AB562"/>
      <c r="AC562"/>
      <c r="AD562">
        <v>0.5</v>
      </c>
      <c r="AE562">
        <v>-480</v>
      </c>
      <c r="AF562">
        <v>1</v>
      </c>
      <c r="AG562" s="9">
        <v>3.2000000000000002E-3</v>
      </c>
      <c r="AI562" s="9">
        <v>0.42</v>
      </c>
      <c r="AL562" s="9">
        <v>28.88</v>
      </c>
      <c r="AM562" s="9">
        <v>0</v>
      </c>
      <c r="AN562" s="9">
        <v>1.0999999999999999E-2</v>
      </c>
      <c r="AO562" s="9">
        <v>1.5E-3</v>
      </c>
      <c r="AQ562" s="1"/>
    </row>
    <row r="563" spans="1:43" x14ac:dyDescent="0.3">
      <c r="A563">
        <v>74</v>
      </c>
      <c r="B563" t="s">
        <v>1725</v>
      </c>
      <c r="C563">
        <v>46</v>
      </c>
      <c r="D563"/>
      <c r="I563"/>
      <c r="J563"/>
      <c r="K563">
        <v>2</v>
      </c>
      <c r="L563" t="s">
        <v>172</v>
      </c>
      <c r="N563">
        <v>8</v>
      </c>
      <c r="O563">
        <v>0</v>
      </c>
      <c r="P563">
        <v>80</v>
      </c>
      <c r="R563" t="s">
        <v>102</v>
      </c>
      <c r="T563" s="6">
        <f>10^-(14-Q563)</f>
        <v>1E-14</v>
      </c>
      <c r="U563" s="6">
        <v>0</v>
      </c>
      <c r="V563" s="6">
        <v>0</v>
      </c>
      <c r="W563" s="6">
        <v>0</v>
      </c>
      <c r="X563" s="6">
        <v>0</v>
      </c>
      <c r="Y563" t="s">
        <v>171</v>
      </c>
      <c r="Z563"/>
      <c r="AA563"/>
      <c r="AB563"/>
      <c r="AC563"/>
      <c r="AD563">
        <v>0.5</v>
      </c>
      <c r="AE563">
        <v>-500</v>
      </c>
      <c r="AF563">
        <v>1</v>
      </c>
      <c r="AG563" s="9">
        <v>2.5999999999999999E-3</v>
      </c>
      <c r="AI563" s="9">
        <v>0.42</v>
      </c>
      <c r="AL563" s="9">
        <v>28.89</v>
      </c>
      <c r="AM563" s="9">
        <v>0</v>
      </c>
      <c r="AN563" s="9">
        <v>1.0999999999999999E-2</v>
      </c>
      <c r="AO563" s="9">
        <v>1.1999999999999999E-3</v>
      </c>
      <c r="AQ563" s="1"/>
    </row>
    <row r="564" spans="1:43" x14ac:dyDescent="0.3">
      <c r="A564">
        <v>74</v>
      </c>
      <c r="B564" t="s">
        <v>1725</v>
      </c>
      <c r="C564">
        <v>46</v>
      </c>
      <c r="D564"/>
      <c r="I564"/>
      <c r="J564"/>
      <c r="K564">
        <v>2</v>
      </c>
      <c r="L564" t="s">
        <v>172</v>
      </c>
      <c r="N564">
        <v>8</v>
      </c>
      <c r="O564">
        <v>0</v>
      </c>
      <c r="P564">
        <v>80</v>
      </c>
      <c r="R564" t="s">
        <v>102</v>
      </c>
      <c r="T564" s="6">
        <f>10^-(14-Q564)</f>
        <v>1E-14</v>
      </c>
      <c r="U564" s="6">
        <v>0</v>
      </c>
      <c r="V564" s="6">
        <v>0</v>
      </c>
      <c r="W564" s="6">
        <v>0</v>
      </c>
      <c r="X564" s="6">
        <v>0</v>
      </c>
      <c r="Y564" t="s">
        <v>171</v>
      </c>
      <c r="Z564"/>
      <c r="AA564"/>
      <c r="AB564"/>
      <c r="AC564"/>
      <c r="AD564">
        <v>0.5</v>
      </c>
      <c r="AE564">
        <v>-560</v>
      </c>
      <c r="AF564">
        <v>1</v>
      </c>
      <c r="AG564" s="9">
        <v>1.1999999999999999E-3</v>
      </c>
      <c r="AI564" s="9">
        <v>0.41</v>
      </c>
      <c r="AL564" s="9">
        <v>28.93</v>
      </c>
      <c r="AM564" s="9">
        <v>0</v>
      </c>
      <c r="AN564" s="9">
        <v>1.2E-2</v>
      </c>
      <c r="AO564" s="9">
        <v>8.9999999999999998E-4</v>
      </c>
      <c r="AQ564" s="1"/>
    </row>
    <row r="565" spans="1:43" x14ac:dyDescent="0.3">
      <c r="A565">
        <v>74</v>
      </c>
      <c r="B565" t="s">
        <v>1725</v>
      </c>
      <c r="C565">
        <v>46</v>
      </c>
      <c r="D565"/>
      <c r="I565"/>
      <c r="J565"/>
      <c r="K565">
        <v>2</v>
      </c>
      <c r="L565" t="s">
        <v>172</v>
      </c>
      <c r="N565">
        <v>8</v>
      </c>
      <c r="O565">
        <v>0</v>
      </c>
      <c r="P565">
        <v>80</v>
      </c>
      <c r="R565" t="s">
        <v>102</v>
      </c>
      <c r="T565" s="6">
        <f>10^-(14-Q565)</f>
        <v>1E-14</v>
      </c>
      <c r="U565" s="6">
        <v>0</v>
      </c>
      <c r="V565" s="6">
        <v>0</v>
      </c>
      <c r="W565" s="6">
        <v>0</v>
      </c>
      <c r="X565" s="6">
        <v>0</v>
      </c>
      <c r="Y565" t="s">
        <v>171</v>
      </c>
      <c r="Z565"/>
      <c r="AA565"/>
      <c r="AB565"/>
      <c r="AC565"/>
      <c r="AD565">
        <v>0.5</v>
      </c>
      <c r="AE565">
        <v>-161</v>
      </c>
      <c r="AF565">
        <v>1</v>
      </c>
      <c r="AG565" s="9">
        <v>1.5E-3</v>
      </c>
      <c r="AI565" s="9">
        <v>0.42</v>
      </c>
      <c r="AL565" s="9">
        <v>28.97</v>
      </c>
      <c r="AM565" s="9">
        <v>0</v>
      </c>
      <c r="AN565" s="9">
        <v>1.04</v>
      </c>
      <c r="AO565" s="9">
        <v>1.1999999999999999E-3</v>
      </c>
      <c r="AQ565" s="1"/>
    </row>
    <row r="566" spans="1:43" x14ac:dyDescent="0.3">
      <c r="A566">
        <v>74</v>
      </c>
      <c r="B566" t="s">
        <v>1725</v>
      </c>
      <c r="C566">
        <v>46</v>
      </c>
      <c r="D566"/>
      <c r="I566"/>
      <c r="J566"/>
      <c r="K566">
        <v>2</v>
      </c>
      <c r="L566" t="s">
        <v>172</v>
      </c>
      <c r="N566">
        <v>8</v>
      </c>
      <c r="O566">
        <v>0</v>
      </c>
      <c r="P566">
        <v>80</v>
      </c>
      <c r="R566" t="s">
        <v>102</v>
      </c>
      <c r="T566" s="6">
        <f>10^-(14-Q566)</f>
        <v>1E-14</v>
      </c>
      <c r="U566" s="6">
        <v>0</v>
      </c>
      <c r="V566" s="6">
        <v>0</v>
      </c>
      <c r="W566" s="6">
        <v>0</v>
      </c>
      <c r="X566" s="6">
        <v>0</v>
      </c>
      <c r="Y566" t="s">
        <v>171</v>
      </c>
      <c r="Z566"/>
      <c r="AA566"/>
      <c r="AB566"/>
      <c r="AC566"/>
      <c r="AD566">
        <v>0.5</v>
      </c>
      <c r="AE566">
        <v>8</v>
      </c>
      <c r="AF566">
        <v>1</v>
      </c>
      <c r="AG566" s="9">
        <v>1.9E-3</v>
      </c>
      <c r="AI566" s="9">
        <v>0.41</v>
      </c>
      <c r="AL566" s="9">
        <v>29.06</v>
      </c>
      <c r="AM566" s="9">
        <v>0</v>
      </c>
      <c r="AN566" s="9">
        <v>2.0699999999999998</v>
      </c>
      <c r="AO566" s="9">
        <v>1.6999999999999999E-3</v>
      </c>
      <c r="AQ566" s="1"/>
    </row>
    <row r="567" spans="1:43" x14ac:dyDescent="0.3">
      <c r="A567">
        <v>74</v>
      </c>
      <c r="B567" t="s">
        <v>1725</v>
      </c>
      <c r="C567">
        <v>46</v>
      </c>
      <c r="D567"/>
      <c r="I567"/>
      <c r="J567"/>
      <c r="K567">
        <v>2</v>
      </c>
      <c r="L567" t="s">
        <v>172</v>
      </c>
      <c r="N567">
        <v>8</v>
      </c>
      <c r="O567">
        <v>0</v>
      </c>
      <c r="P567">
        <v>80</v>
      </c>
      <c r="R567" t="s">
        <v>102</v>
      </c>
      <c r="T567" s="6">
        <f>10^-(14-Q567)</f>
        <v>1E-14</v>
      </c>
      <c r="U567" s="6">
        <v>0</v>
      </c>
      <c r="V567" s="6">
        <v>0</v>
      </c>
      <c r="W567" s="6">
        <v>0</v>
      </c>
      <c r="X567" s="6">
        <v>0</v>
      </c>
      <c r="Y567" t="s">
        <v>171</v>
      </c>
      <c r="Z567"/>
      <c r="AA567"/>
      <c r="AB567"/>
      <c r="AC567"/>
      <c r="AD567">
        <v>0.5</v>
      </c>
      <c r="AE567">
        <v>344</v>
      </c>
      <c r="AF567">
        <v>1</v>
      </c>
      <c r="AG567" s="9">
        <v>2.3999999999999998E-3</v>
      </c>
      <c r="AI567" s="9">
        <v>0.44</v>
      </c>
      <c r="AL567" s="9">
        <v>29.1</v>
      </c>
      <c r="AM567" s="9">
        <v>0</v>
      </c>
      <c r="AN567" s="9">
        <v>4.1900000000000004</v>
      </c>
      <c r="AO567" s="9">
        <v>1.5E-3</v>
      </c>
      <c r="AQ567" s="1"/>
    </row>
    <row r="568" spans="1:43" x14ac:dyDescent="0.3">
      <c r="A568">
        <v>37</v>
      </c>
      <c r="B568" t="s">
        <v>1657</v>
      </c>
      <c r="C568">
        <v>47</v>
      </c>
      <c r="D568"/>
      <c r="E568">
        <v>600</v>
      </c>
      <c r="G568" t="s">
        <v>29</v>
      </c>
      <c r="I568"/>
      <c r="J568">
        <v>18</v>
      </c>
      <c r="K568"/>
      <c r="N568">
        <v>1</v>
      </c>
      <c r="O568" s="3">
        <v>0</v>
      </c>
      <c r="P568">
        <v>75</v>
      </c>
      <c r="Q568">
        <v>7</v>
      </c>
      <c r="R568" t="s">
        <v>102</v>
      </c>
      <c r="T568" s="6">
        <f>10^-(14-Q568)</f>
        <v>9.9999999999999995E-8</v>
      </c>
      <c r="U568" s="6">
        <v>0</v>
      </c>
      <c r="V568" s="6">
        <v>0</v>
      </c>
      <c r="W568" s="6">
        <v>0</v>
      </c>
      <c r="X568" s="6">
        <v>0</v>
      </c>
      <c r="Y568" t="s">
        <v>171</v>
      </c>
      <c r="Z568"/>
      <c r="AA568"/>
      <c r="AB568"/>
      <c r="AC568"/>
      <c r="AD568">
        <v>0.33</v>
      </c>
      <c r="AE568">
        <v>439.7</v>
      </c>
      <c r="AF568">
        <v>1</v>
      </c>
      <c r="AG568" s="9">
        <v>3.0000000000000001E-3</v>
      </c>
      <c r="AH568" s="9">
        <v>1.42</v>
      </c>
      <c r="AI568" s="9">
        <v>0.54</v>
      </c>
      <c r="AJ568" s="9">
        <v>0.01</v>
      </c>
      <c r="AL568" s="9">
        <v>19.2</v>
      </c>
      <c r="AM568" s="9">
        <v>24.86</v>
      </c>
      <c r="AN568" s="9">
        <v>4.5</v>
      </c>
      <c r="AO568" s="9">
        <v>1.4999999999999999E-2</v>
      </c>
      <c r="AQ568" s="1"/>
    </row>
    <row r="569" spans="1:43" x14ac:dyDescent="0.3">
      <c r="A569">
        <v>37</v>
      </c>
      <c r="B569" t="s">
        <v>1657</v>
      </c>
      <c r="C569">
        <v>47</v>
      </c>
      <c r="D569"/>
      <c r="E569">
        <v>600</v>
      </c>
      <c r="G569" t="s">
        <v>29</v>
      </c>
      <c r="I569"/>
      <c r="J569">
        <v>18</v>
      </c>
      <c r="K569"/>
      <c r="N569">
        <v>1</v>
      </c>
      <c r="O569" s="3">
        <v>0</v>
      </c>
      <c r="P569">
        <v>90</v>
      </c>
      <c r="Q569">
        <v>7</v>
      </c>
      <c r="R569" t="s">
        <v>102</v>
      </c>
      <c r="T569" s="6">
        <f>10^-(14-Q569)</f>
        <v>9.9999999999999995E-8</v>
      </c>
      <c r="U569" s="6">
        <v>0</v>
      </c>
      <c r="V569" s="6">
        <v>0</v>
      </c>
      <c r="W569" s="6">
        <v>0</v>
      </c>
      <c r="X569" s="6">
        <v>0</v>
      </c>
      <c r="Y569" t="s">
        <v>171</v>
      </c>
      <c r="Z569"/>
      <c r="AA569"/>
      <c r="AB569"/>
      <c r="AC569"/>
      <c r="AD569">
        <v>0.33</v>
      </c>
      <c r="AE569">
        <v>379.7</v>
      </c>
      <c r="AF569">
        <v>1</v>
      </c>
      <c r="AG569" s="9">
        <v>3.0000000000000001E-3</v>
      </c>
      <c r="AH569" s="9">
        <v>1.42</v>
      </c>
      <c r="AI569" s="9">
        <v>0.54</v>
      </c>
      <c r="AJ569" s="9">
        <v>0.01</v>
      </c>
      <c r="AL569" s="9">
        <v>19.2</v>
      </c>
      <c r="AM569" s="9">
        <v>24.86</v>
      </c>
      <c r="AN569" s="9">
        <v>4.5</v>
      </c>
      <c r="AO569" s="9">
        <v>1.4999999999999999E-2</v>
      </c>
      <c r="AQ569" s="1"/>
    </row>
    <row r="570" spans="1:43" x14ac:dyDescent="0.3">
      <c r="A570">
        <v>37</v>
      </c>
      <c r="B570" t="s">
        <v>1657</v>
      </c>
      <c r="C570">
        <v>47</v>
      </c>
      <c r="D570"/>
      <c r="E570">
        <v>600</v>
      </c>
      <c r="G570" t="s">
        <v>29</v>
      </c>
      <c r="I570"/>
      <c r="J570">
        <v>18</v>
      </c>
      <c r="K570"/>
      <c r="N570">
        <v>1</v>
      </c>
      <c r="O570" s="3">
        <v>0</v>
      </c>
      <c r="P570">
        <v>75</v>
      </c>
      <c r="Q570">
        <v>7</v>
      </c>
      <c r="R570" t="s">
        <v>102</v>
      </c>
      <c r="T570" s="6">
        <f>10^-(14-Q570)</f>
        <v>9.9999999999999995E-8</v>
      </c>
      <c r="U570" s="6">
        <v>0</v>
      </c>
      <c r="V570" s="6">
        <v>0</v>
      </c>
      <c r="W570" s="6">
        <v>0</v>
      </c>
      <c r="X570" s="6">
        <v>0</v>
      </c>
      <c r="Y570" t="s">
        <v>171</v>
      </c>
      <c r="Z570"/>
      <c r="AA570"/>
      <c r="AB570"/>
      <c r="AC570"/>
      <c r="AD570">
        <v>0.33</v>
      </c>
      <c r="AE570">
        <v>472.06</v>
      </c>
      <c r="AF570">
        <v>1</v>
      </c>
      <c r="AG570" s="9">
        <v>3.0000000000000001E-3</v>
      </c>
      <c r="AH570" s="9">
        <v>1.42</v>
      </c>
      <c r="AI570" s="9">
        <v>0.54</v>
      </c>
      <c r="AJ570" s="9">
        <v>0.01</v>
      </c>
      <c r="AL570" s="9">
        <v>19.2</v>
      </c>
      <c r="AM570" s="9">
        <v>24.86</v>
      </c>
      <c r="AN570" s="9">
        <v>4.5</v>
      </c>
      <c r="AO570" s="9">
        <v>1.4999999999999999E-2</v>
      </c>
      <c r="AQ570" s="1"/>
    </row>
    <row r="571" spans="1:43" x14ac:dyDescent="0.3">
      <c r="A571">
        <v>37</v>
      </c>
      <c r="B571" t="s">
        <v>1657</v>
      </c>
      <c r="C571">
        <v>47</v>
      </c>
      <c r="D571"/>
      <c r="E571">
        <v>600</v>
      </c>
      <c r="G571" t="s">
        <v>29</v>
      </c>
      <c r="I571"/>
      <c r="J571">
        <v>18</v>
      </c>
      <c r="K571"/>
      <c r="N571">
        <v>1</v>
      </c>
      <c r="O571" s="3">
        <v>0</v>
      </c>
      <c r="P571">
        <v>90</v>
      </c>
      <c r="Q571">
        <v>7</v>
      </c>
      <c r="R571" t="s">
        <v>102</v>
      </c>
      <c r="T571" s="6">
        <f>10^-(14-Q571)</f>
        <v>9.9999999999999995E-8</v>
      </c>
      <c r="U571" s="6">
        <v>0</v>
      </c>
      <c r="V571" s="6">
        <v>0</v>
      </c>
      <c r="W571" s="6">
        <v>0</v>
      </c>
      <c r="X571" s="6">
        <v>0</v>
      </c>
      <c r="Y571" t="s">
        <v>171</v>
      </c>
      <c r="Z571"/>
      <c r="AA571"/>
      <c r="AB571"/>
      <c r="AC571"/>
      <c r="AD571">
        <v>0.33</v>
      </c>
      <c r="AE571">
        <v>404.06</v>
      </c>
      <c r="AF571">
        <v>1</v>
      </c>
      <c r="AG571" s="9">
        <v>3.0000000000000001E-3</v>
      </c>
      <c r="AH571" s="9">
        <v>1.42</v>
      </c>
      <c r="AI571" s="9">
        <v>0.54</v>
      </c>
      <c r="AJ571" s="9">
        <v>0.01</v>
      </c>
      <c r="AL571" s="9">
        <v>19.2</v>
      </c>
      <c r="AM571" s="9">
        <v>24.86</v>
      </c>
      <c r="AN571" s="9">
        <v>4.5</v>
      </c>
      <c r="AO571" s="9">
        <v>1.4999999999999999E-2</v>
      </c>
      <c r="AQ571" s="1"/>
    </row>
    <row r="572" spans="1:43" x14ac:dyDescent="0.3">
      <c r="A572">
        <v>37</v>
      </c>
      <c r="B572" t="s">
        <v>1657</v>
      </c>
      <c r="C572">
        <v>47</v>
      </c>
      <c r="D572"/>
      <c r="E572">
        <v>600</v>
      </c>
      <c r="G572" t="s">
        <v>29</v>
      </c>
      <c r="I572"/>
      <c r="J572">
        <v>18</v>
      </c>
      <c r="K572"/>
      <c r="N572">
        <v>1</v>
      </c>
      <c r="O572" s="3">
        <v>0</v>
      </c>
      <c r="P572">
        <v>75</v>
      </c>
      <c r="Q572">
        <v>7</v>
      </c>
      <c r="R572" t="s">
        <v>102</v>
      </c>
      <c r="T572" s="6">
        <f>10^-(14-Q572)</f>
        <v>9.9999999999999995E-8</v>
      </c>
      <c r="U572" s="6">
        <v>0</v>
      </c>
      <c r="V572" s="6">
        <v>0</v>
      </c>
      <c r="W572" s="6">
        <v>0</v>
      </c>
      <c r="X572" s="6">
        <v>0</v>
      </c>
      <c r="Y572" t="s">
        <v>171</v>
      </c>
      <c r="Z572"/>
      <c r="AA572"/>
      <c r="AB572"/>
      <c r="AC572"/>
      <c r="AD572">
        <v>0.33</v>
      </c>
      <c r="AE572">
        <v>406.32</v>
      </c>
      <c r="AF572">
        <v>1</v>
      </c>
      <c r="AG572" s="9">
        <v>3.0000000000000001E-3</v>
      </c>
      <c r="AH572" s="9">
        <v>1.42</v>
      </c>
      <c r="AI572" s="9">
        <v>0.54</v>
      </c>
      <c r="AJ572" s="9">
        <v>0.01</v>
      </c>
      <c r="AL572" s="9">
        <v>19.2</v>
      </c>
      <c r="AM572" s="9">
        <v>24.86</v>
      </c>
      <c r="AN572" s="9">
        <v>4.5</v>
      </c>
      <c r="AO572" s="9">
        <v>1.4999999999999999E-2</v>
      </c>
      <c r="AQ572" s="1"/>
    </row>
    <row r="573" spans="1:43" x14ac:dyDescent="0.3">
      <c r="A573">
        <v>37</v>
      </c>
      <c r="B573" t="s">
        <v>1657</v>
      </c>
      <c r="C573">
        <v>47</v>
      </c>
      <c r="D573"/>
      <c r="E573">
        <v>600</v>
      </c>
      <c r="G573" t="s">
        <v>29</v>
      </c>
      <c r="I573"/>
      <c r="J573">
        <v>18</v>
      </c>
      <c r="K573"/>
      <c r="N573">
        <v>1</v>
      </c>
      <c r="O573" s="3">
        <v>0</v>
      </c>
      <c r="P573">
        <v>90</v>
      </c>
      <c r="Q573">
        <v>7</v>
      </c>
      <c r="R573" t="s">
        <v>102</v>
      </c>
      <c r="T573" s="6">
        <f>10^-(14-Q573)</f>
        <v>9.9999999999999995E-8</v>
      </c>
      <c r="U573" s="6">
        <v>0</v>
      </c>
      <c r="V573" s="6">
        <v>0</v>
      </c>
      <c r="W573" s="6">
        <v>0</v>
      </c>
      <c r="X573" s="6">
        <v>0</v>
      </c>
      <c r="Y573" t="s">
        <v>171</v>
      </c>
      <c r="Z573"/>
      <c r="AA573"/>
      <c r="AB573"/>
      <c r="AC573"/>
      <c r="AD573">
        <v>0.33</v>
      </c>
      <c r="AE573">
        <v>356.35</v>
      </c>
      <c r="AF573">
        <v>1</v>
      </c>
      <c r="AG573" s="9">
        <v>3.0000000000000001E-3</v>
      </c>
      <c r="AH573" s="9">
        <v>1.42</v>
      </c>
      <c r="AI573" s="9">
        <v>0.54</v>
      </c>
      <c r="AJ573" s="9">
        <v>0.01</v>
      </c>
      <c r="AL573" s="9">
        <v>19.2</v>
      </c>
      <c r="AM573" s="9">
        <v>24.86</v>
      </c>
      <c r="AN573" s="9">
        <v>4.5</v>
      </c>
      <c r="AO573" s="9">
        <v>1.4999999999999999E-2</v>
      </c>
      <c r="AQ573" s="1"/>
    </row>
    <row r="574" spans="1:43" x14ac:dyDescent="0.3">
      <c r="A574">
        <v>37</v>
      </c>
      <c r="B574" t="s">
        <v>1657</v>
      </c>
      <c r="C574">
        <v>47</v>
      </c>
      <c r="D574"/>
      <c r="E574">
        <v>600</v>
      </c>
      <c r="G574" t="s">
        <v>29</v>
      </c>
      <c r="I574"/>
      <c r="J574">
        <v>18</v>
      </c>
      <c r="K574"/>
      <c r="N574">
        <v>1</v>
      </c>
      <c r="O574" s="3">
        <v>0</v>
      </c>
      <c r="P574">
        <v>75</v>
      </c>
      <c r="Q574">
        <v>7</v>
      </c>
      <c r="R574" t="s">
        <v>102</v>
      </c>
      <c r="T574" s="6">
        <f>10^-(14-Q574)</f>
        <v>9.9999999999999995E-8</v>
      </c>
      <c r="U574" s="6">
        <v>0</v>
      </c>
      <c r="V574" s="6">
        <v>0</v>
      </c>
      <c r="W574" s="6">
        <v>0</v>
      </c>
      <c r="X574" s="6">
        <v>0</v>
      </c>
      <c r="Y574" t="s">
        <v>171</v>
      </c>
      <c r="Z574"/>
      <c r="AA574"/>
      <c r="AB574"/>
      <c r="AC574"/>
      <c r="AD574">
        <v>0.33</v>
      </c>
      <c r="AE574">
        <v>740.08</v>
      </c>
      <c r="AF574">
        <v>1</v>
      </c>
      <c r="AG574" s="9">
        <v>1.4E-2</v>
      </c>
      <c r="AH574" s="9">
        <v>1.44</v>
      </c>
      <c r="AI574" s="9">
        <v>0.54</v>
      </c>
      <c r="AJ574" s="9">
        <v>8.9999999999999993E-3</v>
      </c>
      <c r="AL574" s="9">
        <v>19.829999999999998</v>
      </c>
      <c r="AM574" s="9">
        <v>24.99</v>
      </c>
      <c r="AN574" s="9">
        <v>4.59</v>
      </c>
      <c r="AO574" s="9">
        <v>0.21</v>
      </c>
      <c r="AQ574" s="1"/>
    </row>
    <row r="575" spans="1:43" x14ac:dyDescent="0.3">
      <c r="A575">
        <v>37</v>
      </c>
      <c r="B575" t="s">
        <v>1657</v>
      </c>
      <c r="C575">
        <v>47</v>
      </c>
      <c r="D575"/>
      <c r="E575">
        <v>600</v>
      </c>
      <c r="G575" t="s">
        <v>29</v>
      </c>
      <c r="I575"/>
      <c r="J575">
        <v>18</v>
      </c>
      <c r="K575"/>
      <c r="N575">
        <v>1</v>
      </c>
      <c r="O575" s="3">
        <v>0</v>
      </c>
      <c r="P575">
        <v>90</v>
      </c>
      <c r="Q575">
        <v>7</v>
      </c>
      <c r="R575" t="s">
        <v>102</v>
      </c>
      <c r="T575" s="6">
        <f>10^-(14-Q575)</f>
        <v>9.9999999999999995E-8</v>
      </c>
      <c r="U575" s="6">
        <v>0</v>
      </c>
      <c r="V575" s="6">
        <v>0</v>
      </c>
      <c r="W575" s="6">
        <v>0</v>
      </c>
      <c r="X575" s="6">
        <v>0</v>
      </c>
      <c r="Y575" t="s">
        <v>171</v>
      </c>
      <c r="Z575"/>
      <c r="AA575"/>
      <c r="AB575"/>
      <c r="AC575"/>
      <c r="AD575">
        <v>0.33</v>
      </c>
      <c r="AE575">
        <v>450.76</v>
      </c>
      <c r="AF575">
        <v>1</v>
      </c>
      <c r="AG575" s="9">
        <v>1.4E-2</v>
      </c>
      <c r="AH575" s="9">
        <v>1.44</v>
      </c>
      <c r="AI575" s="9">
        <v>0.54</v>
      </c>
      <c r="AJ575" s="9">
        <v>8.9999999999999993E-3</v>
      </c>
      <c r="AL575" s="9">
        <v>19.829999999999998</v>
      </c>
      <c r="AM575" s="9">
        <v>24.99</v>
      </c>
      <c r="AN575" s="9">
        <v>4.59</v>
      </c>
      <c r="AO575" s="9">
        <v>0.21</v>
      </c>
      <c r="AQ575" s="1"/>
    </row>
    <row r="576" spans="1:43" x14ac:dyDescent="0.3">
      <c r="A576">
        <v>37</v>
      </c>
      <c r="B576" t="s">
        <v>1657</v>
      </c>
      <c r="C576">
        <v>47</v>
      </c>
      <c r="D576"/>
      <c r="E576">
        <v>600</v>
      </c>
      <c r="G576" t="s">
        <v>29</v>
      </c>
      <c r="I576"/>
      <c r="J576">
        <v>18</v>
      </c>
      <c r="K576"/>
      <c r="N576">
        <v>1</v>
      </c>
      <c r="O576" s="3">
        <v>0</v>
      </c>
      <c r="P576">
        <v>75</v>
      </c>
      <c r="Q576">
        <v>7</v>
      </c>
      <c r="R576" t="s">
        <v>102</v>
      </c>
      <c r="T576" s="6">
        <f>10^-(14-Q576)</f>
        <v>9.9999999999999995E-8</v>
      </c>
      <c r="U576" s="6">
        <v>0</v>
      </c>
      <c r="V576" s="6">
        <v>0</v>
      </c>
      <c r="W576" s="6">
        <v>0</v>
      </c>
      <c r="X576" s="6">
        <v>0</v>
      </c>
      <c r="Y576" t="s">
        <v>171</v>
      </c>
      <c r="Z576"/>
      <c r="AA576"/>
      <c r="AB576"/>
      <c r="AC576"/>
      <c r="AD576">
        <v>0.33</v>
      </c>
      <c r="AE576">
        <v>975.73</v>
      </c>
      <c r="AF576">
        <v>1</v>
      </c>
      <c r="AG576" s="9">
        <v>1.4E-2</v>
      </c>
      <c r="AH576" s="9">
        <v>1.44</v>
      </c>
      <c r="AI576" s="9">
        <v>0.54</v>
      </c>
      <c r="AJ576" s="9">
        <v>8.9999999999999993E-3</v>
      </c>
      <c r="AL576" s="9">
        <v>19.829999999999998</v>
      </c>
      <c r="AM576" s="9">
        <v>24.99</v>
      </c>
      <c r="AN576" s="9">
        <v>4.59</v>
      </c>
      <c r="AO576" s="9">
        <v>0.21</v>
      </c>
      <c r="AQ576" s="1"/>
    </row>
    <row r="577" spans="1:43" x14ac:dyDescent="0.3">
      <c r="A577">
        <v>37</v>
      </c>
      <c r="B577" t="s">
        <v>1657</v>
      </c>
      <c r="C577">
        <v>47</v>
      </c>
      <c r="D577"/>
      <c r="E577">
        <v>600</v>
      </c>
      <c r="G577" t="s">
        <v>29</v>
      </c>
      <c r="I577"/>
      <c r="J577">
        <v>18</v>
      </c>
      <c r="K577"/>
      <c r="N577">
        <v>1</v>
      </c>
      <c r="O577" s="3">
        <v>0</v>
      </c>
      <c r="P577">
        <v>90</v>
      </c>
      <c r="Q577">
        <v>7</v>
      </c>
      <c r="R577" t="s">
        <v>102</v>
      </c>
      <c r="T577" s="6">
        <f>10^-(14-Q577)</f>
        <v>9.9999999999999995E-8</v>
      </c>
      <c r="U577" s="6">
        <v>0</v>
      </c>
      <c r="V577" s="6">
        <v>0</v>
      </c>
      <c r="W577" s="6">
        <v>0</v>
      </c>
      <c r="X577" s="6">
        <v>0</v>
      </c>
      <c r="Y577" t="s">
        <v>171</v>
      </c>
      <c r="Z577"/>
      <c r="AA577"/>
      <c r="AB577"/>
      <c r="AC577"/>
      <c r="AD577">
        <v>0.33</v>
      </c>
      <c r="AE577">
        <v>514.72</v>
      </c>
      <c r="AF577">
        <v>1</v>
      </c>
      <c r="AG577" s="9">
        <v>1.4E-2</v>
      </c>
      <c r="AH577" s="9">
        <v>1.44</v>
      </c>
      <c r="AI577" s="9">
        <v>0.54</v>
      </c>
      <c r="AJ577" s="9">
        <v>8.9999999999999993E-3</v>
      </c>
      <c r="AL577" s="9">
        <v>19.829999999999998</v>
      </c>
      <c r="AM577" s="9">
        <v>24.99</v>
      </c>
      <c r="AN577" s="9">
        <v>4.59</v>
      </c>
      <c r="AO577" s="9">
        <v>0.21</v>
      </c>
      <c r="AQ577" s="1"/>
    </row>
    <row r="578" spans="1:43" x14ac:dyDescent="0.3">
      <c r="A578">
        <v>37</v>
      </c>
      <c r="B578" t="s">
        <v>1657</v>
      </c>
      <c r="C578">
        <v>47</v>
      </c>
      <c r="D578"/>
      <c r="E578">
        <v>600</v>
      </c>
      <c r="G578" t="s">
        <v>29</v>
      </c>
      <c r="I578"/>
      <c r="J578">
        <v>18</v>
      </c>
      <c r="K578"/>
      <c r="N578">
        <v>1</v>
      </c>
      <c r="O578" s="3">
        <v>0</v>
      </c>
      <c r="P578">
        <v>75</v>
      </c>
      <c r="Q578">
        <v>7</v>
      </c>
      <c r="R578" t="s">
        <v>102</v>
      </c>
      <c r="T578" s="6">
        <f>10^-(14-Q578)</f>
        <v>9.9999999999999995E-8</v>
      </c>
      <c r="U578" s="6">
        <v>0</v>
      </c>
      <c r="V578" s="6">
        <v>0</v>
      </c>
      <c r="W578" s="6">
        <v>0</v>
      </c>
      <c r="X578" s="6">
        <v>0</v>
      </c>
      <c r="Y578" t="s">
        <v>171</v>
      </c>
      <c r="Z578"/>
      <c r="AA578"/>
      <c r="AB578"/>
      <c r="AC578"/>
      <c r="AD578">
        <v>0.33</v>
      </c>
      <c r="AE578">
        <v>621.74</v>
      </c>
      <c r="AF578">
        <v>1</v>
      </c>
      <c r="AG578" s="9">
        <v>1.4E-2</v>
      </c>
      <c r="AH578" s="9">
        <v>1.44</v>
      </c>
      <c r="AI578" s="9">
        <v>0.54</v>
      </c>
      <c r="AJ578" s="9">
        <v>8.9999999999999993E-3</v>
      </c>
      <c r="AL578" s="9">
        <v>19.829999999999998</v>
      </c>
      <c r="AM578" s="9">
        <v>24.99</v>
      </c>
      <c r="AN578" s="9">
        <v>4.59</v>
      </c>
      <c r="AO578" s="9">
        <v>0.21</v>
      </c>
      <c r="AQ578" s="1"/>
    </row>
    <row r="579" spans="1:43" x14ac:dyDescent="0.3">
      <c r="A579">
        <v>37</v>
      </c>
      <c r="B579" t="s">
        <v>1657</v>
      </c>
      <c r="C579">
        <v>47</v>
      </c>
      <c r="D579"/>
      <c r="E579">
        <v>600</v>
      </c>
      <c r="G579" t="s">
        <v>29</v>
      </c>
      <c r="I579"/>
      <c r="J579">
        <v>18</v>
      </c>
      <c r="K579"/>
      <c r="N579">
        <v>1</v>
      </c>
      <c r="O579" s="3">
        <v>0</v>
      </c>
      <c r="P579">
        <v>90</v>
      </c>
      <c r="Q579">
        <v>7</v>
      </c>
      <c r="R579" t="s">
        <v>102</v>
      </c>
      <c r="T579" s="6">
        <f>10^-(14-Q579)</f>
        <v>9.9999999999999995E-8</v>
      </c>
      <c r="U579" s="6">
        <v>0</v>
      </c>
      <c r="V579" s="6">
        <v>0</v>
      </c>
      <c r="W579" s="6">
        <v>0</v>
      </c>
      <c r="X579" s="6">
        <v>0</v>
      </c>
      <c r="Y579" t="s">
        <v>171</v>
      </c>
      <c r="Z579"/>
      <c r="AA579"/>
      <c r="AB579"/>
      <c r="AC579"/>
      <c r="AD579">
        <v>0.33</v>
      </c>
      <c r="AE579">
        <v>348.22</v>
      </c>
      <c r="AF579">
        <v>1</v>
      </c>
      <c r="AG579" s="9">
        <v>1.4E-2</v>
      </c>
      <c r="AH579" s="9">
        <v>1.44</v>
      </c>
      <c r="AI579" s="9">
        <v>0.54</v>
      </c>
      <c r="AJ579" s="9">
        <v>8.9999999999999993E-3</v>
      </c>
      <c r="AL579" s="9">
        <v>19.829999999999998</v>
      </c>
      <c r="AM579" s="9">
        <v>24.99</v>
      </c>
      <c r="AN579" s="9">
        <v>4.59</v>
      </c>
      <c r="AO579" s="9">
        <v>0.21</v>
      </c>
      <c r="AQ579" s="1"/>
    </row>
    <row r="580" spans="1:43" x14ac:dyDescent="0.3">
      <c r="A580">
        <v>37</v>
      </c>
      <c r="B580" t="s">
        <v>1657</v>
      </c>
      <c r="C580">
        <v>47</v>
      </c>
      <c r="D580"/>
      <c r="E580">
        <v>600</v>
      </c>
      <c r="G580" t="s">
        <v>29</v>
      </c>
      <c r="I580"/>
      <c r="J580">
        <v>18</v>
      </c>
      <c r="K580"/>
      <c r="N580">
        <v>1</v>
      </c>
      <c r="O580" s="3">
        <v>0</v>
      </c>
      <c r="P580">
        <v>75</v>
      </c>
      <c r="Q580">
        <v>7</v>
      </c>
      <c r="R580" t="s">
        <v>102</v>
      </c>
      <c r="T580" s="6">
        <f>10^-(14-Q580)</f>
        <v>9.9999999999999995E-8</v>
      </c>
      <c r="U580" s="6">
        <v>0</v>
      </c>
      <c r="V580" s="6">
        <v>0</v>
      </c>
      <c r="W580" s="6">
        <v>0</v>
      </c>
      <c r="X580" s="6">
        <v>0</v>
      </c>
      <c r="Y580" t="s">
        <v>171</v>
      </c>
      <c r="Z580"/>
      <c r="AA580"/>
      <c r="AB580"/>
      <c r="AC580"/>
      <c r="AD580">
        <v>0.33</v>
      </c>
      <c r="AE580">
        <v>457.9</v>
      </c>
      <c r="AF580">
        <v>1</v>
      </c>
      <c r="AG580" s="9">
        <v>0.02</v>
      </c>
      <c r="AH580" s="9">
        <v>1.42</v>
      </c>
      <c r="AI580" s="9">
        <v>0.54</v>
      </c>
      <c r="AJ580" s="9">
        <v>0.01</v>
      </c>
      <c r="AL580" s="9">
        <v>19.850000000000001</v>
      </c>
      <c r="AM580" s="9">
        <v>24.86</v>
      </c>
      <c r="AN580" s="9">
        <v>4.5</v>
      </c>
      <c r="AO580" s="9">
        <v>6.0999999999999999E-2</v>
      </c>
      <c r="AQ580" s="1"/>
    </row>
    <row r="581" spans="1:43" x14ac:dyDescent="0.3">
      <c r="A581">
        <v>37</v>
      </c>
      <c r="B581" t="s">
        <v>1657</v>
      </c>
      <c r="C581">
        <v>47</v>
      </c>
      <c r="D581"/>
      <c r="E581">
        <v>600</v>
      </c>
      <c r="G581" t="s">
        <v>29</v>
      </c>
      <c r="I581"/>
      <c r="J581">
        <v>18</v>
      </c>
      <c r="K581"/>
      <c r="N581">
        <v>1</v>
      </c>
      <c r="O581" s="3">
        <v>0</v>
      </c>
      <c r="P581">
        <v>90</v>
      </c>
      <c r="Q581">
        <v>7</v>
      </c>
      <c r="R581" t="s">
        <v>102</v>
      </c>
      <c r="T581" s="6">
        <f>10^-(14-Q581)</f>
        <v>9.9999999999999995E-8</v>
      </c>
      <c r="U581" s="6">
        <v>0</v>
      </c>
      <c r="V581" s="6">
        <v>0</v>
      </c>
      <c r="W581" s="6">
        <v>0</v>
      </c>
      <c r="X581" s="6">
        <v>0</v>
      </c>
      <c r="Y581" t="s">
        <v>171</v>
      </c>
      <c r="Z581"/>
      <c r="AA581"/>
      <c r="AB581"/>
      <c r="AC581"/>
      <c r="AD581">
        <v>0.33</v>
      </c>
      <c r="AE581">
        <v>361.42</v>
      </c>
      <c r="AF581">
        <v>1</v>
      </c>
      <c r="AG581" s="9">
        <v>0.02</v>
      </c>
      <c r="AH581" s="9">
        <v>1.42</v>
      </c>
      <c r="AI581" s="9">
        <v>0.54</v>
      </c>
      <c r="AJ581" s="9">
        <v>0.01</v>
      </c>
      <c r="AL581" s="9">
        <v>19.850000000000001</v>
      </c>
      <c r="AM581" s="9">
        <v>24.86</v>
      </c>
      <c r="AN581" s="9">
        <v>4.5</v>
      </c>
      <c r="AO581" s="9">
        <v>6.0999999999999999E-2</v>
      </c>
      <c r="AQ581" s="1"/>
    </row>
    <row r="582" spans="1:43" x14ac:dyDescent="0.3">
      <c r="A582">
        <v>37</v>
      </c>
      <c r="B582" t="s">
        <v>1657</v>
      </c>
      <c r="C582">
        <v>47</v>
      </c>
      <c r="D582"/>
      <c r="E582">
        <v>600</v>
      </c>
      <c r="G582" t="s">
        <v>29</v>
      </c>
      <c r="I582"/>
      <c r="J582">
        <v>18</v>
      </c>
      <c r="K582"/>
      <c r="N582">
        <v>1</v>
      </c>
      <c r="O582" s="3">
        <v>0</v>
      </c>
      <c r="P582">
        <v>75</v>
      </c>
      <c r="Q582">
        <v>7</v>
      </c>
      <c r="R582" t="s">
        <v>102</v>
      </c>
      <c r="T582" s="6">
        <f>10^-(14-Q582)</f>
        <v>9.9999999999999995E-8</v>
      </c>
      <c r="U582" s="6">
        <v>0</v>
      </c>
      <c r="V582" s="6">
        <v>0</v>
      </c>
      <c r="W582" s="6">
        <v>0</v>
      </c>
      <c r="X582" s="6">
        <v>0</v>
      </c>
      <c r="Y582" t="s">
        <v>171</v>
      </c>
      <c r="Z582"/>
      <c r="AA582"/>
      <c r="AB582"/>
      <c r="AC582"/>
      <c r="AD582">
        <v>0.33</v>
      </c>
      <c r="AE582">
        <v>506.45</v>
      </c>
      <c r="AF582">
        <v>1</v>
      </c>
      <c r="AG582" s="9">
        <v>0.02</v>
      </c>
      <c r="AH582" s="9">
        <v>1.42</v>
      </c>
      <c r="AI582" s="9">
        <v>0.54</v>
      </c>
      <c r="AJ582" s="9">
        <v>0.01</v>
      </c>
      <c r="AL582" s="9">
        <v>19.850000000000001</v>
      </c>
      <c r="AM582" s="9">
        <v>24.86</v>
      </c>
      <c r="AN582" s="9">
        <v>4.5</v>
      </c>
      <c r="AO582" s="9">
        <v>6.0999999999999999E-2</v>
      </c>
      <c r="AQ582" s="1"/>
    </row>
    <row r="583" spans="1:43" x14ac:dyDescent="0.3">
      <c r="A583">
        <v>37</v>
      </c>
      <c r="B583" t="s">
        <v>1657</v>
      </c>
      <c r="C583">
        <v>47</v>
      </c>
      <c r="D583"/>
      <c r="E583">
        <v>600</v>
      </c>
      <c r="G583" t="s">
        <v>29</v>
      </c>
      <c r="I583"/>
      <c r="J583">
        <v>18</v>
      </c>
      <c r="K583"/>
      <c r="N583">
        <v>1</v>
      </c>
      <c r="O583" s="3">
        <v>0</v>
      </c>
      <c r="P583">
        <v>90</v>
      </c>
      <c r="Q583">
        <v>7</v>
      </c>
      <c r="R583" t="s">
        <v>102</v>
      </c>
      <c r="T583" s="6">
        <f>10^-(14-Q583)</f>
        <v>9.9999999999999995E-8</v>
      </c>
      <c r="U583" s="6">
        <v>0</v>
      </c>
      <c r="V583" s="6">
        <v>0</v>
      </c>
      <c r="W583" s="6">
        <v>0</v>
      </c>
      <c r="X583" s="6">
        <v>0</v>
      </c>
      <c r="Y583" t="s">
        <v>171</v>
      </c>
      <c r="Z583"/>
      <c r="AA583"/>
      <c r="AB583"/>
      <c r="AC583"/>
      <c r="AD583">
        <v>0.33</v>
      </c>
      <c r="AE583">
        <v>395.94</v>
      </c>
      <c r="AF583">
        <v>1</v>
      </c>
      <c r="AG583" s="9">
        <v>0.02</v>
      </c>
      <c r="AH583" s="9">
        <v>1.42</v>
      </c>
      <c r="AI583" s="9">
        <v>0.54</v>
      </c>
      <c r="AJ583" s="9">
        <v>0.01</v>
      </c>
      <c r="AL583" s="9">
        <v>19.850000000000001</v>
      </c>
      <c r="AM583" s="9">
        <v>24.86</v>
      </c>
      <c r="AN583" s="9">
        <v>4.5</v>
      </c>
      <c r="AO583" s="9">
        <v>6.0999999999999999E-2</v>
      </c>
      <c r="AQ583" s="1"/>
    </row>
    <row r="584" spans="1:43" x14ac:dyDescent="0.3">
      <c r="A584">
        <v>37</v>
      </c>
      <c r="B584" t="s">
        <v>1657</v>
      </c>
      <c r="C584">
        <v>47</v>
      </c>
      <c r="D584"/>
      <c r="E584">
        <v>600</v>
      </c>
      <c r="G584" t="s">
        <v>29</v>
      </c>
      <c r="I584"/>
      <c r="J584">
        <v>18</v>
      </c>
      <c r="K584"/>
      <c r="N584">
        <v>1</v>
      </c>
      <c r="O584" s="3">
        <v>0</v>
      </c>
      <c r="P584">
        <v>75</v>
      </c>
      <c r="Q584">
        <v>7</v>
      </c>
      <c r="R584" t="s">
        <v>102</v>
      </c>
      <c r="T584" s="6">
        <f>10^-(14-Q584)</f>
        <v>9.9999999999999995E-8</v>
      </c>
      <c r="U584" s="6">
        <v>0</v>
      </c>
      <c r="V584" s="6">
        <v>0</v>
      </c>
      <c r="W584" s="6">
        <v>0</v>
      </c>
      <c r="X584" s="6">
        <v>0</v>
      </c>
      <c r="Y584" t="s">
        <v>171</v>
      </c>
      <c r="Z584"/>
      <c r="AA584"/>
      <c r="AB584"/>
      <c r="AC584"/>
      <c r="AD584">
        <v>0.33</v>
      </c>
      <c r="AE584">
        <v>419.47</v>
      </c>
      <c r="AF584">
        <v>1</v>
      </c>
      <c r="AG584" s="9">
        <v>0.02</v>
      </c>
      <c r="AH584" s="9">
        <v>1.42</v>
      </c>
      <c r="AI584" s="9">
        <v>0.54</v>
      </c>
      <c r="AJ584" s="9">
        <v>0.01</v>
      </c>
      <c r="AL584" s="9">
        <v>19.850000000000001</v>
      </c>
      <c r="AM584" s="9">
        <v>24.86</v>
      </c>
      <c r="AN584" s="9">
        <v>4.5</v>
      </c>
      <c r="AO584" s="9">
        <v>6.0999999999999999E-2</v>
      </c>
      <c r="AQ584" s="1"/>
    </row>
    <row r="585" spans="1:43" x14ac:dyDescent="0.3">
      <c r="A585">
        <v>37</v>
      </c>
      <c r="B585" t="s">
        <v>1657</v>
      </c>
      <c r="C585">
        <v>47</v>
      </c>
      <c r="D585"/>
      <c r="E585">
        <v>600</v>
      </c>
      <c r="G585" t="s">
        <v>29</v>
      </c>
      <c r="I585"/>
      <c r="J585">
        <v>18</v>
      </c>
      <c r="K585"/>
      <c r="N585">
        <v>1</v>
      </c>
      <c r="O585" s="3">
        <v>0</v>
      </c>
      <c r="P585">
        <v>90</v>
      </c>
      <c r="Q585">
        <v>7</v>
      </c>
      <c r="R585" t="s">
        <v>102</v>
      </c>
      <c r="T585" s="6">
        <f>10^-(14-Q585)</f>
        <v>9.9999999999999995E-8</v>
      </c>
      <c r="U585" s="6">
        <v>0</v>
      </c>
      <c r="V585" s="6">
        <v>0</v>
      </c>
      <c r="W585" s="6">
        <v>0</v>
      </c>
      <c r="X585" s="6">
        <v>0</v>
      </c>
      <c r="Y585" t="s">
        <v>171</v>
      </c>
      <c r="Z585"/>
      <c r="AA585"/>
      <c r="AB585"/>
      <c r="AC585"/>
      <c r="AD585">
        <v>0.33</v>
      </c>
      <c r="AE585">
        <v>296.45</v>
      </c>
      <c r="AF585">
        <v>1</v>
      </c>
      <c r="AG585" s="9">
        <v>0.02</v>
      </c>
      <c r="AH585" s="9">
        <v>1.42</v>
      </c>
      <c r="AI585" s="9">
        <v>0.54</v>
      </c>
      <c r="AJ585" s="9">
        <v>0.01</v>
      </c>
      <c r="AL585" s="9">
        <v>19.850000000000001</v>
      </c>
      <c r="AM585" s="9">
        <v>24.86</v>
      </c>
      <c r="AN585" s="9">
        <v>4.5</v>
      </c>
      <c r="AO585" s="9">
        <v>6.0999999999999999E-2</v>
      </c>
      <c r="AQ585" s="1"/>
    </row>
    <row r="586" spans="1:43" x14ac:dyDescent="0.3">
      <c r="A586">
        <v>37</v>
      </c>
      <c r="B586" t="s">
        <v>1657</v>
      </c>
      <c r="C586">
        <v>47</v>
      </c>
      <c r="D586"/>
      <c r="E586">
        <v>600</v>
      </c>
      <c r="G586" t="s">
        <v>29</v>
      </c>
      <c r="I586"/>
      <c r="J586">
        <v>18</v>
      </c>
      <c r="K586"/>
      <c r="N586">
        <v>1</v>
      </c>
      <c r="O586" s="3">
        <v>0</v>
      </c>
      <c r="P586">
        <v>75</v>
      </c>
      <c r="Q586">
        <v>7</v>
      </c>
      <c r="R586" t="s">
        <v>102</v>
      </c>
      <c r="T586" s="6">
        <f>10^-(14-Q586)</f>
        <v>9.9999999999999995E-8</v>
      </c>
      <c r="U586" s="6">
        <v>0</v>
      </c>
      <c r="V586" s="6">
        <v>0</v>
      </c>
      <c r="W586" s="6">
        <v>0</v>
      </c>
      <c r="X586" s="6">
        <v>0</v>
      </c>
      <c r="Y586" t="s">
        <v>171</v>
      </c>
      <c r="Z586"/>
      <c r="AA586"/>
      <c r="AB586"/>
      <c r="AC586"/>
      <c r="AD586">
        <v>0.33</v>
      </c>
      <c r="AE586">
        <v>583.30999999999995</v>
      </c>
      <c r="AF586">
        <v>1</v>
      </c>
      <c r="AG586" s="9">
        <v>1.4999999999999999E-2</v>
      </c>
      <c r="AH586" s="9">
        <v>1.45</v>
      </c>
      <c r="AI586" s="9">
        <v>0.49</v>
      </c>
      <c r="AJ586" s="9">
        <v>8.9999999999999993E-3</v>
      </c>
      <c r="AL586" s="9">
        <v>19.87</v>
      </c>
      <c r="AM586" s="9">
        <v>24.95</v>
      </c>
      <c r="AN586" s="9">
        <v>4.55</v>
      </c>
      <c r="AO586" s="9">
        <v>0.13</v>
      </c>
      <c r="AQ586" s="1"/>
    </row>
    <row r="587" spans="1:43" x14ac:dyDescent="0.3">
      <c r="A587">
        <v>37</v>
      </c>
      <c r="B587" t="s">
        <v>1657</v>
      </c>
      <c r="C587">
        <v>47</v>
      </c>
      <c r="D587"/>
      <c r="E587">
        <v>600</v>
      </c>
      <c r="G587" t="s">
        <v>29</v>
      </c>
      <c r="I587"/>
      <c r="J587">
        <v>18</v>
      </c>
      <c r="K587"/>
      <c r="N587">
        <v>1</v>
      </c>
      <c r="O587" s="3">
        <v>0</v>
      </c>
      <c r="P587">
        <v>90</v>
      </c>
      <c r="Q587">
        <v>7</v>
      </c>
      <c r="R587" t="s">
        <v>102</v>
      </c>
      <c r="T587" s="6">
        <f>10^-(14-Q587)</f>
        <v>9.9999999999999995E-8</v>
      </c>
      <c r="U587" s="6">
        <v>0</v>
      </c>
      <c r="V587" s="6">
        <v>0</v>
      </c>
      <c r="W587" s="6">
        <v>0</v>
      </c>
      <c r="X587" s="6">
        <v>0</v>
      </c>
      <c r="Y587" t="s">
        <v>171</v>
      </c>
      <c r="Z587"/>
      <c r="AA587"/>
      <c r="AB587"/>
      <c r="AC587"/>
      <c r="AD587">
        <v>0.33</v>
      </c>
      <c r="AE587">
        <v>436.55</v>
      </c>
      <c r="AF587">
        <v>1</v>
      </c>
      <c r="AG587" s="9">
        <v>1.4999999999999999E-2</v>
      </c>
      <c r="AH587" s="9">
        <v>1.45</v>
      </c>
      <c r="AI587" s="9">
        <v>0.49</v>
      </c>
      <c r="AJ587" s="9">
        <v>8.9999999999999993E-3</v>
      </c>
      <c r="AL587" s="9">
        <v>19.87</v>
      </c>
      <c r="AM587" s="9">
        <v>24.95</v>
      </c>
      <c r="AN587" s="9">
        <v>4.55</v>
      </c>
      <c r="AO587" s="9">
        <v>0.13</v>
      </c>
      <c r="AQ587" s="1"/>
    </row>
    <row r="588" spans="1:43" x14ac:dyDescent="0.3">
      <c r="A588">
        <v>37</v>
      </c>
      <c r="B588" t="s">
        <v>1657</v>
      </c>
      <c r="C588">
        <v>47</v>
      </c>
      <c r="D588"/>
      <c r="E588">
        <v>600</v>
      </c>
      <c r="G588" t="s">
        <v>29</v>
      </c>
      <c r="I588"/>
      <c r="J588">
        <v>18</v>
      </c>
      <c r="K588"/>
      <c r="N588">
        <v>1</v>
      </c>
      <c r="O588" s="3">
        <v>0</v>
      </c>
      <c r="P588">
        <v>75</v>
      </c>
      <c r="Q588">
        <v>7</v>
      </c>
      <c r="R588" t="s">
        <v>102</v>
      </c>
      <c r="T588" s="6">
        <f>10^-(14-Q588)</f>
        <v>9.9999999999999995E-8</v>
      </c>
      <c r="U588" s="6">
        <v>0</v>
      </c>
      <c r="V588" s="6">
        <v>0</v>
      </c>
      <c r="W588" s="6">
        <v>0</v>
      </c>
      <c r="X588" s="6">
        <v>0</v>
      </c>
      <c r="Y588" t="s">
        <v>171</v>
      </c>
      <c r="Z588"/>
      <c r="AA588"/>
      <c r="AB588"/>
      <c r="AC588"/>
      <c r="AD588">
        <v>0.33</v>
      </c>
      <c r="AE588">
        <v>702.65</v>
      </c>
      <c r="AF588">
        <v>1</v>
      </c>
      <c r="AG588" s="9">
        <v>1.4999999999999999E-2</v>
      </c>
      <c r="AH588" s="9">
        <v>1.45</v>
      </c>
      <c r="AI588" s="9">
        <v>0.49</v>
      </c>
      <c r="AJ588" s="9">
        <v>8.9999999999999993E-3</v>
      </c>
      <c r="AL588" s="9">
        <v>19.87</v>
      </c>
      <c r="AM588" s="9">
        <v>24.95</v>
      </c>
      <c r="AN588" s="9">
        <v>4.55</v>
      </c>
      <c r="AO588" s="9">
        <v>0.13</v>
      </c>
      <c r="AQ588" s="1"/>
    </row>
    <row r="589" spans="1:43" x14ac:dyDescent="0.3">
      <c r="A589">
        <v>37</v>
      </c>
      <c r="B589" t="s">
        <v>1657</v>
      </c>
      <c r="C589">
        <v>47</v>
      </c>
      <c r="D589"/>
      <c r="E589">
        <v>600</v>
      </c>
      <c r="G589" t="s">
        <v>29</v>
      </c>
      <c r="I589"/>
      <c r="J589">
        <v>18</v>
      </c>
      <c r="K589"/>
      <c r="N589">
        <v>1</v>
      </c>
      <c r="O589" s="3">
        <v>0</v>
      </c>
      <c r="P589">
        <v>90</v>
      </c>
      <c r="Q589">
        <v>7</v>
      </c>
      <c r="R589" t="s">
        <v>102</v>
      </c>
      <c r="T589" s="6">
        <f>10^-(14-Q589)</f>
        <v>9.9999999999999995E-8</v>
      </c>
      <c r="U589" s="6">
        <v>0</v>
      </c>
      <c r="V589" s="6">
        <v>0</v>
      </c>
      <c r="W589" s="6">
        <v>0</v>
      </c>
      <c r="X589" s="6">
        <v>0</v>
      </c>
      <c r="Y589" t="s">
        <v>171</v>
      </c>
      <c r="Z589"/>
      <c r="AA589"/>
      <c r="AB589"/>
      <c r="AC589"/>
      <c r="AD589">
        <v>0.33</v>
      </c>
      <c r="AE589">
        <v>468.02</v>
      </c>
      <c r="AF589">
        <v>1</v>
      </c>
      <c r="AG589" s="9">
        <v>1.4999999999999999E-2</v>
      </c>
      <c r="AH589" s="9">
        <v>1.45</v>
      </c>
      <c r="AI589" s="9">
        <v>0.49</v>
      </c>
      <c r="AJ589" s="9">
        <v>8.9999999999999993E-3</v>
      </c>
      <c r="AL589" s="9">
        <v>19.87</v>
      </c>
      <c r="AM589" s="9">
        <v>24.95</v>
      </c>
      <c r="AN589" s="9">
        <v>4.55</v>
      </c>
      <c r="AO589" s="9">
        <v>0.13</v>
      </c>
      <c r="AQ589" s="1"/>
    </row>
    <row r="590" spans="1:43" x14ac:dyDescent="0.3">
      <c r="A590">
        <v>37</v>
      </c>
      <c r="B590" t="s">
        <v>1657</v>
      </c>
      <c r="C590">
        <v>47</v>
      </c>
      <c r="D590"/>
      <c r="E590">
        <v>600</v>
      </c>
      <c r="G590" t="s">
        <v>29</v>
      </c>
      <c r="I590"/>
      <c r="J590">
        <v>18</v>
      </c>
      <c r="K590"/>
      <c r="N590">
        <v>1</v>
      </c>
      <c r="O590" s="3">
        <v>0</v>
      </c>
      <c r="P590">
        <v>75</v>
      </c>
      <c r="Q590">
        <v>7</v>
      </c>
      <c r="R590" t="s">
        <v>102</v>
      </c>
      <c r="T590" s="6">
        <f>10^-(14-Q590)</f>
        <v>9.9999999999999995E-8</v>
      </c>
      <c r="U590" s="6">
        <v>0</v>
      </c>
      <c r="V590" s="6">
        <v>0</v>
      </c>
      <c r="W590" s="6">
        <v>0</v>
      </c>
      <c r="X590" s="6">
        <v>0</v>
      </c>
      <c r="Y590" t="s">
        <v>171</v>
      </c>
      <c r="Z590"/>
      <c r="AA590"/>
      <c r="AB590"/>
      <c r="AC590"/>
      <c r="AD590">
        <v>0.33</v>
      </c>
      <c r="AE590">
        <v>483.19</v>
      </c>
      <c r="AF590">
        <v>1</v>
      </c>
      <c r="AG590" s="9">
        <v>1.4999999999999999E-2</v>
      </c>
      <c r="AH590" s="9">
        <v>1.45</v>
      </c>
      <c r="AI590" s="9">
        <v>0.49</v>
      </c>
      <c r="AJ590" s="9">
        <v>8.9999999999999993E-3</v>
      </c>
      <c r="AL590" s="9">
        <v>19.87</v>
      </c>
      <c r="AM590" s="9">
        <v>24.95</v>
      </c>
      <c r="AN590" s="9">
        <v>4.55</v>
      </c>
      <c r="AO590" s="9">
        <v>0.13</v>
      </c>
      <c r="AQ590" s="1"/>
    </row>
    <row r="591" spans="1:43" x14ac:dyDescent="0.3">
      <c r="A591">
        <v>37</v>
      </c>
      <c r="B591" t="s">
        <v>1657</v>
      </c>
      <c r="C591">
        <v>47</v>
      </c>
      <c r="D591"/>
      <c r="E591">
        <v>600</v>
      </c>
      <c r="G591" t="s">
        <v>29</v>
      </c>
      <c r="I591"/>
      <c r="J591">
        <v>18</v>
      </c>
      <c r="K591"/>
      <c r="N591">
        <v>1</v>
      </c>
      <c r="O591" s="3">
        <v>0</v>
      </c>
      <c r="P591">
        <v>90</v>
      </c>
      <c r="Q591">
        <v>7</v>
      </c>
      <c r="R591" t="s">
        <v>102</v>
      </c>
      <c r="T591" s="6">
        <f>10^-(14-Q591)</f>
        <v>9.9999999999999995E-8</v>
      </c>
      <c r="U591" s="6">
        <v>0</v>
      </c>
      <c r="V591" s="6">
        <v>0</v>
      </c>
      <c r="W591" s="6">
        <v>0</v>
      </c>
      <c r="X591" s="6">
        <v>0</v>
      </c>
      <c r="Y591" t="s">
        <v>171</v>
      </c>
      <c r="Z591"/>
      <c r="AA591"/>
      <c r="AB591"/>
      <c r="AC591"/>
      <c r="AD591">
        <v>0.33</v>
      </c>
      <c r="AE591">
        <v>408.12</v>
      </c>
      <c r="AF591">
        <v>1</v>
      </c>
      <c r="AG591" s="9">
        <v>1.4999999999999999E-2</v>
      </c>
      <c r="AH591" s="9">
        <v>1.45</v>
      </c>
      <c r="AI591" s="9">
        <v>0.49</v>
      </c>
      <c r="AJ591" s="9">
        <v>8.9999999999999993E-3</v>
      </c>
      <c r="AL591" s="9">
        <v>19.87</v>
      </c>
      <c r="AM591" s="9">
        <v>24.95</v>
      </c>
      <c r="AN591" s="9">
        <v>4.55</v>
      </c>
      <c r="AO591" s="9">
        <v>0.13</v>
      </c>
      <c r="AQ591" s="1"/>
    </row>
    <row r="592" spans="1:43" x14ac:dyDescent="0.3">
      <c r="A592">
        <v>37</v>
      </c>
      <c r="B592" t="s">
        <v>1657</v>
      </c>
      <c r="C592">
        <v>47</v>
      </c>
      <c r="D592"/>
      <c r="E592">
        <v>600</v>
      </c>
      <c r="G592" t="s">
        <v>29</v>
      </c>
      <c r="I592"/>
      <c r="J592">
        <v>18</v>
      </c>
      <c r="K592"/>
      <c r="N592">
        <v>1</v>
      </c>
      <c r="O592" s="3">
        <v>0</v>
      </c>
      <c r="P592">
        <v>40</v>
      </c>
      <c r="Q592">
        <v>7</v>
      </c>
      <c r="R592" t="s">
        <v>102</v>
      </c>
      <c r="T592" s="6">
        <f>10^-(14-Q592)</f>
        <v>9.9999999999999995E-8</v>
      </c>
      <c r="U592" s="6">
        <v>0</v>
      </c>
      <c r="V592" s="6">
        <v>0</v>
      </c>
      <c r="W592" s="6">
        <v>0</v>
      </c>
      <c r="X592" s="6">
        <v>0</v>
      </c>
      <c r="Y592" t="s">
        <v>171</v>
      </c>
      <c r="Z592"/>
      <c r="AA592"/>
      <c r="AB592"/>
      <c r="AC592"/>
      <c r="AD592">
        <v>0.33</v>
      </c>
      <c r="AE592">
        <v>654.47</v>
      </c>
      <c r="AF592">
        <v>1</v>
      </c>
      <c r="AG592" s="9">
        <v>1.2999999999999999E-2</v>
      </c>
      <c r="AH592" s="9">
        <v>1.43</v>
      </c>
      <c r="AI592" s="9">
        <v>0.55000000000000004</v>
      </c>
      <c r="AJ592" s="9">
        <v>0.01</v>
      </c>
      <c r="AL592" s="9">
        <v>19.96</v>
      </c>
      <c r="AM592" s="9">
        <v>24.9</v>
      </c>
      <c r="AN592" s="9">
        <v>0.04</v>
      </c>
      <c r="AO592" s="9">
        <v>0.18</v>
      </c>
      <c r="AQ592" s="1"/>
    </row>
    <row r="593" spans="1:43" x14ac:dyDescent="0.3">
      <c r="A593">
        <v>37</v>
      </c>
      <c r="B593" t="s">
        <v>1657</v>
      </c>
      <c r="C593">
        <v>47</v>
      </c>
      <c r="D593"/>
      <c r="E593">
        <v>600</v>
      </c>
      <c r="G593" t="s">
        <v>29</v>
      </c>
      <c r="I593"/>
      <c r="J593">
        <v>18</v>
      </c>
      <c r="K593"/>
      <c r="N593">
        <v>1</v>
      </c>
      <c r="O593" s="3">
        <v>0</v>
      </c>
      <c r="P593">
        <v>50</v>
      </c>
      <c r="Q593">
        <v>7</v>
      </c>
      <c r="R593" t="s">
        <v>102</v>
      </c>
      <c r="T593" s="6">
        <f>10^-(14-Q593)</f>
        <v>9.9999999999999995E-8</v>
      </c>
      <c r="U593" s="6">
        <v>0</v>
      </c>
      <c r="V593" s="6">
        <v>0</v>
      </c>
      <c r="W593" s="6">
        <v>0</v>
      </c>
      <c r="X593" s="6">
        <v>0</v>
      </c>
      <c r="Y593" t="s">
        <v>171</v>
      </c>
      <c r="Z593"/>
      <c r="AA593"/>
      <c r="AB593"/>
      <c r="AC593"/>
      <c r="AD593">
        <v>0.33</v>
      </c>
      <c r="AE593">
        <v>382.97</v>
      </c>
      <c r="AF593">
        <v>1</v>
      </c>
      <c r="AG593" s="9">
        <v>1.2999999999999999E-2</v>
      </c>
      <c r="AH593" s="9">
        <v>1.43</v>
      </c>
      <c r="AI593" s="9">
        <v>0.55000000000000004</v>
      </c>
      <c r="AJ593" s="9">
        <v>0.01</v>
      </c>
      <c r="AL593" s="9">
        <v>19.96</v>
      </c>
      <c r="AM593" s="9">
        <v>24.9</v>
      </c>
      <c r="AN593" s="9">
        <v>0.04</v>
      </c>
      <c r="AO593" s="9">
        <v>0.18</v>
      </c>
      <c r="AQ593" s="1"/>
    </row>
    <row r="594" spans="1:43" x14ac:dyDescent="0.3">
      <c r="A594">
        <v>37</v>
      </c>
      <c r="B594" t="s">
        <v>1657</v>
      </c>
      <c r="C594">
        <v>47</v>
      </c>
      <c r="D594"/>
      <c r="E594">
        <v>600</v>
      </c>
      <c r="G594" t="s">
        <v>29</v>
      </c>
      <c r="I594"/>
      <c r="J594">
        <v>18</v>
      </c>
      <c r="K594"/>
      <c r="N594">
        <v>1</v>
      </c>
      <c r="O594" s="3">
        <v>0</v>
      </c>
      <c r="P594">
        <v>40</v>
      </c>
      <c r="Q594">
        <v>7</v>
      </c>
      <c r="R594" t="s">
        <v>102</v>
      </c>
      <c r="T594" s="6">
        <f>10^-(14-Q594)</f>
        <v>9.9999999999999995E-8</v>
      </c>
      <c r="U594" s="6">
        <v>0</v>
      </c>
      <c r="V594" s="6">
        <v>0</v>
      </c>
      <c r="W594" s="6">
        <v>0</v>
      </c>
      <c r="X594" s="6">
        <v>0</v>
      </c>
      <c r="Y594" t="s">
        <v>171</v>
      </c>
      <c r="Z594"/>
      <c r="AA594"/>
      <c r="AB594"/>
      <c r="AC594"/>
      <c r="AD594">
        <v>0.33</v>
      </c>
      <c r="AE594">
        <v>862</v>
      </c>
      <c r="AF594">
        <v>1</v>
      </c>
      <c r="AG594" s="9">
        <v>1.2999999999999999E-2</v>
      </c>
      <c r="AH594" s="9">
        <v>1.43</v>
      </c>
      <c r="AI594" s="9">
        <v>0.55000000000000004</v>
      </c>
      <c r="AJ594" s="9">
        <v>0.01</v>
      </c>
      <c r="AL594" s="9">
        <v>19.96</v>
      </c>
      <c r="AM594" s="9">
        <v>24.9</v>
      </c>
      <c r="AN594" s="9">
        <v>0.04</v>
      </c>
      <c r="AO594" s="9">
        <v>0.18</v>
      </c>
      <c r="AQ594" s="1"/>
    </row>
    <row r="595" spans="1:43" x14ac:dyDescent="0.3">
      <c r="A595">
        <v>37</v>
      </c>
      <c r="B595" t="s">
        <v>1657</v>
      </c>
      <c r="C595">
        <v>47</v>
      </c>
      <c r="D595"/>
      <c r="E595">
        <v>600</v>
      </c>
      <c r="G595" t="s">
        <v>29</v>
      </c>
      <c r="I595"/>
      <c r="J595">
        <v>18</v>
      </c>
      <c r="K595"/>
      <c r="N595">
        <v>1</v>
      </c>
      <c r="O595" s="3">
        <v>0</v>
      </c>
      <c r="P595">
        <v>50</v>
      </c>
      <c r="Q595">
        <v>7</v>
      </c>
      <c r="R595" t="s">
        <v>102</v>
      </c>
      <c r="T595" s="6">
        <f>10^-(14-Q595)</f>
        <v>9.9999999999999995E-8</v>
      </c>
      <c r="U595" s="6">
        <v>0</v>
      </c>
      <c r="V595" s="6">
        <v>0</v>
      </c>
      <c r="W595" s="6">
        <v>0</v>
      </c>
      <c r="X595" s="6">
        <v>0</v>
      </c>
      <c r="Y595" t="s">
        <v>171</v>
      </c>
      <c r="Z595"/>
      <c r="AA595"/>
      <c r="AB595"/>
      <c r="AC595"/>
      <c r="AD595">
        <v>0.33</v>
      </c>
      <c r="AE595">
        <v>438.88</v>
      </c>
      <c r="AF595">
        <v>1</v>
      </c>
      <c r="AG595" s="9">
        <v>1.2999999999999999E-2</v>
      </c>
      <c r="AH595" s="9">
        <v>1.43</v>
      </c>
      <c r="AI595" s="9">
        <v>0.55000000000000004</v>
      </c>
      <c r="AJ595" s="9">
        <v>0.01</v>
      </c>
      <c r="AL595" s="9">
        <v>19.96</v>
      </c>
      <c r="AM595" s="9">
        <v>24.9</v>
      </c>
      <c r="AN595" s="9">
        <v>0.04</v>
      </c>
      <c r="AO595" s="9">
        <v>0.18</v>
      </c>
      <c r="AQ595" s="1"/>
    </row>
    <row r="596" spans="1:43" x14ac:dyDescent="0.3">
      <c r="A596">
        <v>37</v>
      </c>
      <c r="B596" t="s">
        <v>1657</v>
      </c>
      <c r="C596">
        <v>47</v>
      </c>
      <c r="D596"/>
      <c r="E596">
        <v>600</v>
      </c>
      <c r="G596" t="s">
        <v>29</v>
      </c>
      <c r="I596"/>
      <c r="J596">
        <v>18</v>
      </c>
      <c r="K596"/>
      <c r="N596">
        <v>1</v>
      </c>
      <c r="O596" s="3">
        <v>0</v>
      </c>
      <c r="P596">
        <v>40</v>
      </c>
      <c r="Q596">
        <v>7</v>
      </c>
      <c r="R596" t="s">
        <v>102</v>
      </c>
      <c r="T596" s="6">
        <f>10^-(14-Q596)</f>
        <v>9.9999999999999995E-8</v>
      </c>
      <c r="U596" s="6">
        <v>0</v>
      </c>
      <c r="V596" s="6">
        <v>0</v>
      </c>
      <c r="W596" s="6">
        <v>0</v>
      </c>
      <c r="X596" s="6">
        <v>0</v>
      </c>
      <c r="Y596" t="s">
        <v>171</v>
      </c>
      <c r="Z596"/>
      <c r="AA596"/>
      <c r="AB596"/>
      <c r="AC596"/>
      <c r="AD596">
        <v>0.33</v>
      </c>
      <c r="AE596">
        <v>519.58000000000004</v>
      </c>
      <c r="AF596">
        <v>1</v>
      </c>
      <c r="AG596" s="9">
        <v>1.2999999999999999E-2</v>
      </c>
      <c r="AH596" s="9">
        <v>1.43</v>
      </c>
      <c r="AI596" s="9">
        <v>0.55000000000000004</v>
      </c>
      <c r="AJ596" s="9">
        <v>0.01</v>
      </c>
      <c r="AL596" s="9">
        <v>19.96</v>
      </c>
      <c r="AM596" s="9">
        <v>24.9</v>
      </c>
      <c r="AN596" s="9">
        <v>0.04</v>
      </c>
      <c r="AO596" s="9">
        <v>0.18</v>
      </c>
      <c r="AQ596" s="1"/>
    </row>
    <row r="597" spans="1:43" x14ac:dyDescent="0.3">
      <c r="A597">
        <v>37</v>
      </c>
      <c r="B597" t="s">
        <v>1657</v>
      </c>
      <c r="C597">
        <v>47</v>
      </c>
      <c r="D597"/>
      <c r="E597">
        <v>600</v>
      </c>
      <c r="G597" t="s">
        <v>29</v>
      </c>
      <c r="I597"/>
      <c r="J597">
        <v>18</v>
      </c>
      <c r="K597"/>
      <c r="N597">
        <v>1</v>
      </c>
      <c r="O597" s="3">
        <v>0</v>
      </c>
      <c r="P597">
        <v>50</v>
      </c>
      <c r="Q597">
        <v>7</v>
      </c>
      <c r="R597" t="s">
        <v>102</v>
      </c>
      <c r="T597" s="6">
        <f>10^-(14-Q597)</f>
        <v>9.9999999999999995E-8</v>
      </c>
      <c r="U597" s="6">
        <v>0</v>
      </c>
      <c r="V597" s="6">
        <v>0</v>
      </c>
      <c r="W597" s="6">
        <v>0</v>
      </c>
      <c r="X597" s="6">
        <v>0</v>
      </c>
      <c r="Y597" t="s">
        <v>171</v>
      </c>
      <c r="Z597"/>
      <c r="AA597"/>
      <c r="AB597"/>
      <c r="AC597"/>
      <c r="AD597">
        <v>0.33</v>
      </c>
      <c r="AE597">
        <v>341.3</v>
      </c>
      <c r="AF597">
        <v>1</v>
      </c>
      <c r="AG597" s="9">
        <v>1.2999999999999999E-2</v>
      </c>
      <c r="AH597" s="9">
        <v>1.43</v>
      </c>
      <c r="AI597" s="9">
        <v>0.55000000000000004</v>
      </c>
      <c r="AJ597" s="9">
        <v>0.01</v>
      </c>
      <c r="AL597" s="9">
        <v>19.96</v>
      </c>
      <c r="AM597" s="9">
        <v>24.9</v>
      </c>
      <c r="AN597" s="9">
        <v>0.04</v>
      </c>
      <c r="AO597" s="9">
        <v>0.18</v>
      </c>
      <c r="AQ597" s="1"/>
    </row>
    <row r="598" spans="1:43" x14ac:dyDescent="0.3">
      <c r="A598">
        <v>37</v>
      </c>
      <c r="B598" t="s">
        <v>1657</v>
      </c>
      <c r="C598">
        <v>47</v>
      </c>
      <c r="D598"/>
      <c r="E598">
        <v>600</v>
      </c>
      <c r="G598" t="s">
        <v>29</v>
      </c>
      <c r="I598"/>
      <c r="J598">
        <v>18</v>
      </c>
      <c r="K598"/>
      <c r="N598">
        <v>1</v>
      </c>
      <c r="O598" s="3">
        <v>0</v>
      </c>
      <c r="P598">
        <v>40</v>
      </c>
      <c r="Q598">
        <v>7</v>
      </c>
      <c r="R598" t="s">
        <v>102</v>
      </c>
      <c r="T598" s="6">
        <f>10^-(14-Q598)</f>
        <v>9.9999999999999995E-8</v>
      </c>
      <c r="U598" s="6">
        <v>0</v>
      </c>
      <c r="V598" s="6">
        <v>0</v>
      </c>
      <c r="W598" s="6">
        <v>0</v>
      </c>
      <c r="X598" s="6">
        <v>0</v>
      </c>
      <c r="Y598" t="s">
        <v>171</v>
      </c>
      <c r="Z598"/>
      <c r="AA598"/>
      <c r="AB598"/>
      <c r="AC598"/>
      <c r="AD598">
        <v>0.33</v>
      </c>
      <c r="AE598">
        <v>477.04</v>
      </c>
      <c r="AF598">
        <v>1</v>
      </c>
      <c r="AG598" s="9">
        <v>1.4E-2</v>
      </c>
      <c r="AH598" s="9">
        <v>1.43</v>
      </c>
      <c r="AI598" s="9">
        <v>0.55000000000000004</v>
      </c>
      <c r="AJ598" s="9">
        <v>8.9999999999999993E-3</v>
      </c>
      <c r="AL598" s="9">
        <v>20.03</v>
      </c>
      <c r="AM598" s="9">
        <v>24.87</v>
      </c>
      <c r="AN598" s="9">
        <v>0.04</v>
      </c>
      <c r="AO598" s="9">
        <v>0.13</v>
      </c>
      <c r="AQ598" s="1"/>
    </row>
    <row r="599" spans="1:43" x14ac:dyDescent="0.3">
      <c r="A599">
        <v>37</v>
      </c>
      <c r="B599" t="s">
        <v>1657</v>
      </c>
      <c r="C599">
        <v>47</v>
      </c>
      <c r="D599"/>
      <c r="E599">
        <v>600</v>
      </c>
      <c r="G599" t="s">
        <v>29</v>
      </c>
      <c r="I599"/>
      <c r="J599">
        <v>18</v>
      </c>
      <c r="K599"/>
      <c r="N599">
        <v>1</v>
      </c>
      <c r="O599" s="3">
        <v>0</v>
      </c>
      <c r="P599">
        <v>50</v>
      </c>
      <c r="Q599">
        <v>7</v>
      </c>
      <c r="R599" t="s">
        <v>102</v>
      </c>
      <c r="T599" s="6">
        <f>10^-(14-Q599)</f>
        <v>9.9999999999999995E-8</v>
      </c>
      <c r="U599" s="6">
        <v>0</v>
      </c>
      <c r="V599" s="6">
        <v>0</v>
      </c>
      <c r="W599" s="6">
        <v>0</v>
      </c>
      <c r="X599" s="6">
        <v>0</v>
      </c>
      <c r="Y599" t="s">
        <v>171</v>
      </c>
      <c r="Z599"/>
      <c r="AA599"/>
      <c r="AB599"/>
      <c r="AC599"/>
      <c r="AD599">
        <v>0.33</v>
      </c>
      <c r="AE599">
        <v>338.25</v>
      </c>
      <c r="AF599">
        <v>1</v>
      </c>
      <c r="AG599" s="9">
        <v>1.4E-2</v>
      </c>
      <c r="AH599" s="9">
        <v>1.43</v>
      </c>
      <c r="AI599" s="9">
        <v>0.55000000000000004</v>
      </c>
      <c r="AJ599" s="9">
        <v>8.9999999999999993E-3</v>
      </c>
      <c r="AL599" s="9">
        <v>20.03</v>
      </c>
      <c r="AM599" s="9">
        <v>24.87</v>
      </c>
      <c r="AN599" s="9">
        <v>0.04</v>
      </c>
      <c r="AO599" s="9">
        <v>0.13</v>
      </c>
      <c r="AQ599" s="1"/>
    </row>
    <row r="600" spans="1:43" x14ac:dyDescent="0.3">
      <c r="A600">
        <v>37</v>
      </c>
      <c r="B600" t="s">
        <v>1657</v>
      </c>
      <c r="C600">
        <v>47</v>
      </c>
      <c r="D600"/>
      <c r="E600">
        <v>600</v>
      </c>
      <c r="G600" t="s">
        <v>29</v>
      </c>
      <c r="I600"/>
      <c r="J600">
        <v>18</v>
      </c>
      <c r="K600"/>
      <c r="N600">
        <v>1</v>
      </c>
      <c r="O600" s="3">
        <v>0</v>
      </c>
      <c r="P600">
        <v>40</v>
      </c>
      <c r="Q600">
        <v>7</v>
      </c>
      <c r="R600" t="s">
        <v>102</v>
      </c>
      <c r="T600" s="6">
        <f>10^-(14-Q600)</f>
        <v>9.9999999999999995E-8</v>
      </c>
      <c r="U600" s="6">
        <v>0</v>
      </c>
      <c r="V600" s="6">
        <v>0</v>
      </c>
      <c r="W600" s="6">
        <v>0</v>
      </c>
      <c r="X600" s="6">
        <v>0</v>
      </c>
      <c r="Y600" t="s">
        <v>171</v>
      </c>
      <c r="Z600"/>
      <c r="AA600"/>
      <c r="AB600"/>
      <c r="AC600"/>
      <c r="AD600">
        <v>0.33</v>
      </c>
      <c r="AE600">
        <v>523.74</v>
      </c>
      <c r="AF600">
        <v>1</v>
      </c>
      <c r="AG600" s="9">
        <v>1.4E-2</v>
      </c>
      <c r="AH600" s="9">
        <v>1.43</v>
      </c>
      <c r="AI600" s="9">
        <v>0.55000000000000004</v>
      </c>
      <c r="AJ600" s="9">
        <v>8.9999999999999993E-3</v>
      </c>
      <c r="AL600" s="9">
        <v>20.03</v>
      </c>
      <c r="AM600" s="9">
        <v>24.87</v>
      </c>
      <c r="AN600" s="9">
        <v>0.04</v>
      </c>
      <c r="AO600" s="9">
        <v>0.13</v>
      </c>
      <c r="AQ600" s="1"/>
    </row>
    <row r="601" spans="1:43" x14ac:dyDescent="0.3">
      <c r="A601">
        <v>37</v>
      </c>
      <c r="B601" t="s">
        <v>1657</v>
      </c>
      <c r="C601">
        <v>47</v>
      </c>
      <c r="D601"/>
      <c r="E601">
        <v>600</v>
      </c>
      <c r="G601" t="s">
        <v>29</v>
      </c>
      <c r="I601"/>
      <c r="J601">
        <v>18</v>
      </c>
      <c r="K601"/>
      <c r="N601">
        <v>1</v>
      </c>
      <c r="O601" s="3">
        <v>0</v>
      </c>
      <c r="P601">
        <v>50</v>
      </c>
      <c r="Q601">
        <v>7</v>
      </c>
      <c r="R601" t="s">
        <v>102</v>
      </c>
      <c r="T601" s="6">
        <f>10^-(14-Q601)</f>
        <v>9.9999999999999995E-8</v>
      </c>
      <c r="U601" s="6">
        <v>0</v>
      </c>
      <c r="V601" s="6">
        <v>0</v>
      </c>
      <c r="W601" s="6">
        <v>0</v>
      </c>
      <c r="X601" s="6">
        <v>0</v>
      </c>
      <c r="Y601" t="s">
        <v>171</v>
      </c>
      <c r="Z601"/>
      <c r="AA601"/>
      <c r="AB601"/>
      <c r="AC601"/>
      <c r="AD601">
        <v>0.33</v>
      </c>
      <c r="AE601">
        <v>391.11</v>
      </c>
      <c r="AF601">
        <v>1</v>
      </c>
      <c r="AG601" s="9">
        <v>1.4E-2</v>
      </c>
      <c r="AH601" s="9">
        <v>1.43</v>
      </c>
      <c r="AI601" s="9">
        <v>0.55000000000000004</v>
      </c>
      <c r="AJ601" s="9">
        <v>8.9999999999999993E-3</v>
      </c>
      <c r="AL601" s="9">
        <v>20.03</v>
      </c>
      <c r="AM601" s="9">
        <v>24.87</v>
      </c>
      <c r="AN601" s="9">
        <v>0.04</v>
      </c>
      <c r="AO601" s="9">
        <v>0.13</v>
      </c>
      <c r="AQ601" s="1"/>
    </row>
    <row r="602" spans="1:43" x14ac:dyDescent="0.3">
      <c r="A602">
        <v>37</v>
      </c>
      <c r="B602" t="s">
        <v>1657</v>
      </c>
      <c r="C602">
        <v>47</v>
      </c>
      <c r="D602"/>
      <c r="E602">
        <v>600</v>
      </c>
      <c r="G602" t="s">
        <v>29</v>
      </c>
      <c r="I602"/>
      <c r="J602">
        <v>18</v>
      </c>
      <c r="K602"/>
      <c r="N602">
        <v>1</v>
      </c>
      <c r="O602" s="3">
        <v>0</v>
      </c>
      <c r="P602">
        <v>40</v>
      </c>
      <c r="Q602">
        <v>7</v>
      </c>
      <c r="R602" t="s">
        <v>102</v>
      </c>
      <c r="T602" s="6">
        <f>10^-(14-Q602)</f>
        <v>9.9999999999999995E-8</v>
      </c>
      <c r="U602" s="6">
        <v>0</v>
      </c>
      <c r="V602" s="6">
        <v>0</v>
      </c>
      <c r="W602" s="6">
        <v>0</v>
      </c>
      <c r="X602" s="6">
        <v>0</v>
      </c>
      <c r="Y602" t="s">
        <v>171</v>
      </c>
      <c r="Z602"/>
      <c r="AA602"/>
      <c r="AB602"/>
      <c r="AC602"/>
      <c r="AD602">
        <v>0.33</v>
      </c>
      <c r="AE602">
        <v>428.27</v>
      </c>
      <c r="AF602">
        <v>1</v>
      </c>
      <c r="AG602" s="9">
        <v>1.4E-2</v>
      </c>
      <c r="AH602" s="9">
        <v>1.43</v>
      </c>
      <c r="AI602" s="9">
        <v>0.55000000000000004</v>
      </c>
      <c r="AJ602" s="9">
        <v>8.9999999999999993E-3</v>
      </c>
      <c r="AL602" s="9">
        <v>20.03</v>
      </c>
      <c r="AM602" s="9">
        <v>24.87</v>
      </c>
      <c r="AN602" s="9">
        <v>0.04</v>
      </c>
      <c r="AO602" s="9">
        <v>0.13</v>
      </c>
      <c r="AQ602" s="1"/>
    </row>
    <row r="603" spans="1:43" x14ac:dyDescent="0.3">
      <c r="A603">
        <v>37</v>
      </c>
      <c r="B603" t="s">
        <v>1657</v>
      </c>
      <c r="C603">
        <v>47</v>
      </c>
      <c r="D603"/>
      <c r="E603">
        <v>600</v>
      </c>
      <c r="G603" t="s">
        <v>29</v>
      </c>
      <c r="I603"/>
      <c r="J603">
        <v>18</v>
      </c>
      <c r="K603"/>
      <c r="N603">
        <v>1</v>
      </c>
      <c r="O603" s="3">
        <v>0</v>
      </c>
      <c r="P603">
        <v>50</v>
      </c>
      <c r="Q603">
        <v>7</v>
      </c>
      <c r="R603" t="s">
        <v>102</v>
      </c>
      <c r="T603" s="6">
        <f>10^-(14-Q603)</f>
        <v>9.9999999999999995E-8</v>
      </c>
      <c r="U603" s="6">
        <v>0</v>
      </c>
      <c r="V603" s="6">
        <v>0</v>
      </c>
      <c r="W603" s="6">
        <v>0</v>
      </c>
      <c r="X603" s="6">
        <v>0</v>
      </c>
      <c r="Y603" t="s">
        <v>171</v>
      </c>
      <c r="Z603"/>
      <c r="AA603"/>
      <c r="AB603"/>
      <c r="AC603"/>
      <c r="AD603">
        <v>0.33</v>
      </c>
      <c r="AE603">
        <v>313.85000000000002</v>
      </c>
      <c r="AF603">
        <v>1</v>
      </c>
      <c r="AG603" s="9">
        <v>1.4E-2</v>
      </c>
      <c r="AH603" s="9">
        <v>1.43</v>
      </c>
      <c r="AI603" s="9">
        <v>0.55000000000000004</v>
      </c>
      <c r="AJ603" s="9">
        <v>8.9999999999999993E-3</v>
      </c>
      <c r="AL603" s="9">
        <v>20.03</v>
      </c>
      <c r="AM603" s="9">
        <v>24.87</v>
      </c>
      <c r="AN603" s="9">
        <v>0.04</v>
      </c>
      <c r="AO603" s="9">
        <v>0.13</v>
      </c>
      <c r="AQ603" s="1"/>
    </row>
    <row r="604" spans="1:43" x14ac:dyDescent="0.3">
      <c r="A604">
        <v>37</v>
      </c>
      <c r="B604" t="s">
        <v>1657</v>
      </c>
      <c r="C604">
        <v>47</v>
      </c>
      <c r="D604"/>
      <c r="E604">
        <v>600</v>
      </c>
      <c r="G604" t="s">
        <v>29</v>
      </c>
      <c r="I604"/>
      <c r="J604">
        <v>18</v>
      </c>
      <c r="K604"/>
      <c r="N604">
        <v>1</v>
      </c>
      <c r="O604" s="3">
        <v>0</v>
      </c>
      <c r="P604">
        <v>40</v>
      </c>
      <c r="Q604">
        <v>7</v>
      </c>
      <c r="R604" t="s">
        <v>102</v>
      </c>
      <c r="T604" s="6">
        <f>10^-(14-Q604)</f>
        <v>9.9999999999999995E-8</v>
      </c>
      <c r="U604" s="6">
        <v>0</v>
      </c>
      <c r="V604" s="6">
        <v>0</v>
      </c>
      <c r="W604" s="6">
        <v>0</v>
      </c>
      <c r="X604" s="6">
        <v>0</v>
      </c>
      <c r="Y604" t="s">
        <v>171</v>
      </c>
      <c r="Z604"/>
      <c r="AA604"/>
      <c r="AB604"/>
      <c r="AC604"/>
      <c r="AD604">
        <v>0.33</v>
      </c>
      <c r="AE604">
        <v>320.36</v>
      </c>
      <c r="AF604">
        <v>1</v>
      </c>
      <c r="AG604" s="9">
        <v>3.0000000000000001E-3</v>
      </c>
      <c r="AH604" s="9">
        <v>1.31</v>
      </c>
      <c r="AI604" s="9">
        <v>0.53</v>
      </c>
      <c r="AJ604" s="9">
        <v>0.01</v>
      </c>
      <c r="AL604" s="9">
        <v>20.14</v>
      </c>
      <c r="AM604" s="9">
        <v>24.75</v>
      </c>
      <c r="AN604" s="9">
        <v>0.08</v>
      </c>
      <c r="AO604" s="9">
        <v>0.01</v>
      </c>
      <c r="AQ604" s="1"/>
    </row>
    <row r="605" spans="1:43" x14ac:dyDescent="0.3">
      <c r="A605">
        <v>37</v>
      </c>
      <c r="B605" t="s">
        <v>1657</v>
      </c>
      <c r="C605">
        <v>47</v>
      </c>
      <c r="D605"/>
      <c r="E605">
        <v>600</v>
      </c>
      <c r="G605" t="s">
        <v>29</v>
      </c>
      <c r="I605"/>
      <c r="J605">
        <v>18</v>
      </c>
      <c r="K605"/>
      <c r="N605">
        <v>1</v>
      </c>
      <c r="O605" s="3">
        <v>0</v>
      </c>
      <c r="P605">
        <v>40</v>
      </c>
      <c r="Q605">
        <v>7</v>
      </c>
      <c r="R605" t="s">
        <v>102</v>
      </c>
      <c r="T605" s="6">
        <f>10^-(14-Q605)</f>
        <v>9.9999999999999995E-8</v>
      </c>
      <c r="U605" s="6">
        <v>0</v>
      </c>
      <c r="V605" s="6">
        <v>0</v>
      </c>
      <c r="W605" s="6">
        <v>0</v>
      </c>
      <c r="X605" s="6">
        <v>0</v>
      </c>
      <c r="Y605" t="s">
        <v>171</v>
      </c>
      <c r="Z605"/>
      <c r="AA605"/>
      <c r="AB605"/>
      <c r="AC605"/>
      <c r="AD605">
        <v>0.33</v>
      </c>
      <c r="AE605">
        <v>455.25</v>
      </c>
      <c r="AF605">
        <v>1</v>
      </c>
      <c r="AG605" s="9">
        <v>1.4E-2</v>
      </c>
      <c r="AH605" s="9">
        <v>1.31</v>
      </c>
      <c r="AI605" s="9">
        <v>0.53</v>
      </c>
      <c r="AJ605" s="9">
        <v>0.01</v>
      </c>
      <c r="AL605" s="9">
        <v>20.14</v>
      </c>
      <c r="AM605" s="9">
        <v>24.75</v>
      </c>
      <c r="AN605" s="9">
        <v>0.08</v>
      </c>
      <c r="AO605" s="9">
        <v>6.4000000000000001E-2</v>
      </c>
      <c r="AQ605" s="1"/>
    </row>
    <row r="606" spans="1:43" x14ac:dyDescent="0.3">
      <c r="A606">
        <v>37</v>
      </c>
      <c r="B606" t="s">
        <v>1657</v>
      </c>
      <c r="C606">
        <v>47</v>
      </c>
      <c r="D606"/>
      <c r="E606">
        <v>600</v>
      </c>
      <c r="G606" t="s">
        <v>29</v>
      </c>
      <c r="I606"/>
      <c r="J606">
        <v>18</v>
      </c>
      <c r="K606"/>
      <c r="N606">
        <v>1</v>
      </c>
      <c r="O606" s="3">
        <v>0</v>
      </c>
      <c r="P606">
        <v>50</v>
      </c>
      <c r="Q606">
        <v>7</v>
      </c>
      <c r="R606" t="s">
        <v>102</v>
      </c>
      <c r="T606" s="6">
        <f>10^-(14-Q606)</f>
        <v>9.9999999999999995E-8</v>
      </c>
      <c r="U606" s="6">
        <v>0</v>
      </c>
      <c r="V606" s="6">
        <v>0</v>
      </c>
      <c r="W606" s="6">
        <v>0</v>
      </c>
      <c r="X606" s="6">
        <v>0</v>
      </c>
      <c r="Y606" t="s">
        <v>171</v>
      </c>
      <c r="Z606"/>
      <c r="AA606"/>
      <c r="AB606"/>
      <c r="AC606"/>
      <c r="AD606">
        <v>0.33</v>
      </c>
      <c r="AE606">
        <v>251.84</v>
      </c>
      <c r="AF606">
        <v>1</v>
      </c>
      <c r="AG606" s="9">
        <v>3.0000000000000001E-3</v>
      </c>
      <c r="AH606" s="9">
        <v>1.31</v>
      </c>
      <c r="AI606" s="9">
        <v>0.53</v>
      </c>
      <c r="AJ606" s="9">
        <v>0.01</v>
      </c>
      <c r="AL606" s="9">
        <v>20.14</v>
      </c>
      <c r="AM606" s="9">
        <v>24.75</v>
      </c>
      <c r="AN606" s="9">
        <v>0.08</v>
      </c>
      <c r="AO606" s="9">
        <v>0.01</v>
      </c>
      <c r="AQ606" s="1"/>
    </row>
    <row r="607" spans="1:43" x14ac:dyDescent="0.3">
      <c r="A607">
        <v>37</v>
      </c>
      <c r="B607" t="s">
        <v>1657</v>
      </c>
      <c r="C607">
        <v>47</v>
      </c>
      <c r="D607"/>
      <c r="E607">
        <v>600</v>
      </c>
      <c r="G607" t="s">
        <v>29</v>
      </c>
      <c r="I607"/>
      <c r="J607">
        <v>18</v>
      </c>
      <c r="K607"/>
      <c r="N607">
        <v>1</v>
      </c>
      <c r="O607" s="3">
        <v>0</v>
      </c>
      <c r="P607">
        <v>50</v>
      </c>
      <c r="Q607">
        <v>7</v>
      </c>
      <c r="R607" t="s">
        <v>102</v>
      </c>
      <c r="T607" s="6">
        <f>10^-(14-Q607)</f>
        <v>9.9999999999999995E-8</v>
      </c>
      <c r="U607" s="6">
        <v>0</v>
      </c>
      <c r="V607" s="6">
        <v>0</v>
      </c>
      <c r="W607" s="6">
        <v>0</v>
      </c>
      <c r="X607" s="6">
        <v>0</v>
      </c>
      <c r="Y607" t="s">
        <v>171</v>
      </c>
      <c r="Z607"/>
      <c r="AA607"/>
      <c r="AB607"/>
      <c r="AC607"/>
      <c r="AD607">
        <v>0.33</v>
      </c>
      <c r="AE607">
        <v>269.12</v>
      </c>
      <c r="AF607">
        <v>1</v>
      </c>
      <c r="AG607" s="9">
        <v>1.4E-2</v>
      </c>
      <c r="AH607" s="9">
        <v>1.31</v>
      </c>
      <c r="AI607" s="9">
        <v>0.53</v>
      </c>
      <c r="AJ607" s="9">
        <v>0.01</v>
      </c>
      <c r="AL607" s="9">
        <v>20.14</v>
      </c>
      <c r="AM607" s="9">
        <v>24.75</v>
      </c>
      <c r="AN607" s="9">
        <v>0.08</v>
      </c>
      <c r="AO607" s="9">
        <v>6.4000000000000001E-2</v>
      </c>
      <c r="AQ607" s="1"/>
    </row>
    <row r="608" spans="1:43" x14ac:dyDescent="0.3">
      <c r="A608">
        <v>37</v>
      </c>
      <c r="B608" t="s">
        <v>1657</v>
      </c>
      <c r="C608">
        <v>47</v>
      </c>
      <c r="D608"/>
      <c r="E608">
        <v>600</v>
      </c>
      <c r="G608" t="s">
        <v>29</v>
      </c>
      <c r="I608"/>
      <c r="J608">
        <v>18</v>
      </c>
      <c r="K608"/>
      <c r="N608">
        <v>1</v>
      </c>
      <c r="O608" s="3">
        <v>0</v>
      </c>
      <c r="P608">
        <v>40</v>
      </c>
      <c r="Q608">
        <v>7</v>
      </c>
      <c r="R608" t="s">
        <v>102</v>
      </c>
      <c r="T608" s="6">
        <f>10^-(14-Q608)</f>
        <v>9.9999999999999995E-8</v>
      </c>
      <c r="U608" s="6">
        <v>0</v>
      </c>
      <c r="V608" s="6">
        <v>0</v>
      </c>
      <c r="W608" s="6">
        <v>0</v>
      </c>
      <c r="X608" s="6">
        <v>0</v>
      </c>
      <c r="Y608" t="s">
        <v>171</v>
      </c>
      <c r="Z608"/>
      <c r="AA608"/>
      <c r="AB608"/>
      <c r="AC608"/>
      <c r="AD608">
        <v>0.33</v>
      </c>
      <c r="AE608">
        <v>335.93</v>
      </c>
      <c r="AF608">
        <v>1</v>
      </c>
      <c r="AG608" s="9">
        <v>3.0000000000000001E-3</v>
      </c>
      <c r="AH608" s="9">
        <v>1.31</v>
      </c>
      <c r="AI608" s="9">
        <v>0.53</v>
      </c>
      <c r="AJ608" s="9">
        <v>0.01</v>
      </c>
      <c r="AL608" s="9">
        <v>20.14</v>
      </c>
      <c r="AM608" s="9">
        <v>24.75</v>
      </c>
      <c r="AN608" s="9">
        <v>0.08</v>
      </c>
      <c r="AO608" s="9">
        <v>0.01</v>
      </c>
      <c r="AQ608" s="1"/>
    </row>
    <row r="609" spans="1:43" x14ac:dyDescent="0.3">
      <c r="A609">
        <v>37</v>
      </c>
      <c r="B609" t="s">
        <v>1657</v>
      </c>
      <c r="C609">
        <v>47</v>
      </c>
      <c r="D609"/>
      <c r="E609">
        <v>600</v>
      </c>
      <c r="G609" t="s">
        <v>29</v>
      </c>
      <c r="I609"/>
      <c r="J609">
        <v>18</v>
      </c>
      <c r="K609"/>
      <c r="N609">
        <v>1</v>
      </c>
      <c r="O609" s="3">
        <v>0</v>
      </c>
      <c r="P609">
        <v>40</v>
      </c>
      <c r="Q609">
        <v>7</v>
      </c>
      <c r="R609" t="s">
        <v>102</v>
      </c>
      <c r="T609" s="6">
        <f>10^-(14-Q609)</f>
        <v>9.9999999999999995E-8</v>
      </c>
      <c r="U609" s="6">
        <v>0</v>
      </c>
      <c r="V609" s="6">
        <v>0</v>
      </c>
      <c r="W609" s="6">
        <v>0</v>
      </c>
      <c r="X609" s="6">
        <v>0</v>
      </c>
      <c r="Y609" t="s">
        <v>171</v>
      </c>
      <c r="Z609"/>
      <c r="AA609"/>
      <c r="AB609"/>
      <c r="AC609"/>
      <c r="AD609">
        <v>0.33</v>
      </c>
      <c r="AE609">
        <v>569.39</v>
      </c>
      <c r="AF609">
        <v>1</v>
      </c>
      <c r="AG609" s="9">
        <v>1.4E-2</v>
      </c>
      <c r="AH609" s="9">
        <v>1.31</v>
      </c>
      <c r="AI609" s="9">
        <v>0.53</v>
      </c>
      <c r="AJ609" s="9">
        <v>0.01</v>
      </c>
      <c r="AL609" s="9">
        <v>20.14</v>
      </c>
      <c r="AM609" s="9">
        <v>24.75</v>
      </c>
      <c r="AN609" s="9">
        <v>0.08</v>
      </c>
      <c r="AO609" s="9">
        <v>6.4000000000000001E-2</v>
      </c>
      <c r="AQ609" s="1"/>
    </row>
    <row r="610" spans="1:43" x14ac:dyDescent="0.3">
      <c r="A610">
        <v>37</v>
      </c>
      <c r="B610" t="s">
        <v>1657</v>
      </c>
      <c r="C610">
        <v>47</v>
      </c>
      <c r="D610"/>
      <c r="E610">
        <v>600</v>
      </c>
      <c r="G610" t="s">
        <v>29</v>
      </c>
      <c r="I610"/>
      <c r="J610">
        <v>18</v>
      </c>
      <c r="K610"/>
      <c r="N610">
        <v>1</v>
      </c>
      <c r="O610" s="3">
        <v>0</v>
      </c>
      <c r="P610">
        <v>50</v>
      </c>
      <c r="Q610">
        <v>7</v>
      </c>
      <c r="R610" t="s">
        <v>102</v>
      </c>
      <c r="T610" s="6">
        <f>10^-(14-Q610)</f>
        <v>9.9999999999999995E-8</v>
      </c>
      <c r="U610" s="6">
        <v>0</v>
      </c>
      <c r="V610" s="6">
        <v>0</v>
      </c>
      <c r="W610" s="6">
        <v>0</v>
      </c>
      <c r="X610" s="6">
        <v>0</v>
      </c>
      <c r="Y610" t="s">
        <v>171</v>
      </c>
      <c r="Z610"/>
      <c r="AA610"/>
      <c r="AB610"/>
      <c r="AC610"/>
      <c r="AD610">
        <v>0.33</v>
      </c>
      <c r="AE610">
        <v>307.75</v>
      </c>
      <c r="AF610">
        <v>1</v>
      </c>
      <c r="AG610" s="9">
        <v>3.0000000000000001E-3</v>
      </c>
      <c r="AH610" s="9">
        <v>1.31</v>
      </c>
      <c r="AI610" s="9">
        <v>0.53</v>
      </c>
      <c r="AJ610" s="9">
        <v>0.01</v>
      </c>
      <c r="AL610" s="9">
        <v>20.14</v>
      </c>
      <c r="AM610" s="9">
        <v>24.75</v>
      </c>
      <c r="AN610" s="9">
        <v>0.08</v>
      </c>
      <c r="AO610" s="9">
        <v>0.01</v>
      </c>
      <c r="AQ610" s="1"/>
    </row>
    <row r="611" spans="1:43" x14ac:dyDescent="0.3">
      <c r="A611">
        <v>37</v>
      </c>
      <c r="B611" t="s">
        <v>1657</v>
      </c>
      <c r="C611">
        <v>47</v>
      </c>
      <c r="D611"/>
      <c r="E611">
        <v>600</v>
      </c>
      <c r="G611" t="s">
        <v>29</v>
      </c>
      <c r="I611"/>
      <c r="J611">
        <v>18</v>
      </c>
      <c r="K611"/>
      <c r="N611">
        <v>1</v>
      </c>
      <c r="O611" s="3">
        <v>0</v>
      </c>
      <c r="P611">
        <v>50</v>
      </c>
      <c r="Q611">
        <v>7</v>
      </c>
      <c r="R611" t="s">
        <v>102</v>
      </c>
      <c r="T611" s="6">
        <f>10^-(14-Q611)</f>
        <v>9.9999999999999995E-8</v>
      </c>
      <c r="U611" s="6">
        <v>0</v>
      </c>
      <c r="V611" s="6">
        <v>0</v>
      </c>
      <c r="W611" s="6">
        <v>0</v>
      </c>
      <c r="X611" s="6">
        <v>0</v>
      </c>
      <c r="Y611" t="s">
        <v>171</v>
      </c>
      <c r="Z611"/>
      <c r="AA611"/>
      <c r="AB611"/>
      <c r="AC611"/>
      <c r="AD611">
        <v>0.33</v>
      </c>
      <c r="AE611">
        <v>303.68</v>
      </c>
      <c r="AF611">
        <v>1</v>
      </c>
      <c r="AG611" s="9">
        <v>1.4E-2</v>
      </c>
      <c r="AH611" s="9">
        <v>1.31</v>
      </c>
      <c r="AI611" s="9">
        <v>0.53</v>
      </c>
      <c r="AJ611" s="9">
        <v>0.01</v>
      </c>
      <c r="AL611" s="9">
        <v>20.14</v>
      </c>
      <c r="AM611" s="9">
        <v>24.75</v>
      </c>
      <c r="AN611" s="9">
        <v>0.08</v>
      </c>
      <c r="AO611" s="9">
        <v>6.4000000000000001E-2</v>
      </c>
      <c r="AQ611" s="1"/>
    </row>
    <row r="612" spans="1:43" x14ac:dyDescent="0.3">
      <c r="A612">
        <v>37</v>
      </c>
      <c r="B612" t="s">
        <v>1657</v>
      </c>
      <c r="C612">
        <v>47</v>
      </c>
      <c r="D612"/>
      <c r="E612">
        <v>600</v>
      </c>
      <c r="G612" t="s">
        <v>29</v>
      </c>
      <c r="I612"/>
      <c r="J612">
        <v>18</v>
      </c>
      <c r="K612"/>
      <c r="N612">
        <v>1</v>
      </c>
      <c r="O612" s="3">
        <v>0</v>
      </c>
      <c r="P612">
        <v>40</v>
      </c>
      <c r="Q612">
        <v>7</v>
      </c>
      <c r="R612" t="s">
        <v>102</v>
      </c>
      <c r="T612" s="6">
        <f>10^-(14-Q612)</f>
        <v>9.9999999999999995E-8</v>
      </c>
      <c r="U612" s="6">
        <v>0</v>
      </c>
      <c r="V612" s="6">
        <v>0</v>
      </c>
      <c r="W612" s="6">
        <v>0</v>
      </c>
      <c r="X612" s="6">
        <v>0</v>
      </c>
      <c r="Y612" t="s">
        <v>171</v>
      </c>
      <c r="Z612"/>
      <c r="AA612"/>
      <c r="AB612"/>
      <c r="AC612"/>
      <c r="AD612">
        <v>0.33</v>
      </c>
      <c r="AE612">
        <v>302.72000000000003</v>
      </c>
      <c r="AF612">
        <v>1</v>
      </c>
      <c r="AG612" s="9">
        <v>3.0000000000000001E-3</v>
      </c>
      <c r="AH612" s="9">
        <v>1.31</v>
      </c>
      <c r="AI612" s="9">
        <v>0.53</v>
      </c>
      <c r="AJ612" s="9">
        <v>0.01</v>
      </c>
      <c r="AL612" s="9">
        <v>20.14</v>
      </c>
      <c r="AM612" s="9">
        <v>24.75</v>
      </c>
      <c r="AN612" s="9">
        <v>0.08</v>
      </c>
      <c r="AO612" s="9">
        <v>0.01</v>
      </c>
      <c r="AQ612" s="1"/>
    </row>
    <row r="613" spans="1:43" x14ac:dyDescent="0.3">
      <c r="A613">
        <v>37</v>
      </c>
      <c r="B613" t="s">
        <v>1657</v>
      </c>
      <c r="C613">
        <v>47</v>
      </c>
      <c r="D613"/>
      <c r="E613">
        <v>600</v>
      </c>
      <c r="G613" t="s">
        <v>29</v>
      </c>
      <c r="I613"/>
      <c r="J613">
        <v>18</v>
      </c>
      <c r="K613"/>
      <c r="N613">
        <v>1</v>
      </c>
      <c r="O613" s="3">
        <v>0</v>
      </c>
      <c r="P613">
        <v>40</v>
      </c>
      <c r="Q613">
        <v>7</v>
      </c>
      <c r="R613" t="s">
        <v>102</v>
      </c>
      <c r="T613" s="6">
        <f>10^-(14-Q613)</f>
        <v>9.9999999999999995E-8</v>
      </c>
      <c r="U613" s="6">
        <v>0</v>
      </c>
      <c r="V613" s="6">
        <v>0</v>
      </c>
      <c r="W613" s="6">
        <v>0</v>
      </c>
      <c r="X613" s="6">
        <v>0</v>
      </c>
      <c r="Y613" t="s">
        <v>171</v>
      </c>
      <c r="Z613"/>
      <c r="AA613"/>
      <c r="AB613"/>
      <c r="AC613"/>
      <c r="AD613">
        <v>0.33</v>
      </c>
      <c r="AE613">
        <v>349.42</v>
      </c>
      <c r="AF613">
        <v>1</v>
      </c>
      <c r="AG613" s="9">
        <v>1.4E-2</v>
      </c>
      <c r="AH613" s="9">
        <v>1.31</v>
      </c>
      <c r="AI613" s="9">
        <v>0.53</v>
      </c>
      <c r="AJ613" s="9">
        <v>0.01</v>
      </c>
      <c r="AL613" s="9">
        <v>20.14</v>
      </c>
      <c r="AM613" s="9">
        <v>24.75</v>
      </c>
      <c r="AN613" s="9">
        <v>0.08</v>
      </c>
      <c r="AO613" s="9">
        <v>6.4000000000000001E-2</v>
      </c>
      <c r="AQ613" s="1"/>
    </row>
    <row r="614" spans="1:43" x14ac:dyDescent="0.3">
      <c r="A614">
        <v>37</v>
      </c>
      <c r="B614" t="s">
        <v>1657</v>
      </c>
      <c r="C614">
        <v>47</v>
      </c>
      <c r="D614"/>
      <c r="E614">
        <v>600</v>
      </c>
      <c r="G614" t="s">
        <v>29</v>
      </c>
      <c r="I614"/>
      <c r="J614">
        <v>18</v>
      </c>
      <c r="K614"/>
      <c r="N614">
        <v>1</v>
      </c>
      <c r="O614" s="3">
        <v>0</v>
      </c>
      <c r="P614">
        <v>50</v>
      </c>
      <c r="Q614">
        <v>7</v>
      </c>
      <c r="R614" t="s">
        <v>102</v>
      </c>
      <c r="T614" s="6">
        <f>10^-(14-Q614)</f>
        <v>9.9999999999999995E-8</v>
      </c>
      <c r="U614" s="6">
        <v>0</v>
      </c>
      <c r="V614" s="6">
        <v>0</v>
      </c>
      <c r="W614" s="6">
        <v>0</v>
      </c>
      <c r="X614" s="6">
        <v>0</v>
      </c>
      <c r="Y614" t="s">
        <v>171</v>
      </c>
      <c r="Z614"/>
      <c r="AA614"/>
      <c r="AB614"/>
      <c r="AC614"/>
      <c r="AD614">
        <v>0.33</v>
      </c>
      <c r="AE614">
        <v>159.34</v>
      </c>
      <c r="AF614">
        <v>1</v>
      </c>
      <c r="AG614" s="9">
        <v>3.0000000000000001E-3</v>
      </c>
      <c r="AH614" s="9">
        <v>1.31</v>
      </c>
      <c r="AI614" s="9">
        <v>0.53</v>
      </c>
      <c r="AJ614" s="9">
        <v>0.01</v>
      </c>
      <c r="AL614" s="9">
        <v>20.14</v>
      </c>
      <c r="AM614" s="9">
        <v>24.75</v>
      </c>
      <c r="AN614" s="9">
        <v>0.08</v>
      </c>
      <c r="AO614" s="9">
        <v>0.01</v>
      </c>
      <c r="AQ614" s="1"/>
    </row>
    <row r="615" spans="1:43" x14ac:dyDescent="0.3">
      <c r="A615">
        <v>37</v>
      </c>
      <c r="B615" t="s">
        <v>1657</v>
      </c>
      <c r="C615">
        <v>47</v>
      </c>
      <c r="D615"/>
      <c r="E615">
        <v>600</v>
      </c>
      <c r="G615" t="s">
        <v>29</v>
      </c>
      <c r="I615"/>
      <c r="J615">
        <v>18</v>
      </c>
      <c r="K615"/>
      <c r="N615">
        <v>1</v>
      </c>
      <c r="O615" s="3">
        <v>0</v>
      </c>
      <c r="P615">
        <v>50</v>
      </c>
      <c r="Q615">
        <v>7</v>
      </c>
      <c r="R615" t="s">
        <v>102</v>
      </c>
      <c r="T615" s="6">
        <f>10^-(14-Q615)</f>
        <v>9.9999999999999995E-8</v>
      </c>
      <c r="U615" s="6">
        <v>0</v>
      </c>
      <c r="V615" s="6">
        <v>0</v>
      </c>
      <c r="W615" s="6">
        <v>0</v>
      </c>
      <c r="X615" s="6">
        <v>0</v>
      </c>
      <c r="Y615" t="s">
        <v>171</v>
      </c>
      <c r="Z615"/>
      <c r="AA615"/>
      <c r="AB615"/>
      <c r="AC615"/>
      <c r="AD615">
        <v>0.33</v>
      </c>
      <c r="AE615">
        <v>240.66</v>
      </c>
      <c r="AF615">
        <v>1</v>
      </c>
      <c r="AG615" s="9">
        <v>1.4E-2</v>
      </c>
      <c r="AH615" s="9">
        <v>1.31</v>
      </c>
      <c r="AI615" s="9">
        <v>0.53</v>
      </c>
      <c r="AJ615" s="9">
        <v>0.01</v>
      </c>
      <c r="AL615" s="9">
        <v>20.14</v>
      </c>
      <c r="AM615" s="9">
        <v>24.75</v>
      </c>
      <c r="AN615" s="9">
        <v>0.08</v>
      </c>
      <c r="AO615" s="9">
        <v>6.4000000000000001E-2</v>
      </c>
      <c r="AQ615" s="1"/>
    </row>
    <row r="616" spans="1:43" x14ac:dyDescent="0.3">
      <c r="A616">
        <v>78</v>
      </c>
      <c r="B616" t="s">
        <v>1728</v>
      </c>
      <c r="C616">
        <v>48</v>
      </c>
      <c r="D616"/>
      <c r="I616"/>
      <c r="J616"/>
      <c r="K616"/>
      <c r="L616" t="s">
        <v>172</v>
      </c>
      <c r="N616">
        <v>4</v>
      </c>
      <c r="O616">
        <v>0</v>
      </c>
      <c r="P616">
        <v>80</v>
      </c>
      <c r="Q616">
        <v>7</v>
      </c>
      <c r="R616" t="s">
        <v>102</v>
      </c>
      <c r="T616" s="6">
        <f>10^-(14-Q616)</f>
        <v>9.9999999999999995E-8</v>
      </c>
      <c r="U616" s="6">
        <v>0</v>
      </c>
      <c r="V616" s="6">
        <v>0</v>
      </c>
      <c r="W616" s="6">
        <v>0</v>
      </c>
      <c r="X616" s="6">
        <v>0</v>
      </c>
      <c r="Y616" t="s">
        <v>171</v>
      </c>
      <c r="Z616"/>
      <c r="AA616"/>
      <c r="AB616"/>
      <c r="AC616"/>
      <c r="AD616">
        <v>1</v>
      </c>
      <c r="AE616">
        <v>609</v>
      </c>
      <c r="AF616">
        <v>1</v>
      </c>
      <c r="AL616" s="9">
        <v>25.26</v>
      </c>
      <c r="AM616" s="9">
        <v>6.39</v>
      </c>
      <c r="AN616" s="9">
        <v>2.72</v>
      </c>
      <c r="AO616" s="9">
        <v>0.23200000000000001</v>
      </c>
      <c r="AQ616" s="1"/>
    </row>
    <row r="617" spans="1:43" x14ac:dyDescent="0.3">
      <c r="A617">
        <v>78</v>
      </c>
      <c r="B617" t="s">
        <v>1728</v>
      </c>
      <c r="C617">
        <v>48</v>
      </c>
      <c r="D617"/>
      <c r="I617"/>
      <c r="J617"/>
      <c r="K617"/>
      <c r="L617" t="s">
        <v>172</v>
      </c>
      <c r="N617">
        <v>4</v>
      </c>
      <c r="O617">
        <v>0</v>
      </c>
      <c r="P617">
        <v>80</v>
      </c>
      <c r="Q617">
        <v>7</v>
      </c>
      <c r="R617" t="s">
        <v>102</v>
      </c>
      <c r="T617" s="6">
        <f>10^-(14-Q617)</f>
        <v>9.9999999999999995E-8</v>
      </c>
      <c r="U617" s="6">
        <v>0</v>
      </c>
      <c r="V617" s="6">
        <v>0</v>
      </c>
      <c r="W617" s="6">
        <v>0</v>
      </c>
      <c r="X617" s="6">
        <v>0</v>
      </c>
      <c r="Y617" t="s">
        <v>171</v>
      </c>
      <c r="Z617"/>
      <c r="AA617"/>
      <c r="AB617"/>
      <c r="AC617"/>
      <c r="AD617">
        <v>1</v>
      </c>
      <c r="AE617">
        <v>758</v>
      </c>
      <c r="AF617">
        <v>1</v>
      </c>
      <c r="AL617" s="9">
        <v>25.29</v>
      </c>
      <c r="AM617" s="9">
        <v>6.89</v>
      </c>
      <c r="AN617" s="9">
        <v>1.55</v>
      </c>
      <c r="AO617" s="9">
        <v>0.26</v>
      </c>
      <c r="AQ617" s="1"/>
    </row>
    <row r="618" spans="1:43" x14ac:dyDescent="0.3">
      <c r="A618">
        <v>78</v>
      </c>
      <c r="B618" t="s">
        <v>1728</v>
      </c>
      <c r="C618">
        <v>48</v>
      </c>
      <c r="D618"/>
      <c r="I618"/>
      <c r="J618"/>
      <c r="K618"/>
      <c r="L618" t="s">
        <v>172</v>
      </c>
      <c r="N618">
        <v>4</v>
      </c>
      <c r="O618">
        <v>0</v>
      </c>
      <c r="P618">
        <v>80</v>
      </c>
      <c r="Q618">
        <v>7</v>
      </c>
      <c r="R618" t="s">
        <v>102</v>
      </c>
      <c r="T618" s="6">
        <f>10^-(14-Q618)</f>
        <v>9.9999999999999995E-8</v>
      </c>
      <c r="U618" s="6">
        <v>0</v>
      </c>
      <c r="V618" s="6">
        <v>0</v>
      </c>
      <c r="W618" s="6">
        <v>0</v>
      </c>
      <c r="X618" s="6">
        <v>0</v>
      </c>
      <c r="Y618" t="s">
        <v>171</v>
      </c>
      <c r="Z618"/>
      <c r="AA618"/>
      <c r="AB618"/>
      <c r="AC618"/>
      <c r="AD618">
        <v>1</v>
      </c>
      <c r="AE618">
        <v>515</v>
      </c>
      <c r="AF618">
        <v>1</v>
      </c>
      <c r="AL618" s="9">
        <v>25.7</v>
      </c>
      <c r="AM618" s="9">
        <v>7</v>
      </c>
      <c r="AN618" s="9">
        <v>1.94</v>
      </c>
      <c r="AO618" s="9">
        <v>0.251</v>
      </c>
      <c r="AQ618" s="1"/>
    </row>
    <row r="619" spans="1:43" x14ac:dyDescent="0.3">
      <c r="A619">
        <v>61</v>
      </c>
      <c r="B619" t="s">
        <v>1673</v>
      </c>
      <c r="C619">
        <v>49</v>
      </c>
      <c r="D619"/>
      <c r="E619">
        <v>14000</v>
      </c>
      <c r="H619">
        <v>1</v>
      </c>
      <c r="I619">
        <v>-2.7</v>
      </c>
      <c r="J619">
        <v>0.16666666666666666</v>
      </c>
      <c r="K619"/>
      <c r="L619" t="s">
        <v>172</v>
      </c>
      <c r="N619">
        <v>0.5</v>
      </c>
      <c r="O619" s="3">
        <v>0</v>
      </c>
      <c r="P619">
        <v>22</v>
      </c>
      <c r="Q619">
        <v>1</v>
      </c>
      <c r="R619" t="s">
        <v>102</v>
      </c>
      <c r="T619" s="6">
        <f>10^-(14-Q619)</f>
        <v>1E-13</v>
      </c>
      <c r="U619" s="6">
        <v>0</v>
      </c>
      <c r="V619" s="6">
        <v>0</v>
      </c>
      <c r="W619" s="6">
        <v>0</v>
      </c>
      <c r="X619" s="6">
        <v>0</v>
      </c>
      <c r="Y619" t="s">
        <v>171</v>
      </c>
      <c r="Z619"/>
      <c r="AA619"/>
      <c r="AB619"/>
      <c r="AC619"/>
      <c r="AD619">
        <v>1</v>
      </c>
      <c r="AE619">
        <v>549.6</v>
      </c>
      <c r="AF619">
        <v>1</v>
      </c>
      <c r="AG619" s="9">
        <v>4.0000000000000001E-3</v>
      </c>
      <c r="AH619" s="9">
        <v>0.18</v>
      </c>
      <c r="AI619" s="9">
        <v>0.08</v>
      </c>
      <c r="AJ619" s="9">
        <v>3.0000000000000001E-3</v>
      </c>
      <c r="AK619" s="9">
        <v>0.08</v>
      </c>
      <c r="AL619" s="9">
        <v>20.12</v>
      </c>
      <c r="AM619" s="9">
        <v>20.18</v>
      </c>
      <c r="AN619" s="9">
        <v>0.01</v>
      </c>
      <c r="AO619" s="9">
        <v>1.0999999999999999E-2</v>
      </c>
      <c r="AQ619" s="1"/>
    </row>
    <row r="620" spans="1:43" x14ac:dyDescent="0.3">
      <c r="A620" t="s">
        <v>1122</v>
      </c>
      <c r="B620" t="s">
        <v>1622</v>
      </c>
      <c r="C620">
        <v>50</v>
      </c>
      <c r="D620" s="8">
        <v>1.4300999999999999</v>
      </c>
      <c r="E620">
        <v>4000</v>
      </c>
      <c r="G620" t="s">
        <v>102</v>
      </c>
      <c r="L620" t="s">
        <v>172</v>
      </c>
      <c r="N620" s="3">
        <v>0.1</v>
      </c>
      <c r="O620" s="3">
        <v>0</v>
      </c>
      <c r="P620">
        <v>0</v>
      </c>
      <c r="Q620">
        <v>6.5</v>
      </c>
      <c r="R620" t="s">
        <v>102</v>
      </c>
      <c r="S620">
        <v>0</v>
      </c>
      <c r="T620" s="6">
        <f>10^-(14-Q620)</f>
        <v>3.1622776601683699E-8</v>
      </c>
      <c r="U620" s="6">
        <v>0</v>
      </c>
      <c r="V620" s="6">
        <v>0</v>
      </c>
      <c r="W620" s="6">
        <v>0</v>
      </c>
      <c r="X620" s="6">
        <v>0</v>
      </c>
      <c r="Y620" t="s">
        <v>171</v>
      </c>
      <c r="AD620">
        <v>0.5</v>
      </c>
      <c r="AE620">
        <v>740</v>
      </c>
      <c r="AF620">
        <v>1</v>
      </c>
      <c r="AG620" s="9">
        <v>3.4000000000000002E-2</v>
      </c>
      <c r="AH620" s="9">
        <v>1.55</v>
      </c>
      <c r="AI620" s="9">
        <v>0.48</v>
      </c>
      <c r="AJ620" s="9">
        <v>2.5000000000000001E-2</v>
      </c>
      <c r="AK620" s="9">
        <v>1E-3</v>
      </c>
      <c r="AL620" s="9">
        <v>18.12</v>
      </c>
      <c r="AM620" s="9">
        <v>8.5299999999999994</v>
      </c>
      <c r="AO620" s="9">
        <v>4.2000000000000003E-2</v>
      </c>
      <c r="AQ620" s="1"/>
    </row>
    <row r="621" spans="1:43" x14ac:dyDescent="0.3">
      <c r="A621" t="s">
        <v>1123</v>
      </c>
      <c r="B621" t="s">
        <v>1622</v>
      </c>
      <c r="C621">
        <v>50</v>
      </c>
      <c r="D621" s="8">
        <v>1.4300999999999999</v>
      </c>
      <c r="E621">
        <v>4000</v>
      </c>
      <c r="G621" t="s">
        <v>102</v>
      </c>
      <c r="L621" t="s">
        <v>172</v>
      </c>
      <c r="N621" s="3">
        <v>0.1</v>
      </c>
      <c r="O621" s="3">
        <v>0</v>
      </c>
      <c r="P621">
        <v>0</v>
      </c>
      <c r="Q621">
        <v>6.5</v>
      </c>
      <c r="R621" t="s">
        <v>102</v>
      </c>
      <c r="S621">
        <v>0</v>
      </c>
      <c r="T621" s="6">
        <f>10^-(14-Q621)</f>
        <v>3.1622776601683699E-8</v>
      </c>
      <c r="U621" s="6">
        <v>0</v>
      </c>
      <c r="V621" s="6">
        <v>0</v>
      </c>
      <c r="W621" s="6">
        <v>0</v>
      </c>
      <c r="X621" s="6">
        <v>0</v>
      </c>
      <c r="Y621" t="s">
        <v>171</v>
      </c>
      <c r="AD621">
        <v>0.5</v>
      </c>
      <c r="AE621">
        <v>950</v>
      </c>
      <c r="AF621">
        <v>1</v>
      </c>
      <c r="AG621" s="9">
        <v>3.4000000000000002E-2</v>
      </c>
      <c r="AH621" s="9">
        <v>1.55</v>
      </c>
      <c r="AI621" s="9">
        <v>0.48</v>
      </c>
      <c r="AJ621" s="9">
        <v>2.5000000000000001E-2</v>
      </c>
      <c r="AK621" s="9">
        <v>1E-3</v>
      </c>
      <c r="AL621" s="9">
        <v>18.12</v>
      </c>
      <c r="AM621" s="9">
        <v>8.5299999999999994</v>
      </c>
      <c r="AO621" s="9">
        <v>4.2000000000000003E-2</v>
      </c>
      <c r="AQ621" s="1"/>
    </row>
    <row r="622" spans="1:43" x14ac:dyDescent="0.3">
      <c r="A622" t="s">
        <v>1124</v>
      </c>
      <c r="B622" t="s">
        <v>1622</v>
      </c>
      <c r="C622">
        <v>50</v>
      </c>
      <c r="D622" s="8">
        <v>1.4300999999999999</v>
      </c>
      <c r="E622">
        <v>4000</v>
      </c>
      <c r="G622" t="s">
        <v>102</v>
      </c>
      <c r="L622" t="s">
        <v>172</v>
      </c>
      <c r="N622" s="3">
        <v>0.1</v>
      </c>
      <c r="O622" s="3">
        <v>0</v>
      </c>
      <c r="P622">
        <v>0</v>
      </c>
      <c r="Q622">
        <v>6.5</v>
      </c>
      <c r="R622" t="s">
        <v>102</v>
      </c>
      <c r="S622">
        <v>0</v>
      </c>
      <c r="T622" s="6">
        <f>10^-(14-Q622)</f>
        <v>3.1622776601683699E-8</v>
      </c>
      <c r="U622" s="6">
        <v>0</v>
      </c>
      <c r="V622" s="6">
        <v>0</v>
      </c>
      <c r="W622" s="6">
        <v>0</v>
      </c>
      <c r="X622" s="6">
        <v>0</v>
      </c>
      <c r="Y622" t="s">
        <v>171</v>
      </c>
      <c r="AD622">
        <v>0.5</v>
      </c>
      <c r="AE622">
        <v>630</v>
      </c>
      <c r="AF622">
        <v>1</v>
      </c>
      <c r="AG622" s="9">
        <v>3.4000000000000002E-2</v>
      </c>
      <c r="AH622" s="9">
        <v>1.55</v>
      </c>
      <c r="AI622" s="9">
        <v>0.48</v>
      </c>
      <c r="AJ622" s="9">
        <v>2.5000000000000001E-2</v>
      </c>
      <c r="AK622" s="9">
        <v>1E-3</v>
      </c>
      <c r="AL622" s="9">
        <v>18.12</v>
      </c>
      <c r="AM622" s="9">
        <v>8.5299999999999994</v>
      </c>
      <c r="AO622" s="9">
        <v>4.2000000000000003E-2</v>
      </c>
      <c r="AQ622" s="1"/>
    </row>
    <row r="623" spans="1:43" x14ac:dyDescent="0.3">
      <c r="A623" t="s">
        <v>1125</v>
      </c>
      <c r="B623" t="s">
        <v>1622</v>
      </c>
      <c r="C623">
        <v>50</v>
      </c>
      <c r="D623" s="8">
        <v>1.4300999999999999</v>
      </c>
      <c r="E623">
        <v>4000</v>
      </c>
      <c r="G623" t="s">
        <v>102</v>
      </c>
      <c r="L623" t="s">
        <v>172</v>
      </c>
      <c r="N623" s="3">
        <v>0.1</v>
      </c>
      <c r="O623" s="3">
        <v>0</v>
      </c>
      <c r="P623">
        <v>30</v>
      </c>
      <c r="Q623">
        <v>6.5</v>
      </c>
      <c r="R623" t="s">
        <v>102</v>
      </c>
      <c r="S623">
        <v>0</v>
      </c>
      <c r="T623" s="6">
        <f>10^-(14-Q623)</f>
        <v>3.1622776601683699E-8</v>
      </c>
      <c r="U623" s="6">
        <v>0</v>
      </c>
      <c r="V623" s="6">
        <v>0</v>
      </c>
      <c r="W623" s="6">
        <v>0</v>
      </c>
      <c r="X623" s="6">
        <v>0</v>
      </c>
      <c r="Y623" t="s">
        <v>171</v>
      </c>
      <c r="AD623">
        <v>0.5</v>
      </c>
      <c r="AE623">
        <v>550</v>
      </c>
      <c r="AF623">
        <v>1</v>
      </c>
      <c r="AG623" s="9">
        <v>3.4000000000000002E-2</v>
      </c>
      <c r="AH623" s="9">
        <v>1.55</v>
      </c>
      <c r="AI623" s="9">
        <v>0.48</v>
      </c>
      <c r="AJ623" s="9">
        <v>2.5000000000000001E-2</v>
      </c>
      <c r="AK623" s="9">
        <v>1E-3</v>
      </c>
      <c r="AL623" s="9">
        <v>18.12</v>
      </c>
      <c r="AM623" s="9">
        <v>8.5299999999999994</v>
      </c>
      <c r="AO623" s="9">
        <v>4.2000000000000003E-2</v>
      </c>
      <c r="AQ623" s="1"/>
    </row>
    <row r="624" spans="1:43" x14ac:dyDescent="0.3">
      <c r="A624" t="s">
        <v>1126</v>
      </c>
      <c r="B624" t="s">
        <v>1622</v>
      </c>
      <c r="C624">
        <v>50</v>
      </c>
      <c r="D624" s="8">
        <v>1.4300999999999999</v>
      </c>
      <c r="E624">
        <v>4000</v>
      </c>
      <c r="G624" t="s">
        <v>102</v>
      </c>
      <c r="L624" t="s">
        <v>172</v>
      </c>
      <c r="N624" s="3">
        <v>0.1</v>
      </c>
      <c r="O624" s="3">
        <v>0</v>
      </c>
      <c r="P624">
        <v>30</v>
      </c>
      <c r="Q624">
        <v>6.5</v>
      </c>
      <c r="R624" t="s">
        <v>102</v>
      </c>
      <c r="S624">
        <v>0</v>
      </c>
      <c r="T624" s="6">
        <f>10^-(14-Q624)</f>
        <v>3.1622776601683699E-8</v>
      </c>
      <c r="U624" s="6">
        <v>0</v>
      </c>
      <c r="V624" s="6">
        <v>0</v>
      </c>
      <c r="W624" s="6">
        <v>0</v>
      </c>
      <c r="X624" s="6">
        <v>0</v>
      </c>
      <c r="Y624" t="s">
        <v>171</v>
      </c>
      <c r="AD624">
        <v>0.5</v>
      </c>
      <c r="AE624">
        <v>450</v>
      </c>
      <c r="AF624">
        <v>1</v>
      </c>
      <c r="AG624" s="9">
        <v>3.4000000000000002E-2</v>
      </c>
      <c r="AH624" s="9">
        <v>1.55</v>
      </c>
      <c r="AI624" s="9">
        <v>0.48</v>
      </c>
      <c r="AJ624" s="9">
        <v>2.5000000000000001E-2</v>
      </c>
      <c r="AK624" s="9">
        <v>1E-3</v>
      </c>
      <c r="AL624" s="9">
        <v>18.12</v>
      </c>
      <c r="AM624" s="9">
        <v>8.5299999999999994</v>
      </c>
      <c r="AO624" s="9">
        <v>4.2000000000000003E-2</v>
      </c>
      <c r="AQ624" s="1"/>
    </row>
    <row r="625" spans="1:43" x14ac:dyDescent="0.3">
      <c r="A625" t="s">
        <v>1127</v>
      </c>
      <c r="B625" t="s">
        <v>1622</v>
      </c>
      <c r="C625">
        <v>50</v>
      </c>
      <c r="D625" s="8">
        <v>1.4300999999999999</v>
      </c>
      <c r="E625">
        <v>4000</v>
      </c>
      <c r="G625" t="s">
        <v>102</v>
      </c>
      <c r="L625" t="s">
        <v>172</v>
      </c>
      <c r="N625" s="3">
        <v>0.1</v>
      </c>
      <c r="O625" s="3">
        <v>0</v>
      </c>
      <c r="P625">
        <v>30</v>
      </c>
      <c r="Q625">
        <v>6.5</v>
      </c>
      <c r="R625" t="s">
        <v>102</v>
      </c>
      <c r="S625">
        <v>0</v>
      </c>
      <c r="T625" s="6">
        <f>10^-(14-Q625)</f>
        <v>3.1622776601683699E-8</v>
      </c>
      <c r="U625" s="6">
        <v>0</v>
      </c>
      <c r="V625" s="6">
        <v>0</v>
      </c>
      <c r="W625" s="6">
        <v>0</v>
      </c>
      <c r="X625" s="6">
        <v>0</v>
      </c>
      <c r="Y625" t="s">
        <v>171</v>
      </c>
      <c r="AD625">
        <v>0.5</v>
      </c>
      <c r="AE625">
        <v>330</v>
      </c>
      <c r="AF625">
        <v>1</v>
      </c>
      <c r="AG625" s="9">
        <v>3.4000000000000002E-2</v>
      </c>
      <c r="AH625" s="9">
        <v>1.55</v>
      </c>
      <c r="AI625" s="9">
        <v>0.48</v>
      </c>
      <c r="AJ625" s="9">
        <v>2.5000000000000001E-2</v>
      </c>
      <c r="AK625" s="9">
        <v>1E-3</v>
      </c>
      <c r="AL625" s="9">
        <v>18.12</v>
      </c>
      <c r="AM625" s="9">
        <v>8.5299999999999994</v>
      </c>
      <c r="AO625" s="9">
        <v>4.2000000000000003E-2</v>
      </c>
      <c r="AQ625" s="1"/>
    </row>
    <row r="626" spans="1:43" x14ac:dyDescent="0.3">
      <c r="A626" t="s">
        <v>1128</v>
      </c>
      <c r="B626" t="s">
        <v>1622</v>
      </c>
      <c r="C626">
        <v>50</v>
      </c>
      <c r="D626" s="8">
        <v>1.4300999999999999</v>
      </c>
      <c r="E626">
        <v>4000</v>
      </c>
      <c r="G626" t="s">
        <v>102</v>
      </c>
      <c r="L626" t="s">
        <v>172</v>
      </c>
      <c r="N626" s="3">
        <v>0.1</v>
      </c>
      <c r="O626" s="3">
        <v>0</v>
      </c>
      <c r="P626">
        <v>60</v>
      </c>
      <c r="Q626">
        <v>6.5</v>
      </c>
      <c r="R626" t="s">
        <v>102</v>
      </c>
      <c r="S626">
        <v>0</v>
      </c>
      <c r="T626" s="6">
        <f>10^-(14-Q626)</f>
        <v>3.1622776601683699E-8</v>
      </c>
      <c r="U626" s="6">
        <v>0</v>
      </c>
      <c r="V626" s="6">
        <v>0</v>
      </c>
      <c r="W626" s="6">
        <v>0</v>
      </c>
      <c r="X626" s="6">
        <v>0</v>
      </c>
      <c r="Y626" t="s">
        <v>171</v>
      </c>
      <c r="AD626">
        <v>0.5</v>
      </c>
      <c r="AE626">
        <v>360</v>
      </c>
      <c r="AF626">
        <v>1</v>
      </c>
      <c r="AG626" s="9">
        <v>3.4000000000000002E-2</v>
      </c>
      <c r="AH626" s="9">
        <v>1.55</v>
      </c>
      <c r="AI626" s="9">
        <v>0.48</v>
      </c>
      <c r="AJ626" s="9">
        <v>2.5000000000000001E-2</v>
      </c>
      <c r="AK626" s="9">
        <v>1E-3</v>
      </c>
      <c r="AL626" s="9">
        <v>18.12</v>
      </c>
      <c r="AM626" s="9">
        <v>8.5299999999999994</v>
      </c>
      <c r="AO626" s="9">
        <v>4.2000000000000003E-2</v>
      </c>
      <c r="AQ626" s="1"/>
    </row>
    <row r="627" spans="1:43" x14ac:dyDescent="0.3">
      <c r="A627" t="s">
        <v>1129</v>
      </c>
      <c r="B627" t="s">
        <v>1622</v>
      </c>
      <c r="C627">
        <v>50</v>
      </c>
      <c r="D627" s="8">
        <v>1.4300999999999999</v>
      </c>
      <c r="E627">
        <v>4000</v>
      </c>
      <c r="G627" t="s">
        <v>102</v>
      </c>
      <c r="L627" t="s">
        <v>172</v>
      </c>
      <c r="N627" s="3">
        <v>0.1</v>
      </c>
      <c r="O627" s="3">
        <v>0</v>
      </c>
      <c r="P627">
        <v>60</v>
      </c>
      <c r="Q627">
        <v>6.5</v>
      </c>
      <c r="R627" t="s">
        <v>102</v>
      </c>
      <c r="S627">
        <v>0</v>
      </c>
      <c r="T627" s="6">
        <f>10^-(14-Q627)</f>
        <v>3.1622776601683699E-8</v>
      </c>
      <c r="U627" s="6">
        <v>0</v>
      </c>
      <c r="V627" s="6">
        <v>0</v>
      </c>
      <c r="W627" s="6">
        <v>0</v>
      </c>
      <c r="X627" s="6">
        <v>0</v>
      </c>
      <c r="Y627" t="s">
        <v>171</v>
      </c>
      <c r="AD627">
        <v>0.5</v>
      </c>
      <c r="AE627">
        <v>240</v>
      </c>
      <c r="AF627">
        <v>1</v>
      </c>
      <c r="AG627" s="9">
        <v>3.4000000000000002E-2</v>
      </c>
      <c r="AH627" s="9">
        <v>1.55</v>
      </c>
      <c r="AI627" s="9">
        <v>0.48</v>
      </c>
      <c r="AJ627" s="9">
        <v>2.5000000000000001E-2</v>
      </c>
      <c r="AK627" s="9">
        <v>1E-3</v>
      </c>
      <c r="AL627" s="9">
        <v>18.12</v>
      </c>
      <c r="AM627" s="9">
        <v>8.5299999999999994</v>
      </c>
      <c r="AO627" s="9">
        <v>4.2000000000000003E-2</v>
      </c>
      <c r="AQ627" s="1"/>
    </row>
    <row r="628" spans="1:43" x14ac:dyDescent="0.3">
      <c r="A628" t="s">
        <v>1130</v>
      </c>
      <c r="B628" t="s">
        <v>1622</v>
      </c>
      <c r="C628">
        <v>50</v>
      </c>
      <c r="D628" s="8">
        <v>1.4300999999999999</v>
      </c>
      <c r="E628">
        <v>4000</v>
      </c>
      <c r="G628" t="s">
        <v>102</v>
      </c>
      <c r="L628" t="s">
        <v>172</v>
      </c>
      <c r="N628" s="3">
        <v>0.1</v>
      </c>
      <c r="O628" s="3">
        <v>0</v>
      </c>
      <c r="P628">
        <v>60</v>
      </c>
      <c r="Q628">
        <v>6.5</v>
      </c>
      <c r="R628" t="s">
        <v>102</v>
      </c>
      <c r="S628">
        <v>0</v>
      </c>
      <c r="T628" s="6">
        <f>10^-(14-Q628)</f>
        <v>3.1622776601683699E-8</v>
      </c>
      <c r="U628" s="6">
        <v>0</v>
      </c>
      <c r="V628" s="6">
        <v>0</v>
      </c>
      <c r="W628" s="6">
        <v>0</v>
      </c>
      <c r="X628" s="6">
        <v>0</v>
      </c>
      <c r="Y628" t="s">
        <v>171</v>
      </c>
      <c r="AD628">
        <v>0.5</v>
      </c>
      <c r="AE628">
        <v>120</v>
      </c>
      <c r="AF628">
        <v>1</v>
      </c>
      <c r="AG628" s="9">
        <v>3.4000000000000002E-2</v>
      </c>
      <c r="AH628" s="9">
        <v>1.55</v>
      </c>
      <c r="AI628" s="9">
        <v>0.48</v>
      </c>
      <c r="AJ628" s="9">
        <v>2.5000000000000001E-2</v>
      </c>
      <c r="AK628" s="9">
        <v>1E-3</v>
      </c>
      <c r="AL628" s="9">
        <v>18.12</v>
      </c>
      <c r="AM628" s="9">
        <v>8.5299999999999994</v>
      </c>
      <c r="AO628" s="9">
        <v>4.2000000000000003E-2</v>
      </c>
      <c r="AQ628" s="1"/>
    </row>
    <row r="629" spans="1:43" x14ac:dyDescent="0.3">
      <c r="A629" t="s">
        <v>1131</v>
      </c>
      <c r="B629" t="s">
        <v>1622</v>
      </c>
      <c r="C629">
        <v>50</v>
      </c>
      <c r="D629" s="8">
        <v>1.4300999999999999</v>
      </c>
      <c r="E629">
        <v>4000</v>
      </c>
      <c r="G629" t="s">
        <v>102</v>
      </c>
      <c r="L629" t="s">
        <v>172</v>
      </c>
      <c r="N629" s="3">
        <v>0.1</v>
      </c>
      <c r="O629" s="3">
        <v>0</v>
      </c>
      <c r="P629">
        <v>90</v>
      </c>
      <c r="Q629">
        <v>6.5</v>
      </c>
      <c r="R629" t="s">
        <v>102</v>
      </c>
      <c r="S629">
        <v>0</v>
      </c>
      <c r="T629" s="6">
        <f>10^-(14-Q629)</f>
        <v>3.1622776601683699E-8</v>
      </c>
      <c r="U629" s="6">
        <v>0</v>
      </c>
      <c r="V629" s="6">
        <v>0</v>
      </c>
      <c r="W629" s="6">
        <v>0</v>
      </c>
      <c r="X629" s="6">
        <v>0</v>
      </c>
      <c r="Y629" t="s">
        <v>171</v>
      </c>
      <c r="AD629">
        <v>0.5</v>
      </c>
      <c r="AE629">
        <v>110</v>
      </c>
      <c r="AF629">
        <v>1</v>
      </c>
      <c r="AG629" s="9">
        <v>3.4000000000000002E-2</v>
      </c>
      <c r="AH629" s="9">
        <v>1.55</v>
      </c>
      <c r="AI629" s="9">
        <v>0.48</v>
      </c>
      <c r="AJ629" s="9">
        <v>2.5000000000000001E-2</v>
      </c>
      <c r="AK629" s="9">
        <v>1E-3</v>
      </c>
      <c r="AL629" s="9">
        <v>18.12</v>
      </c>
      <c r="AM629" s="9">
        <v>8.5299999999999994</v>
      </c>
      <c r="AO629" s="9">
        <v>4.2000000000000003E-2</v>
      </c>
      <c r="AQ629" s="1"/>
    </row>
    <row r="630" spans="1:43" x14ac:dyDescent="0.3">
      <c r="A630" t="s">
        <v>1132</v>
      </c>
      <c r="B630" t="s">
        <v>1622</v>
      </c>
      <c r="C630">
        <v>50</v>
      </c>
      <c r="D630" s="8">
        <v>1.4300999999999999</v>
      </c>
      <c r="E630">
        <v>4000</v>
      </c>
      <c r="G630" t="s">
        <v>102</v>
      </c>
      <c r="L630" t="s">
        <v>172</v>
      </c>
      <c r="N630" s="3">
        <v>0.1</v>
      </c>
      <c r="O630" s="3">
        <v>0</v>
      </c>
      <c r="P630">
        <v>90</v>
      </c>
      <c r="Q630">
        <v>6.5</v>
      </c>
      <c r="R630" t="s">
        <v>102</v>
      </c>
      <c r="S630">
        <v>0</v>
      </c>
      <c r="T630" s="6">
        <f>10^-(14-Q630)</f>
        <v>3.1622776601683699E-8</v>
      </c>
      <c r="U630" s="6">
        <v>0</v>
      </c>
      <c r="V630" s="6">
        <v>0</v>
      </c>
      <c r="W630" s="6">
        <v>0</v>
      </c>
      <c r="X630" s="6">
        <v>0</v>
      </c>
      <c r="Y630" t="s">
        <v>171</v>
      </c>
      <c r="AD630">
        <v>0.5</v>
      </c>
      <c r="AE630">
        <v>90</v>
      </c>
      <c r="AF630">
        <v>1</v>
      </c>
      <c r="AG630" s="9">
        <v>3.4000000000000002E-2</v>
      </c>
      <c r="AH630" s="9">
        <v>1.55</v>
      </c>
      <c r="AI630" s="9">
        <v>0.48</v>
      </c>
      <c r="AJ630" s="9">
        <v>2.5000000000000001E-2</v>
      </c>
      <c r="AK630" s="9">
        <v>1E-3</v>
      </c>
      <c r="AL630" s="9">
        <v>18.12</v>
      </c>
      <c r="AM630" s="9">
        <v>8.5299999999999994</v>
      </c>
      <c r="AO630" s="9">
        <v>4.2000000000000003E-2</v>
      </c>
      <c r="AQ630" s="1"/>
    </row>
    <row r="631" spans="1:43" x14ac:dyDescent="0.3">
      <c r="A631" t="s">
        <v>1133</v>
      </c>
      <c r="B631" t="s">
        <v>1622</v>
      </c>
      <c r="C631">
        <v>50</v>
      </c>
      <c r="D631" s="8">
        <v>1.4300999999999999</v>
      </c>
      <c r="E631">
        <v>4000</v>
      </c>
      <c r="G631" t="s">
        <v>102</v>
      </c>
      <c r="L631" t="s">
        <v>172</v>
      </c>
      <c r="N631" s="3">
        <v>0.1</v>
      </c>
      <c r="O631" s="3">
        <v>0</v>
      </c>
      <c r="P631">
        <v>90</v>
      </c>
      <c r="Q631">
        <v>6.5</v>
      </c>
      <c r="R631" t="s">
        <v>102</v>
      </c>
      <c r="S631">
        <v>0</v>
      </c>
      <c r="T631" s="6">
        <f>10^-(14-Q631)</f>
        <v>3.1622776601683699E-8</v>
      </c>
      <c r="U631" s="6">
        <v>0</v>
      </c>
      <c r="V631" s="6">
        <v>0</v>
      </c>
      <c r="W631" s="6">
        <v>0</v>
      </c>
      <c r="X631" s="6">
        <v>0</v>
      </c>
      <c r="Y631" t="s">
        <v>171</v>
      </c>
      <c r="AD631">
        <v>0.5</v>
      </c>
      <c r="AE631">
        <v>65</v>
      </c>
      <c r="AF631">
        <v>1</v>
      </c>
      <c r="AG631" s="9">
        <v>3.4000000000000002E-2</v>
      </c>
      <c r="AH631" s="9">
        <v>1.55</v>
      </c>
      <c r="AI631" s="9">
        <v>0.48</v>
      </c>
      <c r="AJ631" s="9">
        <v>2.5000000000000001E-2</v>
      </c>
      <c r="AK631" s="9">
        <v>1E-3</v>
      </c>
      <c r="AL631" s="9">
        <v>18.12</v>
      </c>
      <c r="AM631" s="9">
        <v>8.5299999999999994</v>
      </c>
      <c r="AO631" s="9">
        <v>4.2000000000000003E-2</v>
      </c>
      <c r="AQ631" s="1"/>
    </row>
    <row r="632" spans="1:43" x14ac:dyDescent="0.3">
      <c r="A632" t="s">
        <v>1134</v>
      </c>
      <c r="B632" t="s">
        <v>1622</v>
      </c>
      <c r="C632">
        <v>50</v>
      </c>
      <c r="D632" s="8" t="s">
        <v>1155</v>
      </c>
      <c r="E632">
        <v>4000</v>
      </c>
      <c r="G632" t="s">
        <v>102</v>
      </c>
      <c r="L632" t="s">
        <v>172</v>
      </c>
      <c r="N632" s="3">
        <v>0.1</v>
      </c>
      <c r="O632" s="3">
        <v>0</v>
      </c>
      <c r="P632">
        <v>0</v>
      </c>
      <c r="Q632">
        <v>6.5</v>
      </c>
      <c r="R632" t="s">
        <v>102</v>
      </c>
      <c r="S632">
        <v>0</v>
      </c>
      <c r="T632" s="6">
        <f>10^-(14-Q632)</f>
        <v>3.1622776601683699E-8</v>
      </c>
      <c r="U632" s="6">
        <v>0</v>
      </c>
      <c r="V632" s="6">
        <v>0</v>
      </c>
      <c r="W632" s="6">
        <v>0</v>
      </c>
      <c r="X632" s="6">
        <v>0</v>
      </c>
      <c r="Y632" t="s">
        <v>171</v>
      </c>
      <c r="AD632">
        <v>0.5</v>
      </c>
      <c r="AE632">
        <v>390</v>
      </c>
      <c r="AF632">
        <v>1</v>
      </c>
      <c r="AG632" s="9">
        <v>0.04</v>
      </c>
      <c r="AH632" s="9">
        <v>1.86</v>
      </c>
      <c r="AI632" s="9">
        <v>0.31</v>
      </c>
      <c r="AJ632" s="9">
        <v>2.8000000000000001E-2</v>
      </c>
      <c r="AK632" s="9">
        <v>1.7000000000000001E-2</v>
      </c>
      <c r="AL632" s="9">
        <v>18.399999999999999</v>
      </c>
      <c r="AM632" s="9">
        <v>8.6199999999999992</v>
      </c>
      <c r="AN632" s="9">
        <v>0.4</v>
      </c>
      <c r="AO632" s="9">
        <v>6.6000000000000003E-2</v>
      </c>
      <c r="AQ632" s="1"/>
    </row>
    <row r="633" spans="1:43" x14ac:dyDescent="0.3">
      <c r="A633" t="s">
        <v>1135</v>
      </c>
      <c r="B633" t="s">
        <v>1622</v>
      </c>
      <c r="C633">
        <v>50</v>
      </c>
      <c r="D633" s="8" t="s">
        <v>1155</v>
      </c>
      <c r="E633">
        <v>4000</v>
      </c>
      <c r="G633" t="s">
        <v>102</v>
      </c>
      <c r="L633" t="s">
        <v>172</v>
      </c>
      <c r="N633" s="3">
        <v>0.1</v>
      </c>
      <c r="O633" s="3">
        <v>0</v>
      </c>
      <c r="P633">
        <v>0</v>
      </c>
      <c r="Q633">
        <v>6.5</v>
      </c>
      <c r="R633" t="s">
        <v>102</v>
      </c>
      <c r="S633">
        <v>0</v>
      </c>
      <c r="T633" s="6">
        <f>10^-(14-Q633)</f>
        <v>3.1622776601683699E-8</v>
      </c>
      <c r="U633" s="6">
        <v>0</v>
      </c>
      <c r="V633" s="6">
        <v>0</v>
      </c>
      <c r="W633" s="6">
        <v>0</v>
      </c>
      <c r="X633" s="6">
        <v>0</v>
      </c>
      <c r="Y633" t="s">
        <v>171</v>
      </c>
      <c r="AD633">
        <v>0.5</v>
      </c>
      <c r="AE633">
        <v>360</v>
      </c>
      <c r="AF633">
        <v>1</v>
      </c>
      <c r="AG633" s="9">
        <v>0.04</v>
      </c>
      <c r="AH633" s="9">
        <v>1.86</v>
      </c>
      <c r="AI633" s="9">
        <v>0.31</v>
      </c>
      <c r="AJ633" s="9">
        <v>2.8000000000000001E-2</v>
      </c>
      <c r="AK633" s="9">
        <v>1.7000000000000001E-2</v>
      </c>
      <c r="AL633" s="9">
        <v>18.399999999999999</v>
      </c>
      <c r="AM633" s="9">
        <v>8.6199999999999992</v>
      </c>
      <c r="AN633" s="9">
        <v>0.4</v>
      </c>
      <c r="AO633" s="9">
        <v>6.6000000000000003E-2</v>
      </c>
      <c r="AQ633" s="1"/>
    </row>
    <row r="634" spans="1:43" x14ac:dyDescent="0.3">
      <c r="A634" t="s">
        <v>1136</v>
      </c>
      <c r="B634" t="s">
        <v>1622</v>
      </c>
      <c r="C634">
        <v>50</v>
      </c>
      <c r="D634" s="8" t="s">
        <v>1155</v>
      </c>
      <c r="E634">
        <v>4000</v>
      </c>
      <c r="G634" t="s">
        <v>102</v>
      </c>
      <c r="L634" t="s">
        <v>172</v>
      </c>
      <c r="N634" s="3">
        <v>0.1</v>
      </c>
      <c r="O634" s="3">
        <v>0</v>
      </c>
      <c r="P634">
        <v>0</v>
      </c>
      <c r="Q634">
        <v>6.5</v>
      </c>
      <c r="R634" t="s">
        <v>102</v>
      </c>
      <c r="S634">
        <v>0</v>
      </c>
      <c r="T634" s="6">
        <f>10^-(14-Q634)</f>
        <v>3.1622776601683699E-8</v>
      </c>
      <c r="U634" s="6">
        <v>0</v>
      </c>
      <c r="V634" s="6">
        <v>0</v>
      </c>
      <c r="W634" s="6">
        <v>0</v>
      </c>
      <c r="X634" s="6">
        <v>0</v>
      </c>
      <c r="Y634" t="s">
        <v>171</v>
      </c>
      <c r="AD634">
        <v>0.5</v>
      </c>
      <c r="AE634">
        <v>320</v>
      </c>
      <c r="AF634">
        <v>1</v>
      </c>
      <c r="AG634" s="9">
        <v>0.04</v>
      </c>
      <c r="AH634" s="9">
        <v>1.86</v>
      </c>
      <c r="AI634" s="9">
        <v>0.31</v>
      </c>
      <c r="AJ634" s="9">
        <v>2.8000000000000001E-2</v>
      </c>
      <c r="AK634" s="9">
        <v>1.7000000000000001E-2</v>
      </c>
      <c r="AL634" s="9">
        <v>18.399999999999999</v>
      </c>
      <c r="AM634" s="9">
        <v>8.6199999999999992</v>
      </c>
      <c r="AN634" s="9">
        <v>0.4</v>
      </c>
      <c r="AO634" s="9">
        <v>6.6000000000000003E-2</v>
      </c>
      <c r="AQ634" s="1"/>
    </row>
    <row r="635" spans="1:43" x14ac:dyDescent="0.3">
      <c r="A635" t="s">
        <v>1137</v>
      </c>
      <c r="B635" t="s">
        <v>1622</v>
      </c>
      <c r="C635">
        <v>50</v>
      </c>
      <c r="D635" s="8" t="s">
        <v>1155</v>
      </c>
      <c r="E635">
        <v>4000</v>
      </c>
      <c r="G635" t="s">
        <v>102</v>
      </c>
      <c r="L635" t="s">
        <v>172</v>
      </c>
      <c r="N635" s="3">
        <v>0.1</v>
      </c>
      <c r="O635" s="3">
        <v>0</v>
      </c>
      <c r="P635">
        <v>30</v>
      </c>
      <c r="Q635">
        <v>6.5</v>
      </c>
      <c r="R635" t="s">
        <v>102</v>
      </c>
      <c r="S635">
        <v>0</v>
      </c>
      <c r="T635" s="6">
        <f>10^-(14-Q635)</f>
        <v>3.1622776601683699E-8</v>
      </c>
      <c r="U635" s="6">
        <v>0</v>
      </c>
      <c r="V635" s="6">
        <v>0</v>
      </c>
      <c r="W635" s="6">
        <v>0</v>
      </c>
      <c r="X635" s="6">
        <v>0</v>
      </c>
      <c r="Y635" t="s">
        <v>171</v>
      </c>
      <c r="AD635">
        <v>0.5</v>
      </c>
      <c r="AE635">
        <v>280</v>
      </c>
      <c r="AF635">
        <v>1</v>
      </c>
      <c r="AG635" s="9">
        <v>0.04</v>
      </c>
      <c r="AH635" s="9">
        <v>1.86</v>
      </c>
      <c r="AI635" s="9">
        <v>0.31</v>
      </c>
      <c r="AJ635" s="9">
        <v>2.8000000000000001E-2</v>
      </c>
      <c r="AK635" s="9">
        <v>1.7000000000000001E-2</v>
      </c>
      <c r="AL635" s="9">
        <v>18.399999999999999</v>
      </c>
      <c r="AM635" s="9">
        <v>8.6199999999999992</v>
      </c>
      <c r="AN635" s="9">
        <v>0.4</v>
      </c>
      <c r="AO635" s="9">
        <v>6.6000000000000003E-2</v>
      </c>
      <c r="AQ635" s="1"/>
    </row>
    <row r="636" spans="1:43" x14ac:dyDescent="0.3">
      <c r="A636" t="s">
        <v>1138</v>
      </c>
      <c r="B636" t="s">
        <v>1622</v>
      </c>
      <c r="C636">
        <v>50</v>
      </c>
      <c r="D636" s="8" t="s">
        <v>1155</v>
      </c>
      <c r="E636">
        <v>4000</v>
      </c>
      <c r="G636" t="s">
        <v>102</v>
      </c>
      <c r="L636" t="s">
        <v>172</v>
      </c>
      <c r="N636" s="3">
        <v>0.1</v>
      </c>
      <c r="O636" s="3">
        <v>0</v>
      </c>
      <c r="P636">
        <v>30</v>
      </c>
      <c r="Q636">
        <v>6.5</v>
      </c>
      <c r="R636" t="s">
        <v>102</v>
      </c>
      <c r="S636">
        <v>0</v>
      </c>
      <c r="T636" s="6">
        <f>10^-(14-Q636)</f>
        <v>3.1622776601683699E-8</v>
      </c>
      <c r="U636" s="6">
        <v>0</v>
      </c>
      <c r="V636" s="6">
        <v>0</v>
      </c>
      <c r="W636" s="6">
        <v>0</v>
      </c>
      <c r="X636" s="6">
        <v>0</v>
      </c>
      <c r="Y636" t="s">
        <v>171</v>
      </c>
      <c r="AD636">
        <v>0.5</v>
      </c>
      <c r="AE636">
        <v>190</v>
      </c>
      <c r="AF636">
        <v>1</v>
      </c>
      <c r="AG636" s="9">
        <v>0.04</v>
      </c>
      <c r="AH636" s="9">
        <v>1.86</v>
      </c>
      <c r="AI636" s="9">
        <v>0.31</v>
      </c>
      <c r="AJ636" s="9">
        <v>2.8000000000000001E-2</v>
      </c>
      <c r="AK636" s="9">
        <v>1.7000000000000001E-2</v>
      </c>
      <c r="AL636" s="9">
        <v>18.399999999999999</v>
      </c>
      <c r="AM636" s="9">
        <v>8.6199999999999992</v>
      </c>
      <c r="AN636" s="9">
        <v>0.4</v>
      </c>
      <c r="AO636" s="9">
        <v>6.6000000000000003E-2</v>
      </c>
      <c r="AQ636" s="1"/>
    </row>
    <row r="637" spans="1:43" x14ac:dyDescent="0.3">
      <c r="A637" t="s">
        <v>1139</v>
      </c>
      <c r="B637" t="s">
        <v>1622</v>
      </c>
      <c r="C637">
        <v>50</v>
      </c>
      <c r="D637" s="8" t="s">
        <v>1155</v>
      </c>
      <c r="E637">
        <v>4000</v>
      </c>
      <c r="G637" t="s">
        <v>102</v>
      </c>
      <c r="L637" t="s">
        <v>172</v>
      </c>
      <c r="N637" s="3">
        <v>0.1</v>
      </c>
      <c r="O637" s="3">
        <v>0</v>
      </c>
      <c r="P637">
        <v>30</v>
      </c>
      <c r="Q637">
        <v>6.5</v>
      </c>
      <c r="R637" t="s">
        <v>102</v>
      </c>
      <c r="S637">
        <v>0</v>
      </c>
      <c r="T637" s="6">
        <f>10^-(14-Q637)</f>
        <v>3.1622776601683699E-8</v>
      </c>
      <c r="U637" s="6">
        <v>0</v>
      </c>
      <c r="V637" s="6">
        <v>0</v>
      </c>
      <c r="W637" s="6">
        <v>0</v>
      </c>
      <c r="X637" s="6">
        <v>0</v>
      </c>
      <c r="Y637" t="s">
        <v>171</v>
      </c>
      <c r="AD637">
        <v>0.5</v>
      </c>
      <c r="AE637">
        <v>70</v>
      </c>
      <c r="AF637">
        <v>1</v>
      </c>
      <c r="AG637" s="9">
        <v>0.04</v>
      </c>
      <c r="AH637" s="9">
        <v>1.86</v>
      </c>
      <c r="AI637" s="9">
        <v>0.31</v>
      </c>
      <c r="AJ637" s="9">
        <v>2.8000000000000001E-2</v>
      </c>
      <c r="AK637" s="9">
        <v>1.7000000000000001E-2</v>
      </c>
      <c r="AL637" s="9">
        <v>18.399999999999999</v>
      </c>
      <c r="AM637" s="9">
        <v>8.6199999999999992</v>
      </c>
      <c r="AN637" s="9">
        <v>0.4</v>
      </c>
      <c r="AO637" s="9">
        <v>6.6000000000000003E-2</v>
      </c>
      <c r="AQ637" s="1"/>
    </row>
    <row r="638" spans="1:43" x14ac:dyDescent="0.3">
      <c r="A638" t="s">
        <v>1140</v>
      </c>
      <c r="B638" t="s">
        <v>1622</v>
      </c>
      <c r="C638">
        <v>50</v>
      </c>
      <c r="D638" s="8" t="s">
        <v>1155</v>
      </c>
      <c r="E638">
        <v>4000</v>
      </c>
      <c r="G638" t="s">
        <v>102</v>
      </c>
      <c r="L638" t="s">
        <v>172</v>
      </c>
      <c r="N638" s="3">
        <v>0.1</v>
      </c>
      <c r="O638" s="3">
        <v>0</v>
      </c>
      <c r="P638">
        <v>60</v>
      </c>
      <c r="Q638">
        <v>6.5</v>
      </c>
      <c r="R638" t="s">
        <v>102</v>
      </c>
      <c r="S638">
        <v>0</v>
      </c>
      <c r="T638" s="6">
        <f>10^-(14-Q638)</f>
        <v>3.1622776601683699E-8</v>
      </c>
      <c r="U638" s="6">
        <v>0</v>
      </c>
      <c r="V638" s="6">
        <v>0</v>
      </c>
      <c r="W638" s="6">
        <v>0</v>
      </c>
      <c r="X638" s="6">
        <v>0</v>
      </c>
      <c r="Y638" t="s">
        <v>171</v>
      </c>
      <c r="AD638">
        <v>0.5</v>
      </c>
      <c r="AE638">
        <v>150</v>
      </c>
      <c r="AF638">
        <v>1</v>
      </c>
      <c r="AG638" s="9">
        <v>0.04</v>
      </c>
      <c r="AH638" s="9">
        <v>1.86</v>
      </c>
      <c r="AI638" s="9">
        <v>0.31</v>
      </c>
      <c r="AJ638" s="9">
        <v>2.8000000000000001E-2</v>
      </c>
      <c r="AK638" s="9">
        <v>1.7000000000000001E-2</v>
      </c>
      <c r="AL638" s="9">
        <v>18.399999999999999</v>
      </c>
      <c r="AM638" s="9">
        <v>8.6199999999999992</v>
      </c>
      <c r="AN638" s="9">
        <v>0.4</v>
      </c>
      <c r="AO638" s="9">
        <v>6.6000000000000003E-2</v>
      </c>
      <c r="AQ638" s="1"/>
    </row>
    <row r="639" spans="1:43" x14ac:dyDescent="0.3">
      <c r="A639" t="s">
        <v>1141</v>
      </c>
      <c r="B639" t="s">
        <v>1622</v>
      </c>
      <c r="C639">
        <v>50</v>
      </c>
      <c r="D639" s="8" t="s">
        <v>1155</v>
      </c>
      <c r="E639">
        <v>4000</v>
      </c>
      <c r="G639" t="s">
        <v>102</v>
      </c>
      <c r="L639" t="s">
        <v>172</v>
      </c>
      <c r="N639" s="3">
        <v>0.1</v>
      </c>
      <c r="O639" s="3">
        <v>0</v>
      </c>
      <c r="P639">
        <v>60</v>
      </c>
      <c r="Q639">
        <v>6.5</v>
      </c>
      <c r="R639" t="s">
        <v>102</v>
      </c>
      <c r="S639">
        <v>0</v>
      </c>
      <c r="T639" s="6">
        <f>10^-(14-Q639)</f>
        <v>3.1622776601683699E-8</v>
      </c>
      <c r="U639" s="6">
        <v>0</v>
      </c>
      <c r="V639" s="6">
        <v>0</v>
      </c>
      <c r="W639" s="6">
        <v>0</v>
      </c>
      <c r="X639" s="6">
        <v>0</v>
      </c>
      <c r="Y639" t="s">
        <v>171</v>
      </c>
      <c r="AD639">
        <v>0.5</v>
      </c>
      <c r="AE639">
        <v>65</v>
      </c>
      <c r="AF639">
        <v>1</v>
      </c>
      <c r="AG639" s="9">
        <v>0.04</v>
      </c>
      <c r="AH639" s="9">
        <v>1.86</v>
      </c>
      <c r="AI639" s="9">
        <v>0.31</v>
      </c>
      <c r="AJ639" s="9">
        <v>2.8000000000000001E-2</v>
      </c>
      <c r="AK639" s="9">
        <v>1.7000000000000001E-2</v>
      </c>
      <c r="AL639" s="9">
        <v>18.399999999999999</v>
      </c>
      <c r="AM639" s="9">
        <v>8.6199999999999992</v>
      </c>
      <c r="AN639" s="9">
        <v>0.4</v>
      </c>
      <c r="AO639" s="9">
        <v>6.6000000000000003E-2</v>
      </c>
      <c r="AQ639" s="1"/>
    </row>
    <row r="640" spans="1:43" x14ac:dyDescent="0.3">
      <c r="A640" t="s">
        <v>1142</v>
      </c>
      <c r="B640" t="s">
        <v>1622</v>
      </c>
      <c r="C640">
        <v>50</v>
      </c>
      <c r="D640" s="8" t="s">
        <v>1155</v>
      </c>
      <c r="E640">
        <v>4000</v>
      </c>
      <c r="G640" t="s">
        <v>102</v>
      </c>
      <c r="L640" t="s">
        <v>172</v>
      </c>
      <c r="N640" s="3">
        <v>0.1</v>
      </c>
      <c r="O640" s="3">
        <v>0</v>
      </c>
      <c r="P640">
        <v>60</v>
      </c>
      <c r="Q640">
        <v>6.5</v>
      </c>
      <c r="R640" t="s">
        <v>102</v>
      </c>
      <c r="S640">
        <v>0</v>
      </c>
      <c r="T640" s="6">
        <f>10^-(14-Q640)</f>
        <v>3.1622776601683699E-8</v>
      </c>
      <c r="U640" s="6">
        <v>0</v>
      </c>
      <c r="V640" s="6">
        <v>0</v>
      </c>
      <c r="W640" s="6">
        <v>0</v>
      </c>
      <c r="X640" s="6">
        <v>0</v>
      </c>
      <c r="Y640" t="s">
        <v>171</v>
      </c>
      <c r="AD640">
        <v>0.5</v>
      </c>
      <c r="AE640">
        <v>-15</v>
      </c>
      <c r="AF640">
        <v>1</v>
      </c>
      <c r="AG640" s="9">
        <v>0.04</v>
      </c>
      <c r="AH640" s="9">
        <v>1.86</v>
      </c>
      <c r="AI640" s="9">
        <v>0.31</v>
      </c>
      <c r="AJ640" s="9">
        <v>2.8000000000000001E-2</v>
      </c>
      <c r="AK640" s="9">
        <v>1.7000000000000001E-2</v>
      </c>
      <c r="AL640" s="9">
        <v>18.399999999999999</v>
      </c>
      <c r="AM640" s="9">
        <v>8.6199999999999992</v>
      </c>
      <c r="AN640" s="9">
        <v>0.4</v>
      </c>
      <c r="AO640" s="9">
        <v>6.6000000000000003E-2</v>
      </c>
      <c r="AQ640" s="1"/>
    </row>
    <row r="641" spans="1:43" x14ac:dyDescent="0.3">
      <c r="A641" t="s">
        <v>1143</v>
      </c>
      <c r="B641" t="s">
        <v>1622</v>
      </c>
      <c r="C641">
        <v>50</v>
      </c>
      <c r="D641" s="8" t="s">
        <v>1155</v>
      </c>
      <c r="E641">
        <v>4000</v>
      </c>
      <c r="G641" t="s">
        <v>102</v>
      </c>
      <c r="L641" t="s">
        <v>172</v>
      </c>
      <c r="N641" s="3">
        <v>0.1</v>
      </c>
      <c r="O641" s="3">
        <v>0</v>
      </c>
      <c r="P641">
        <v>90</v>
      </c>
      <c r="Q641">
        <v>6.5</v>
      </c>
      <c r="R641" t="s">
        <v>102</v>
      </c>
      <c r="S641">
        <v>0</v>
      </c>
      <c r="T641" s="6">
        <f>10^-(14-Q641)</f>
        <v>3.1622776601683699E-8</v>
      </c>
      <c r="U641" s="6">
        <v>0</v>
      </c>
      <c r="V641" s="6">
        <v>0</v>
      </c>
      <c r="W641" s="6">
        <v>0</v>
      </c>
      <c r="X641" s="6">
        <v>0</v>
      </c>
      <c r="Y641" t="s">
        <v>171</v>
      </c>
      <c r="AD641">
        <v>0.5</v>
      </c>
      <c r="AE641">
        <v>20</v>
      </c>
      <c r="AF641">
        <v>1</v>
      </c>
      <c r="AG641" s="9">
        <v>0.04</v>
      </c>
      <c r="AH641" s="9">
        <v>1.86</v>
      </c>
      <c r="AI641" s="9">
        <v>0.31</v>
      </c>
      <c r="AJ641" s="9">
        <v>2.8000000000000001E-2</v>
      </c>
      <c r="AK641" s="9">
        <v>1.7000000000000001E-2</v>
      </c>
      <c r="AL641" s="9">
        <v>18.399999999999999</v>
      </c>
      <c r="AM641" s="9">
        <v>8.6199999999999992</v>
      </c>
      <c r="AN641" s="9">
        <v>0.4</v>
      </c>
      <c r="AO641" s="9">
        <v>6.6000000000000003E-2</v>
      </c>
      <c r="AQ641" s="1"/>
    </row>
    <row r="642" spans="1:43" x14ac:dyDescent="0.3">
      <c r="A642" t="s">
        <v>1144</v>
      </c>
      <c r="B642" t="s">
        <v>1622</v>
      </c>
      <c r="C642">
        <v>50</v>
      </c>
      <c r="D642" s="8" t="s">
        <v>1155</v>
      </c>
      <c r="E642">
        <v>4000</v>
      </c>
      <c r="G642" t="s">
        <v>102</v>
      </c>
      <c r="L642" t="s">
        <v>172</v>
      </c>
      <c r="N642" s="3">
        <v>0.1</v>
      </c>
      <c r="O642" s="3">
        <v>0</v>
      </c>
      <c r="P642">
        <v>90</v>
      </c>
      <c r="Q642">
        <v>6.5</v>
      </c>
      <c r="R642" t="s">
        <v>102</v>
      </c>
      <c r="S642">
        <v>0</v>
      </c>
      <c r="T642" s="6">
        <f>10^-(14-Q642)</f>
        <v>3.1622776601683699E-8</v>
      </c>
      <c r="U642" s="6">
        <v>0</v>
      </c>
      <c r="V642" s="6">
        <v>0</v>
      </c>
      <c r="W642" s="6">
        <v>0</v>
      </c>
      <c r="X642" s="6">
        <v>0</v>
      </c>
      <c r="Y642" t="s">
        <v>171</v>
      </c>
      <c r="AD642">
        <v>0.5</v>
      </c>
      <c r="AE642">
        <v>-20</v>
      </c>
      <c r="AF642">
        <v>1</v>
      </c>
      <c r="AG642" s="9">
        <v>0.04</v>
      </c>
      <c r="AH642" s="9">
        <v>1.86</v>
      </c>
      <c r="AI642" s="9">
        <v>0.31</v>
      </c>
      <c r="AJ642" s="9">
        <v>2.8000000000000001E-2</v>
      </c>
      <c r="AK642" s="9">
        <v>1.7000000000000001E-2</v>
      </c>
      <c r="AL642" s="9">
        <v>18.399999999999999</v>
      </c>
      <c r="AM642" s="9">
        <v>8.6199999999999992</v>
      </c>
      <c r="AN642" s="9">
        <v>0.4</v>
      </c>
      <c r="AO642" s="9">
        <v>6.6000000000000003E-2</v>
      </c>
      <c r="AQ642" s="1"/>
    </row>
    <row r="643" spans="1:43" x14ac:dyDescent="0.3">
      <c r="A643" t="s">
        <v>1145</v>
      </c>
      <c r="B643" t="s">
        <v>1622</v>
      </c>
      <c r="C643">
        <v>50</v>
      </c>
      <c r="D643" s="8" t="s">
        <v>1155</v>
      </c>
      <c r="E643">
        <v>4000</v>
      </c>
      <c r="G643" t="s">
        <v>102</v>
      </c>
      <c r="L643" t="s">
        <v>172</v>
      </c>
      <c r="N643" s="3">
        <v>0.1</v>
      </c>
      <c r="O643" s="3">
        <v>0</v>
      </c>
      <c r="P643">
        <v>90</v>
      </c>
      <c r="Q643">
        <v>6.5</v>
      </c>
      <c r="R643" t="s">
        <v>102</v>
      </c>
      <c r="S643">
        <v>0</v>
      </c>
      <c r="T643" s="6">
        <f>10^-(14-Q643)</f>
        <v>3.1622776601683699E-8</v>
      </c>
      <c r="U643" s="6">
        <v>0</v>
      </c>
      <c r="V643" s="6">
        <v>0</v>
      </c>
      <c r="W643" s="6">
        <v>0</v>
      </c>
      <c r="X643" s="6">
        <v>0</v>
      </c>
      <c r="Y643" t="s">
        <v>171</v>
      </c>
      <c r="AD643">
        <v>0.5</v>
      </c>
      <c r="AE643">
        <v>-70</v>
      </c>
      <c r="AF643">
        <v>1</v>
      </c>
      <c r="AG643" s="9">
        <v>0.04</v>
      </c>
      <c r="AH643" s="9">
        <v>1.86</v>
      </c>
      <c r="AI643" s="9">
        <v>0.31</v>
      </c>
      <c r="AJ643" s="9">
        <v>2.8000000000000001E-2</v>
      </c>
      <c r="AK643" s="9">
        <v>1.7000000000000001E-2</v>
      </c>
      <c r="AL643" s="9">
        <v>18.399999999999999</v>
      </c>
      <c r="AM643" s="9">
        <v>8.6199999999999992</v>
      </c>
      <c r="AN643" s="9">
        <v>0.4</v>
      </c>
      <c r="AO643" s="9">
        <v>6.6000000000000003E-2</v>
      </c>
      <c r="AQ643" s="1"/>
    </row>
    <row r="644" spans="1:43" x14ac:dyDescent="0.3">
      <c r="A644">
        <v>34</v>
      </c>
      <c r="B644" t="s">
        <v>1682</v>
      </c>
      <c r="C644">
        <v>51</v>
      </c>
      <c r="D644"/>
      <c r="I644"/>
      <c r="J644"/>
      <c r="K644">
        <v>2</v>
      </c>
      <c r="N644">
        <v>1</v>
      </c>
      <c r="O644">
        <v>0</v>
      </c>
      <c r="P644">
        <v>25</v>
      </c>
      <c r="Q644">
        <v>7</v>
      </c>
      <c r="R644" t="s">
        <v>102</v>
      </c>
      <c r="T644" s="6">
        <f>10^-(14-Q644)</f>
        <v>9.9999999999999995E-8</v>
      </c>
      <c r="U644" s="6">
        <v>0</v>
      </c>
      <c r="V644" s="6">
        <v>0</v>
      </c>
      <c r="W644" s="6">
        <v>0</v>
      </c>
      <c r="X644" s="6">
        <v>0</v>
      </c>
      <c r="Y644" t="s">
        <v>171</v>
      </c>
      <c r="Z644"/>
      <c r="AA644"/>
      <c r="AB644"/>
      <c r="AC644"/>
      <c r="AD644">
        <v>0.2</v>
      </c>
      <c r="AE644">
        <v>1168.8323377792301</v>
      </c>
      <c r="AF644">
        <v>1</v>
      </c>
      <c r="AH644" s="9">
        <v>0.01</v>
      </c>
      <c r="AI644" s="9">
        <v>0.02</v>
      </c>
      <c r="AJ644" s="9">
        <v>1E-3</v>
      </c>
      <c r="AK644" s="9">
        <v>1E-3</v>
      </c>
      <c r="AL644" s="9">
        <v>16.36</v>
      </c>
      <c r="AM644" s="9">
        <v>14.08</v>
      </c>
      <c r="AN644" s="9">
        <v>2.29</v>
      </c>
      <c r="AO644" s="9">
        <v>0.17100000000000001</v>
      </c>
      <c r="AQ644" s="1"/>
    </row>
    <row r="645" spans="1:43" x14ac:dyDescent="0.3">
      <c r="A645">
        <v>34</v>
      </c>
      <c r="B645" t="s">
        <v>1682</v>
      </c>
      <c r="C645">
        <v>51</v>
      </c>
      <c r="D645"/>
      <c r="I645"/>
      <c r="J645"/>
      <c r="K645">
        <v>2</v>
      </c>
      <c r="N645">
        <v>0.5</v>
      </c>
      <c r="O645">
        <v>0</v>
      </c>
      <c r="P645">
        <v>25</v>
      </c>
      <c r="Q645">
        <v>0.3</v>
      </c>
      <c r="R645" t="s">
        <v>102</v>
      </c>
      <c r="T645" s="6">
        <f>10^-(14-Q645)</f>
        <v>1.9952623149688784E-14</v>
      </c>
      <c r="U645" s="6">
        <v>0</v>
      </c>
      <c r="V645" s="6">
        <v>0</v>
      </c>
      <c r="W645" s="6">
        <v>0</v>
      </c>
      <c r="X645" s="6">
        <v>0</v>
      </c>
      <c r="Y645" t="s">
        <v>171</v>
      </c>
      <c r="Z645"/>
      <c r="AA645"/>
      <c r="AB645"/>
      <c r="AC645"/>
      <c r="AD645">
        <v>0.2</v>
      </c>
      <c r="AE645">
        <v>345.68365927501799</v>
      </c>
      <c r="AF645">
        <v>1</v>
      </c>
      <c r="AH645" s="9">
        <v>0.01</v>
      </c>
      <c r="AI645" s="9">
        <v>0.02</v>
      </c>
      <c r="AJ645" s="9">
        <v>1E-3</v>
      </c>
      <c r="AK645" s="9">
        <v>1E-3</v>
      </c>
      <c r="AL645" s="9">
        <v>16.36</v>
      </c>
      <c r="AM645" s="9">
        <v>14.08</v>
      </c>
      <c r="AN645" s="9">
        <v>2.29</v>
      </c>
      <c r="AO645" s="9">
        <v>0.17100000000000001</v>
      </c>
      <c r="AQ645" s="1"/>
    </row>
    <row r="646" spans="1:43" x14ac:dyDescent="0.3">
      <c r="A646">
        <v>34</v>
      </c>
      <c r="B646" t="s">
        <v>1682</v>
      </c>
      <c r="C646">
        <v>51</v>
      </c>
      <c r="D646"/>
      <c r="I646"/>
      <c r="J646"/>
      <c r="K646">
        <v>2</v>
      </c>
      <c r="N646">
        <v>1</v>
      </c>
      <c r="O646">
        <v>0</v>
      </c>
      <c r="P646">
        <v>25</v>
      </c>
      <c r="Q646">
        <v>7</v>
      </c>
      <c r="R646" t="s">
        <v>102</v>
      </c>
      <c r="T646" s="6">
        <f>10^-(14-Q646)</f>
        <v>9.9999999999999995E-8</v>
      </c>
      <c r="U646" s="6">
        <v>0</v>
      </c>
      <c r="V646" s="6">
        <v>0</v>
      </c>
      <c r="W646" s="6">
        <v>0</v>
      </c>
      <c r="X646" s="6">
        <v>0</v>
      </c>
      <c r="Y646" t="s">
        <v>171</v>
      </c>
      <c r="Z646"/>
      <c r="AA646"/>
      <c r="AB646"/>
      <c r="AC646"/>
      <c r="AD646">
        <v>0.2</v>
      </c>
      <c r="AE646">
        <v>936.28180999918095</v>
      </c>
      <c r="AF646">
        <v>1</v>
      </c>
      <c r="AH646" s="9">
        <v>0.01</v>
      </c>
      <c r="AI646" s="9">
        <v>0.01</v>
      </c>
      <c r="AJ646" s="9">
        <v>1E-3</v>
      </c>
      <c r="AK646" s="9">
        <v>1E-3</v>
      </c>
      <c r="AL646" s="9">
        <v>16.399999999999999</v>
      </c>
      <c r="AM646" s="9">
        <v>14.1</v>
      </c>
      <c r="AN646" s="9">
        <v>2.23</v>
      </c>
      <c r="AO646" s="9">
        <v>0.11600000000000001</v>
      </c>
      <c r="AQ646" s="1"/>
    </row>
    <row r="647" spans="1:43" x14ac:dyDescent="0.3">
      <c r="A647">
        <v>34</v>
      </c>
      <c r="B647" t="s">
        <v>1682</v>
      </c>
      <c r="C647">
        <v>51</v>
      </c>
      <c r="D647"/>
      <c r="I647"/>
      <c r="J647"/>
      <c r="K647">
        <v>2</v>
      </c>
      <c r="N647">
        <v>0.5</v>
      </c>
      <c r="O647">
        <v>0</v>
      </c>
      <c r="P647">
        <v>25</v>
      </c>
      <c r="Q647">
        <v>0.3</v>
      </c>
      <c r="R647" t="s">
        <v>102</v>
      </c>
      <c r="T647" s="6">
        <f>10^-(14-Q647)</f>
        <v>1.9952623149688784E-14</v>
      </c>
      <c r="U647" s="6">
        <v>0</v>
      </c>
      <c r="V647" s="6">
        <v>0</v>
      </c>
      <c r="W647" s="6">
        <v>0</v>
      </c>
      <c r="X647" s="6">
        <v>0</v>
      </c>
      <c r="Y647" t="s">
        <v>171</v>
      </c>
      <c r="Z647"/>
      <c r="AA647"/>
      <c r="AB647"/>
      <c r="AC647"/>
      <c r="AD647">
        <v>0.2</v>
      </c>
      <c r="AE647">
        <v>304.876851321495</v>
      </c>
      <c r="AF647">
        <v>1</v>
      </c>
      <c r="AH647" s="9">
        <v>0.01</v>
      </c>
      <c r="AI647" s="9">
        <v>0.01</v>
      </c>
      <c r="AJ647" s="9">
        <v>1E-3</v>
      </c>
      <c r="AK647" s="9">
        <v>1E-3</v>
      </c>
      <c r="AL647" s="9">
        <v>16.399999999999999</v>
      </c>
      <c r="AM647" s="9">
        <v>14.1</v>
      </c>
      <c r="AN647" s="9">
        <v>2.23</v>
      </c>
      <c r="AO647" s="9">
        <v>0.11600000000000001</v>
      </c>
      <c r="AQ647" s="1"/>
    </row>
    <row r="648" spans="1:43" x14ac:dyDescent="0.3">
      <c r="A648">
        <v>34</v>
      </c>
      <c r="B648" t="s">
        <v>1682</v>
      </c>
      <c r="C648">
        <v>51</v>
      </c>
      <c r="D648"/>
      <c r="I648"/>
      <c r="J648"/>
      <c r="K648">
        <v>2</v>
      </c>
      <c r="N648">
        <v>1</v>
      </c>
      <c r="O648">
        <v>0</v>
      </c>
      <c r="P648">
        <v>25</v>
      </c>
      <c r="Q648">
        <v>7</v>
      </c>
      <c r="R648" t="s">
        <v>102</v>
      </c>
      <c r="T648" s="6">
        <f>10^-(14-Q648)</f>
        <v>9.9999999999999995E-8</v>
      </c>
      <c r="U648" s="6">
        <v>0</v>
      </c>
      <c r="V648" s="6">
        <v>0</v>
      </c>
      <c r="W648" s="6">
        <v>0</v>
      </c>
      <c r="X648" s="6">
        <v>0</v>
      </c>
      <c r="Y648" t="s">
        <v>171</v>
      </c>
      <c r="Z648"/>
      <c r="AA648"/>
      <c r="AB648"/>
      <c r="AC648"/>
      <c r="AD648">
        <v>0.2</v>
      </c>
      <c r="AE648">
        <v>673.93830292120094</v>
      </c>
      <c r="AF648">
        <v>1</v>
      </c>
      <c r="AH648" s="9">
        <v>0.01</v>
      </c>
      <c r="AI648" s="9">
        <v>0.01</v>
      </c>
      <c r="AJ648" s="9">
        <v>1E-3</v>
      </c>
      <c r="AK648" s="9">
        <v>1E-3</v>
      </c>
      <c r="AL648" s="9">
        <v>16.559999999999999</v>
      </c>
      <c r="AM648" s="9">
        <v>14.26</v>
      </c>
      <c r="AN648" s="9">
        <v>2.27</v>
      </c>
      <c r="AO648" s="9">
        <v>5.8000000000000003E-2</v>
      </c>
      <c r="AQ648" s="1"/>
    </row>
    <row r="649" spans="1:43" x14ac:dyDescent="0.3">
      <c r="A649">
        <v>34</v>
      </c>
      <c r="B649" t="s">
        <v>1682</v>
      </c>
      <c r="C649">
        <v>51</v>
      </c>
      <c r="D649"/>
      <c r="I649"/>
      <c r="J649"/>
      <c r="K649">
        <v>2</v>
      </c>
      <c r="N649">
        <v>0.5</v>
      </c>
      <c r="O649">
        <v>0</v>
      </c>
      <c r="P649">
        <v>25</v>
      </c>
      <c r="Q649">
        <v>0.3</v>
      </c>
      <c r="R649" t="s">
        <v>102</v>
      </c>
      <c r="T649" s="6">
        <f>10^-(14-Q649)</f>
        <v>1.9952623149688784E-14</v>
      </c>
      <c r="U649" s="6">
        <v>0</v>
      </c>
      <c r="V649" s="6">
        <v>0</v>
      </c>
      <c r="W649" s="6">
        <v>0</v>
      </c>
      <c r="X649" s="6">
        <v>0</v>
      </c>
      <c r="Y649" t="s">
        <v>171</v>
      </c>
      <c r="Z649"/>
      <c r="AA649"/>
      <c r="AB649"/>
      <c r="AC649"/>
      <c r="AD649">
        <v>0.2</v>
      </c>
      <c r="AE649">
        <v>254.09540954095399</v>
      </c>
      <c r="AF649">
        <v>1</v>
      </c>
      <c r="AH649" s="9">
        <v>0.01</v>
      </c>
      <c r="AI649" s="9">
        <v>0.01</v>
      </c>
      <c r="AJ649" s="9">
        <v>1E-3</v>
      </c>
      <c r="AK649" s="9">
        <v>1E-3</v>
      </c>
      <c r="AL649" s="9">
        <v>16.559999999999999</v>
      </c>
      <c r="AM649" s="9">
        <v>14.26</v>
      </c>
      <c r="AN649" s="9">
        <v>2.27</v>
      </c>
      <c r="AO649" s="9">
        <v>5.8000000000000003E-2</v>
      </c>
      <c r="AQ649" s="1"/>
    </row>
    <row r="650" spans="1:43" x14ac:dyDescent="0.3">
      <c r="A650">
        <v>34</v>
      </c>
      <c r="B650" t="s">
        <v>1682</v>
      </c>
      <c r="C650">
        <v>51</v>
      </c>
      <c r="D650"/>
      <c r="E650">
        <v>2000</v>
      </c>
      <c r="I650"/>
      <c r="J650"/>
      <c r="K650"/>
      <c r="N650">
        <v>1</v>
      </c>
      <c r="O650">
        <v>0</v>
      </c>
      <c r="P650">
        <v>25</v>
      </c>
      <c r="Q650">
        <v>7</v>
      </c>
      <c r="R650" t="s">
        <v>102</v>
      </c>
      <c r="T650" s="6">
        <f>10^-(14-Q650)</f>
        <v>9.9999999999999995E-8</v>
      </c>
      <c r="U650" s="6">
        <v>0</v>
      </c>
      <c r="V650" s="6">
        <v>0</v>
      </c>
      <c r="W650" s="6">
        <v>0</v>
      </c>
      <c r="X650" s="6">
        <v>0</v>
      </c>
      <c r="Y650" t="s">
        <v>171</v>
      </c>
      <c r="Z650"/>
      <c r="AA650"/>
      <c r="AB650"/>
      <c r="AC650"/>
      <c r="AD650">
        <v>0.2</v>
      </c>
      <c r="AE650">
        <v>477.72686359545003</v>
      </c>
      <c r="AF650">
        <v>1</v>
      </c>
      <c r="AH650" s="9">
        <v>0.01</v>
      </c>
      <c r="AI650" s="9">
        <v>0.01</v>
      </c>
      <c r="AJ650" s="9">
        <v>1E-3</v>
      </c>
      <c r="AK650" s="9">
        <v>1E-3</v>
      </c>
      <c r="AL650" s="9">
        <v>16.64</v>
      </c>
      <c r="AM650" s="9">
        <v>14.23</v>
      </c>
      <c r="AN650" s="9">
        <v>2.25</v>
      </c>
      <c r="AO650" s="9">
        <v>2E-3</v>
      </c>
      <c r="AQ650" s="1"/>
    </row>
    <row r="651" spans="1:43" x14ac:dyDescent="0.3">
      <c r="A651">
        <v>34</v>
      </c>
      <c r="B651" t="s">
        <v>1682</v>
      </c>
      <c r="C651">
        <v>51</v>
      </c>
      <c r="D651"/>
      <c r="I651"/>
      <c r="J651"/>
      <c r="K651">
        <v>2</v>
      </c>
      <c r="N651">
        <v>0.5</v>
      </c>
      <c r="O651">
        <v>0</v>
      </c>
      <c r="P651">
        <v>25</v>
      </c>
      <c r="Q651">
        <v>0.3</v>
      </c>
      <c r="R651" t="s">
        <v>102</v>
      </c>
      <c r="T651" s="6">
        <f>10^-(14-Q651)</f>
        <v>1.9952623149688784E-14</v>
      </c>
      <c r="U651" s="6">
        <v>0</v>
      </c>
      <c r="V651" s="6">
        <v>0</v>
      </c>
      <c r="W651" s="6">
        <v>0</v>
      </c>
      <c r="X651" s="6">
        <v>0</v>
      </c>
      <c r="Y651" t="s">
        <v>171</v>
      </c>
      <c r="Z651"/>
      <c r="AA651"/>
      <c r="AB651"/>
      <c r="AC651"/>
      <c r="AD651">
        <v>0.2</v>
      </c>
      <c r="AE651">
        <v>203.354880942639</v>
      </c>
      <c r="AF651">
        <v>1</v>
      </c>
      <c r="AH651" s="9">
        <v>0.01</v>
      </c>
      <c r="AI651" s="9">
        <v>0.01</v>
      </c>
      <c r="AJ651" s="9">
        <v>1E-3</v>
      </c>
      <c r="AK651" s="9">
        <v>1E-3</v>
      </c>
      <c r="AL651" s="9">
        <v>16.64</v>
      </c>
      <c r="AM651" s="9">
        <v>14.23</v>
      </c>
      <c r="AN651" s="9">
        <v>2.25</v>
      </c>
      <c r="AO651" s="9">
        <v>2E-3</v>
      </c>
      <c r="AQ651" s="1"/>
    </row>
    <row r="652" spans="1:43" x14ac:dyDescent="0.3">
      <c r="A652">
        <v>34</v>
      </c>
      <c r="B652" t="s">
        <v>1682</v>
      </c>
      <c r="C652">
        <v>51</v>
      </c>
      <c r="D652"/>
      <c r="I652"/>
      <c r="J652"/>
      <c r="K652">
        <v>2</v>
      </c>
      <c r="N652">
        <v>1</v>
      </c>
      <c r="O652">
        <v>0</v>
      </c>
      <c r="P652">
        <v>25</v>
      </c>
      <c r="Q652">
        <v>7</v>
      </c>
      <c r="R652" t="s">
        <v>102</v>
      </c>
      <c r="T652" s="6">
        <f>10^-(14-Q652)</f>
        <v>9.9999999999999995E-8</v>
      </c>
      <c r="U652" s="6">
        <v>0</v>
      </c>
      <c r="V652" s="6">
        <v>0</v>
      </c>
      <c r="W652" s="6">
        <v>0</v>
      </c>
      <c r="X652" s="6">
        <v>0</v>
      </c>
      <c r="Y652" t="s">
        <v>171</v>
      </c>
      <c r="Z652"/>
      <c r="AA652"/>
      <c r="AB652"/>
      <c r="AC652"/>
      <c r="AD652">
        <v>0.2</v>
      </c>
      <c r="AE652">
        <v>440</v>
      </c>
      <c r="AF652">
        <v>1</v>
      </c>
      <c r="AH652" s="9">
        <v>20</v>
      </c>
      <c r="AI652" s="9">
        <v>0.01</v>
      </c>
      <c r="AJ652" s="9">
        <v>1E-3</v>
      </c>
      <c r="AK652" s="9">
        <v>2E-3</v>
      </c>
      <c r="AL652" s="9">
        <v>16.91</v>
      </c>
      <c r="AM652" s="9">
        <v>14.29</v>
      </c>
      <c r="AN652" s="9">
        <v>2.1800000000000002</v>
      </c>
      <c r="AO652" s="9">
        <v>0.39400000000000002</v>
      </c>
      <c r="AQ652" s="1"/>
    </row>
    <row r="653" spans="1:43" x14ac:dyDescent="0.3">
      <c r="A653" t="s">
        <v>1381</v>
      </c>
      <c r="B653" s="8" t="s">
        <v>1590</v>
      </c>
      <c r="C653">
        <v>52</v>
      </c>
      <c r="D653" s="8">
        <v>1.4300999999999999</v>
      </c>
      <c r="E653">
        <v>600</v>
      </c>
      <c r="H653" t="s">
        <v>987</v>
      </c>
      <c r="K653" s="4">
        <v>8.3333333333333329E-2</v>
      </c>
      <c r="L653" t="s">
        <v>139</v>
      </c>
      <c r="N653" s="3">
        <v>0.59890485968514717</v>
      </c>
      <c r="O653" s="3">
        <v>0</v>
      </c>
      <c r="P653">
        <v>23</v>
      </c>
      <c r="Q653">
        <v>7</v>
      </c>
      <c r="R653" t="s">
        <v>1375</v>
      </c>
      <c r="S653">
        <v>0</v>
      </c>
      <c r="T653" s="6">
        <f>10^-(14-Q653)</f>
        <v>9.9999999999999995E-8</v>
      </c>
      <c r="U653" s="6">
        <v>0</v>
      </c>
      <c r="V653" s="6">
        <v>0</v>
      </c>
      <c r="W653" s="6">
        <v>0</v>
      </c>
      <c r="X653" s="6">
        <v>0</v>
      </c>
      <c r="Y653" t="s">
        <v>171</v>
      </c>
      <c r="Z653" s="5">
        <v>-280</v>
      </c>
      <c r="AD653">
        <v>1</v>
      </c>
      <c r="AE653" s="1">
        <v>335</v>
      </c>
      <c r="AF653">
        <v>1</v>
      </c>
      <c r="AG653" s="9">
        <v>0.01</v>
      </c>
      <c r="AH653" s="9">
        <v>0.01</v>
      </c>
      <c r="AI653" s="9">
        <v>0.01</v>
      </c>
      <c r="AJ653" s="9">
        <v>3.0000000000000001E-3</v>
      </c>
      <c r="AK653" s="9">
        <v>4.0000000000000001E-3</v>
      </c>
      <c r="AL653" s="9">
        <v>18.5</v>
      </c>
      <c r="AM653" s="9">
        <v>15</v>
      </c>
      <c r="AO653" s="9">
        <v>2.0199999999999999E-2</v>
      </c>
      <c r="AQ653" s="1"/>
    </row>
    <row r="654" spans="1:43" x14ac:dyDescent="0.3">
      <c r="A654" t="s">
        <v>1382</v>
      </c>
      <c r="B654" s="8" t="s">
        <v>1590</v>
      </c>
      <c r="C654">
        <v>52</v>
      </c>
      <c r="D654" s="8">
        <v>1.4300999999999999</v>
      </c>
      <c r="E654">
        <v>600</v>
      </c>
      <c r="H654" t="s">
        <v>987</v>
      </c>
      <c r="K654" s="4">
        <v>8.3333333333333329E-2</v>
      </c>
      <c r="L654" t="s">
        <v>139</v>
      </c>
      <c r="N654" s="3">
        <v>0.59890485968514717</v>
      </c>
      <c r="O654" s="3">
        <v>0</v>
      </c>
      <c r="P654">
        <v>23</v>
      </c>
      <c r="Q654">
        <v>7</v>
      </c>
      <c r="R654" t="s">
        <v>1375</v>
      </c>
      <c r="S654">
        <v>0</v>
      </c>
      <c r="T654" s="6">
        <f>10^-(14-Q654)</f>
        <v>9.9999999999999995E-8</v>
      </c>
      <c r="U654" s="6">
        <v>0</v>
      </c>
      <c r="V654" s="6">
        <v>0</v>
      </c>
      <c r="W654" s="6">
        <v>0</v>
      </c>
      <c r="X654" s="6">
        <v>0</v>
      </c>
      <c r="Y654" t="s">
        <v>171</v>
      </c>
      <c r="Z654" s="5">
        <v>-255</v>
      </c>
      <c r="AD654">
        <v>1</v>
      </c>
      <c r="AE654" s="1">
        <v>395</v>
      </c>
      <c r="AF654">
        <v>1</v>
      </c>
      <c r="AG654" s="9">
        <v>0.01</v>
      </c>
      <c r="AH654" s="9">
        <v>0.01</v>
      </c>
      <c r="AI654" s="9">
        <v>0.01</v>
      </c>
      <c r="AJ654" s="9">
        <v>3.0000000000000001E-3</v>
      </c>
      <c r="AK654" s="9">
        <v>4.0000000000000001E-3</v>
      </c>
      <c r="AL654" s="9">
        <v>18.5</v>
      </c>
      <c r="AM654" s="9">
        <v>15</v>
      </c>
      <c r="AO654" s="9">
        <v>2.0199999999999999E-2</v>
      </c>
      <c r="AQ654" s="1"/>
    </row>
    <row r="655" spans="1:43" x14ac:dyDescent="0.3">
      <c r="A655" t="s">
        <v>1383</v>
      </c>
      <c r="B655" s="8" t="s">
        <v>1590</v>
      </c>
      <c r="C655">
        <v>52</v>
      </c>
      <c r="D655" s="8">
        <v>1.4300999999999999</v>
      </c>
      <c r="E655">
        <v>600</v>
      </c>
      <c r="H655" t="s">
        <v>987</v>
      </c>
      <c r="K655" s="4">
        <v>8.3333333333333329E-2</v>
      </c>
      <c r="L655" t="s">
        <v>139</v>
      </c>
      <c r="N655" s="3">
        <v>0.59890485968514717</v>
      </c>
      <c r="O655" s="3">
        <v>0</v>
      </c>
      <c r="P655">
        <v>23</v>
      </c>
      <c r="Q655">
        <v>7</v>
      </c>
      <c r="R655" t="s">
        <v>1375</v>
      </c>
      <c r="S655">
        <v>0</v>
      </c>
      <c r="T655" s="6">
        <f>10^-(14-Q655)</f>
        <v>9.9999999999999995E-8</v>
      </c>
      <c r="U655" s="6">
        <v>0</v>
      </c>
      <c r="V655" s="6">
        <v>0</v>
      </c>
      <c r="W655" s="6">
        <v>0</v>
      </c>
      <c r="X655" s="6">
        <v>0</v>
      </c>
      <c r="Y655" t="s">
        <v>171</v>
      </c>
      <c r="Z655" s="5">
        <v>-230</v>
      </c>
      <c r="AD655">
        <v>1</v>
      </c>
      <c r="AE655" s="1">
        <v>455</v>
      </c>
      <c r="AF655">
        <v>1</v>
      </c>
      <c r="AG655" s="9">
        <v>0.01</v>
      </c>
      <c r="AH655" s="9">
        <v>0.01</v>
      </c>
      <c r="AI655" s="9">
        <v>0.01</v>
      </c>
      <c r="AJ655" s="9">
        <v>3.0000000000000001E-3</v>
      </c>
      <c r="AK655" s="9">
        <v>4.0000000000000001E-3</v>
      </c>
      <c r="AL655" s="9">
        <v>18.5</v>
      </c>
      <c r="AM655" s="9">
        <v>15</v>
      </c>
      <c r="AO655" s="9">
        <v>2.0199999999999999E-2</v>
      </c>
      <c r="AQ655" s="1"/>
    </row>
    <row r="656" spans="1:43" x14ac:dyDescent="0.3">
      <c r="A656" t="s">
        <v>1384</v>
      </c>
      <c r="B656" s="8" t="s">
        <v>1590</v>
      </c>
      <c r="C656">
        <v>52</v>
      </c>
      <c r="D656" s="8">
        <v>1.4300999999999999</v>
      </c>
      <c r="E656">
        <v>600</v>
      </c>
      <c r="G656" t="s">
        <v>30</v>
      </c>
      <c r="H656">
        <v>6.5</v>
      </c>
      <c r="I656" s="4">
        <v>0.15</v>
      </c>
      <c r="J656" s="3">
        <v>88</v>
      </c>
      <c r="K656" s="4">
        <v>8.3333333333333329E-2</v>
      </c>
      <c r="L656" t="s">
        <v>139</v>
      </c>
      <c r="N656" s="3">
        <v>0.59890485968514717</v>
      </c>
      <c r="O656" s="3">
        <v>0</v>
      </c>
      <c r="P656">
        <v>23</v>
      </c>
      <c r="Q656">
        <v>7</v>
      </c>
      <c r="R656" t="s">
        <v>1375</v>
      </c>
      <c r="S656">
        <v>0</v>
      </c>
      <c r="T656" s="6">
        <f>10^-(14-Q656)</f>
        <v>9.9999999999999995E-8</v>
      </c>
      <c r="U656" s="6">
        <v>0</v>
      </c>
      <c r="V656" s="6">
        <v>0</v>
      </c>
      <c r="W656" s="6">
        <v>0</v>
      </c>
      <c r="X656" s="6">
        <v>0</v>
      </c>
      <c r="Y656" t="s">
        <v>171</v>
      </c>
      <c r="Z656" s="5">
        <v>-170</v>
      </c>
      <c r="AD656">
        <v>1</v>
      </c>
      <c r="AE656" s="1">
        <v>500</v>
      </c>
      <c r="AF656">
        <v>1</v>
      </c>
      <c r="AG656" s="9">
        <v>0.01</v>
      </c>
      <c r="AH656" s="9">
        <v>0.01</v>
      </c>
      <c r="AI656" s="9">
        <v>0.01</v>
      </c>
      <c r="AJ656" s="9">
        <v>3.0000000000000001E-3</v>
      </c>
      <c r="AK656" s="9">
        <v>4.0000000000000001E-3</v>
      </c>
      <c r="AL656" s="9">
        <v>18.5</v>
      </c>
      <c r="AM656" s="9">
        <v>15</v>
      </c>
      <c r="AO656" s="9">
        <v>2.0199999999999999E-2</v>
      </c>
      <c r="AQ656" s="1"/>
    </row>
    <row r="657" spans="1:43" x14ac:dyDescent="0.3">
      <c r="A657" t="s">
        <v>1385</v>
      </c>
      <c r="B657" s="8" t="s">
        <v>1590</v>
      </c>
      <c r="C657">
        <v>52</v>
      </c>
      <c r="D657" s="8">
        <v>1.4300999999999999</v>
      </c>
      <c r="E657">
        <v>600</v>
      </c>
      <c r="G657" t="s">
        <v>30</v>
      </c>
      <c r="H657">
        <v>6.5</v>
      </c>
      <c r="I657" s="4">
        <v>0.15</v>
      </c>
      <c r="J657" s="3">
        <v>88</v>
      </c>
      <c r="K657" s="4">
        <v>8.3333333333333329E-2</v>
      </c>
      <c r="L657" t="s">
        <v>139</v>
      </c>
      <c r="N657" s="3">
        <v>0.59890485968514717</v>
      </c>
      <c r="O657" s="3">
        <v>0</v>
      </c>
      <c r="P657">
        <v>23</v>
      </c>
      <c r="Q657">
        <v>7</v>
      </c>
      <c r="R657" t="s">
        <v>1375</v>
      </c>
      <c r="S657">
        <v>0</v>
      </c>
      <c r="T657" s="6">
        <f>10^-(14-Q657)</f>
        <v>9.9999999999999995E-8</v>
      </c>
      <c r="U657" s="6">
        <v>0</v>
      </c>
      <c r="V657" s="6">
        <v>0</v>
      </c>
      <c r="W657" s="6">
        <v>0</v>
      </c>
      <c r="X657" s="6">
        <v>0</v>
      </c>
      <c r="Y657" t="s">
        <v>171</v>
      </c>
      <c r="Z657" s="5">
        <v>-220</v>
      </c>
      <c r="AD657">
        <v>1</v>
      </c>
      <c r="AE657" s="1">
        <v>475</v>
      </c>
      <c r="AF657">
        <v>1</v>
      </c>
      <c r="AG657" s="9">
        <v>0.01</v>
      </c>
      <c r="AH657" s="9">
        <v>0.01</v>
      </c>
      <c r="AI657" s="9">
        <v>0.01</v>
      </c>
      <c r="AJ657" s="9">
        <v>3.0000000000000001E-3</v>
      </c>
      <c r="AK657" s="9">
        <v>4.0000000000000001E-3</v>
      </c>
      <c r="AL657" s="9">
        <v>18.5</v>
      </c>
      <c r="AM657" s="9">
        <v>15</v>
      </c>
      <c r="AO657" s="9">
        <v>2.0199999999999999E-2</v>
      </c>
      <c r="AQ657" s="1"/>
    </row>
    <row r="658" spans="1:43" x14ac:dyDescent="0.3">
      <c r="A658" t="s">
        <v>1386</v>
      </c>
      <c r="B658" s="8" t="s">
        <v>1590</v>
      </c>
      <c r="C658">
        <v>52</v>
      </c>
      <c r="D658" s="8">
        <v>1.4300999999999999</v>
      </c>
      <c r="E658">
        <v>600</v>
      </c>
      <c r="G658" t="s">
        <v>30</v>
      </c>
      <c r="H658">
        <v>6.5</v>
      </c>
      <c r="I658" s="4">
        <v>0.15</v>
      </c>
      <c r="J658" s="3">
        <v>88</v>
      </c>
      <c r="K658" s="4">
        <v>8.3333333333333329E-2</v>
      </c>
      <c r="L658" t="s">
        <v>139</v>
      </c>
      <c r="N658" s="3">
        <v>0.59890485968514717</v>
      </c>
      <c r="O658" s="3">
        <v>0</v>
      </c>
      <c r="P658">
        <v>23</v>
      </c>
      <c r="Q658">
        <v>7</v>
      </c>
      <c r="R658" t="s">
        <v>1375</v>
      </c>
      <c r="S658">
        <v>0</v>
      </c>
      <c r="T658" s="6">
        <f>10^-(14-Q658)</f>
        <v>9.9999999999999995E-8</v>
      </c>
      <c r="U658" s="6">
        <v>0</v>
      </c>
      <c r="V658" s="6">
        <v>0</v>
      </c>
      <c r="W658" s="6">
        <v>0</v>
      </c>
      <c r="X658" s="6">
        <v>0</v>
      </c>
      <c r="Y658" t="s">
        <v>171</v>
      </c>
      <c r="Z658" s="5">
        <v>-270</v>
      </c>
      <c r="AD658">
        <v>1</v>
      </c>
      <c r="AE658" s="1">
        <v>450</v>
      </c>
      <c r="AF658">
        <v>1</v>
      </c>
      <c r="AG658" s="9">
        <v>0.01</v>
      </c>
      <c r="AH658" s="9">
        <v>0.01</v>
      </c>
      <c r="AI658" s="9">
        <v>0.01</v>
      </c>
      <c r="AJ658" s="9">
        <v>3.0000000000000001E-3</v>
      </c>
      <c r="AK658" s="9">
        <v>4.0000000000000001E-3</v>
      </c>
      <c r="AL658" s="9">
        <v>18.5</v>
      </c>
      <c r="AM658" s="9">
        <v>15</v>
      </c>
      <c r="AO658" s="9">
        <v>2.0199999999999999E-2</v>
      </c>
      <c r="AQ658" s="1"/>
    </row>
    <row r="659" spans="1:43" x14ac:dyDescent="0.3">
      <c r="A659" t="s">
        <v>1387</v>
      </c>
      <c r="B659" s="8" t="s">
        <v>1590</v>
      </c>
      <c r="C659">
        <v>52</v>
      </c>
      <c r="D659" s="8">
        <v>1.4300999999999999</v>
      </c>
      <c r="E659">
        <v>600</v>
      </c>
      <c r="G659" t="s">
        <v>29</v>
      </c>
      <c r="H659" t="s">
        <v>987</v>
      </c>
      <c r="J659" s="3">
        <v>88</v>
      </c>
      <c r="K659" s="4">
        <v>8.3333333333333329E-2</v>
      </c>
      <c r="L659" t="s">
        <v>139</v>
      </c>
      <c r="N659" s="3">
        <v>0.59890485968514717</v>
      </c>
      <c r="O659" s="3">
        <v>0</v>
      </c>
      <c r="P659">
        <v>23</v>
      </c>
      <c r="Q659">
        <v>7</v>
      </c>
      <c r="R659" t="s">
        <v>1375</v>
      </c>
      <c r="S659">
        <v>0</v>
      </c>
      <c r="T659" s="6">
        <f>10^-(14-Q659)</f>
        <v>9.9999999999999995E-8</v>
      </c>
      <c r="U659" s="6">
        <v>0</v>
      </c>
      <c r="V659" s="6">
        <v>0</v>
      </c>
      <c r="W659" s="6">
        <v>0</v>
      </c>
      <c r="X659" s="6">
        <v>0</v>
      </c>
      <c r="Y659" t="s">
        <v>171</v>
      </c>
      <c r="Z659" s="5">
        <v>-180</v>
      </c>
      <c r="AD659">
        <v>1</v>
      </c>
      <c r="AE659" s="1">
        <v>380</v>
      </c>
      <c r="AF659">
        <v>1</v>
      </c>
      <c r="AG659" s="9">
        <v>0.01</v>
      </c>
      <c r="AH659" s="9">
        <v>0.01</v>
      </c>
      <c r="AI659" s="9">
        <v>0.01</v>
      </c>
      <c r="AJ659" s="9">
        <v>3.0000000000000001E-3</v>
      </c>
      <c r="AK659" s="9">
        <v>4.0000000000000001E-3</v>
      </c>
      <c r="AL659" s="9">
        <v>18.5</v>
      </c>
      <c r="AM659" s="9">
        <v>15</v>
      </c>
      <c r="AO659" s="9">
        <v>2.0199999999999999E-2</v>
      </c>
      <c r="AQ659" s="1"/>
    </row>
    <row r="660" spans="1:43" x14ac:dyDescent="0.3">
      <c r="A660" t="s">
        <v>1388</v>
      </c>
      <c r="B660" s="8" t="s">
        <v>1590</v>
      </c>
      <c r="C660">
        <v>52</v>
      </c>
      <c r="D660" s="8">
        <v>1.4300999999999999</v>
      </c>
      <c r="E660">
        <v>600</v>
      </c>
      <c r="G660" t="s">
        <v>29</v>
      </c>
      <c r="H660" t="s">
        <v>987</v>
      </c>
      <c r="J660" s="3">
        <v>88</v>
      </c>
      <c r="K660" s="4">
        <v>8.3333333333333329E-2</v>
      </c>
      <c r="L660" t="s">
        <v>139</v>
      </c>
      <c r="N660" s="3">
        <v>0.59890485968514717</v>
      </c>
      <c r="O660" s="3">
        <v>0</v>
      </c>
      <c r="P660">
        <v>23</v>
      </c>
      <c r="Q660">
        <v>7</v>
      </c>
      <c r="R660" t="s">
        <v>1375</v>
      </c>
      <c r="S660">
        <v>0</v>
      </c>
      <c r="T660" s="6">
        <f>10^-(14-Q660)</f>
        <v>9.9999999999999995E-8</v>
      </c>
      <c r="U660" s="6">
        <v>0</v>
      </c>
      <c r="V660" s="6">
        <v>0</v>
      </c>
      <c r="W660" s="6">
        <v>0</v>
      </c>
      <c r="X660" s="6">
        <v>0</v>
      </c>
      <c r="Y660" t="s">
        <v>171</v>
      </c>
      <c r="Z660" s="5">
        <v>-145</v>
      </c>
      <c r="AD660">
        <v>1</v>
      </c>
      <c r="AE660" s="1">
        <v>415</v>
      </c>
      <c r="AF660">
        <v>1</v>
      </c>
      <c r="AG660" s="9">
        <v>0.01</v>
      </c>
      <c r="AH660" s="9">
        <v>0.01</v>
      </c>
      <c r="AI660" s="9">
        <v>0.01</v>
      </c>
      <c r="AJ660" s="9">
        <v>3.0000000000000001E-3</v>
      </c>
      <c r="AK660" s="9">
        <v>4.0000000000000001E-3</v>
      </c>
      <c r="AL660" s="9">
        <v>18.5</v>
      </c>
      <c r="AM660" s="9">
        <v>15</v>
      </c>
      <c r="AO660" s="9">
        <v>2.0199999999999999E-2</v>
      </c>
      <c r="AQ660" s="1"/>
    </row>
    <row r="661" spans="1:43" x14ac:dyDescent="0.3">
      <c r="A661" t="s">
        <v>1389</v>
      </c>
      <c r="B661" s="8" t="s">
        <v>1590</v>
      </c>
      <c r="C661">
        <v>52</v>
      </c>
      <c r="D661" s="8">
        <v>1.4300999999999999</v>
      </c>
      <c r="E661">
        <v>600</v>
      </c>
      <c r="G661" t="s">
        <v>29</v>
      </c>
      <c r="H661" t="s">
        <v>987</v>
      </c>
      <c r="J661" s="3">
        <v>88</v>
      </c>
      <c r="K661" s="4">
        <v>8.3333333333333329E-2</v>
      </c>
      <c r="L661" t="s">
        <v>139</v>
      </c>
      <c r="N661" s="3">
        <v>0.59890485968514717</v>
      </c>
      <c r="O661" s="3">
        <v>0</v>
      </c>
      <c r="P661">
        <v>23</v>
      </c>
      <c r="Q661">
        <v>7</v>
      </c>
      <c r="R661" t="s">
        <v>1375</v>
      </c>
      <c r="S661">
        <v>0</v>
      </c>
      <c r="T661" s="6">
        <f>10^-(14-Q661)</f>
        <v>9.9999999999999995E-8</v>
      </c>
      <c r="U661" s="6">
        <v>0</v>
      </c>
      <c r="V661" s="6">
        <v>0</v>
      </c>
      <c r="W661" s="6">
        <v>0</v>
      </c>
      <c r="X661" s="6">
        <v>0</v>
      </c>
      <c r="Y661" t="s">
        <v>171</v>
      </c>
      <c r="Z661" s="5">
        <v>-110</v>
      </c>
      <c r="AD661">
        <v>1</v>
      </c>
      <c r="AE661" s="1">
        <v>450</v>
      </c>
      <c r="AF661">
        <v>1</v>
      </c>
      <c r="AG661" s="9">
        <v>0.01</v>
      </c>
      <c r="AH661" s="9">
        <v>0.01</v>
      </c>
      <c r="AI661" s="9">
        <v>0.01</v>
      </c>
      <c r="AJ661" s="9">
        <v>3.0000000000000001E-3</v>
      </c>
      <c r="AK661" s="9">
        <v>4.0000000000000001E-3</v>
      </c>
      <c r="AL661" s="9">
        <v>18.5</v>
      </c>
      <c r="AM661" s="9">
        <v>15</v>
      </c>
      <c r="AO661" s="9">
        <v>2.0199999999999999E-2</v>
      </c>
      <c r="AQ661" s="1"/>
    </row>
    <row r="662" spans="1:43" x14ac:dyDescent="0.3">
      <c r="A662" t="s">
        <v>1390</v>
      </c>
      <c r="B662" s="8" t="s">
        <v>1590</v>
      </c>
      <c r="C662">
        <v>52</v>
      </c>
      <c r="D662" s="8">
        <v>1.4300999999999999</v>
      </c>
      <c r="E662">
        <v>600</v>
      </c>
      <c r="G662" t="s">
        <v>191</v>
      </c>
      <c r="H662">
        <v>-1</v>
      </c>
      <c r="I662" s="4">
        <v>0.62</v>
      </c>
      <c r="J662" s="3">
        <v>0.5</v>
      </c>
      <c r="K662" s="4">
        <v>8.3333333333333329E-2</v>
      </c>
      <c r="L662" t="s">
        <v>139</v>
      </c>
      <c r="N662" s="3">
        <v>0.59890485968514717</v>
      </c>
      <c r="O662" s="3">
        <v>0</v>
      </c>
      <c r="P662">
        <v>23</v>
      </c>
      <c r="Q662">
        <v>7</v>
      </c>
      <c r="R662" t="s">
        <v>1375</v>
      </c>
      <c r="S662">
        <v>0</v>
      </c>
      <c r="T662" s="6">
        <f>10^-(14-Q662)</f>
        <v>9.9999999999999995E-8</v>
      </c>
      <c r="U662" s="6">
        <v>0</v>
      </c>
      <c r="V662" s="6">
        <v>0</v>
      </c>
      <c r="W662" s="6">
        <v>0</v>
      </c>
      <c r="X662" s="6">
        <v>0</v>
      </c>
      <c r="Y662" t="s">
        <v>171</v>
      </c>
      <c r="Z662" s="5">
        <v>-180</v>
      </c>
      <c r="AA662"/>
      <c r="AB662"/>
      <c r="AD662">
        <v>1</v>
      </c>
      <c r="AE662" s="1">
        <v>435</v>
      </c>
      <c r="AF662">
        <v>1</v>
      </c>
      <c r="AG662" s="9">
        <v>0.01</v>
      </c>
      <c r="AH662" s="9">
        <v>0.01</v>
      </c>
      <c r="AI662" s="9">
        <v>0.01</v>
      </c>
      <c r="AJ662" s="9">
        <v>3.0000000000000001E-3</v>
      </c>
      <c r="AK662" s="9">
        <v>4.0000000000000001E-3</v>
      </c>
      <c r="AL662" s="9">
        <v>18.5</v>
      </c>
      <c r="AM662" s="9">
        <v>15</v>
      </c>
      <c r="AO662" s="9">
        <v>2.0199999999999999E-2</v>
      </c>
      <c r="AQ662" s="1"/>
    </row>
    <row r="663" spans="1:43" x14ac:dyDescent="0.3">
      <c r="A663" t="s">
        <v>1391</v>
      </c>
      <c r="B663" s="8" t="s">
        <v>1590</v>
      </c>
      <c r="C663">
        <v>52</v>
      </c>
      <c r="D663" s="8">
        <v>1.4300999999999999</v>
      </c>
      <c r="E663">
        <v>600</v>
      </c>
      <c r="G663" t="s">
        <v>191</v>
      </c>
      <c r="H663">
        <v>-1</v>
      </c>
      <c r="I663" s="4">
        <v>0.62</v>
      </c>
      <c r="J663" s="3">
        <v>0.5</v>
      </c>
      <c r="K663" s="4">
        <v>8.3333333333333329E-2</v>
      </c>
      <c r="L663" t="s">
        <v>139</v>
      </c>
      <c r="N663" s="3">
        <v>0.59890485968514717</v>
      </c>
      <c r="O663" s="3">
        <v>0</v>
      </c>
      <c r="P663">
        <v>23</v>
      </c>
      <c r="Q663">
        <v>7</v>
      </c>
      <c r="R663" t="s">
        <v>1375</v>
      </c>
      <c r="S663">
        <v>0</v>
      </c>
      <c r="T663" s="6">
        <f>10^-(14-Q663)</f>
        <v>9.9999999999999995E-8</v>
      </c>
      <c r="U663" s="6">
        <v>0</v>
      </c>
      <c r="V663" s="6">
        <v>0</v>
      </c>
      <c r="W663" s="6">
        <v>0</v>
      </c>
      <c r="X663" s="6">
        <v>0</v>
      </c>
      <c r="Y663" t="s">
        <v>171</v>
      </c>
      <c r="Z663" s="5">
        <v>-290</v>
      </c>
      <c r="AD663">
        <v>1</v>
      </c>
      <c r="AE663" s="1">
        <v>355</v>
      </c>
      <c r="AF663">
        <v>1</v>
      </c>
      <c r="AG663" s="9">
        <v>0.01</v>
      </c>
      <c r="AH663" s="9">
        <v>0.01</v>
      </c>
      <c r="AI663" s="9">
        <v>0.01</v>
      </c>
      <c r="AJ663" s="9">
        <v>3.0000000000000001E-3</v>
      </c>
      <c r="AK663" s="9">
        <v>4.0000000000000001E-3</v>
      </c>
      <c r="AL663" s="9">
        <v>18.5</v>
      </c>
      <c r="AM663" s="9">
        <v>15</v>
      </c>
      <c r="AO663" s="9">
        <v>2.0199999999999999E-2</v>
      </c>
      <c r="AQ663" s="1"/>
    </row>
    <row r="664" spans="1:43" x14ac:dyDescent="0.3">
      <c r="A664" t="s">
        <v>1392</v>
      </c>
      <c r="B664" s="8" t="s">
        <v>1590</v>
      </c>
      <c r="C664">
        <v>52</v>
      </c>
      <c r="D664" s="8">
        <v>1.4300999999999999</v>
      </c>
      <c r="E664">
        <v>600</v>
      </c>
      <c r="G664" t="s">
        <v>191</v>
      </c>
      <c r="H664">
        <v>-1</v>
      </c>
      <c r="I664" s="4">
        <v>0.62</v>
      </c>
      <c r="J664" s="3">
        <v>0.5</v>
      </c>
      <c r="K664" s="4">
        <v>8.3333333333333329E-2</v>
      </c>
      <c r="L664" t="s">
        <v>139</v>
      </c>
      <c r="N664" s="3">
        <v>0.59890485968514717</v>
      </c>
      <c r="O664" s="3">
        <v>0</v>
      </c>
      <c r="P664">
        <v>23</v>
      </c>
      <c r="Q664">
        <v>7</v>
      </c>
      <c r="R664" t="s">
        <v>1375</v>
      </c>
      <c r="S664">
        <v>0</v>
      </c>
      <c r="T664" s="6">
        <f>10^-(14-Q664)</f>
        <v>9.9999999999999995E-8</v>
      </c>
      <c r="U664" s="6">
        <v>0</v>
      </c>
      <c r="V664" s="6">
        <v>0</v>
      </c>
      <c r="W664" s="6">
        <v>0</v>
      </c>
      <c r="X664" s="6">
        <v>0</v>
      </c>
      <c r="Y664" t="s">
        <v>171</v>
      </c>
      <c r="Z664" s="5">
        <v>-390</v>
      </c>
      <c r="AD664">
        <v>1</v>
      </c>
      <c r="AE664" s="1">
        <v>260</v>
      </c>
      <c r="AF664">
        <v>1</v>
      </c>
      <c r="AG664" s="9">
        <v>0.01</v>
      </c>
      <c r="AH664" s="9">
        <v>0.01</v>
      </c>
      <c r="AI664" s="9">
        <v>0.01</v>
      </c>
      <c r="AJ664" s="9">
        <v>3.0000000000000001E-3</v>
      </c>
      <c r="AK664" s="9">
        <v>4.0000000000000001E-3</v>
      </c>
      <c r="AL664" s="9">
        <v>18.5</v>
      </c>
      <c r="AM664" s="9">
        <v>15</v>
      </c>
      <c r="AO664" s="9">
        <v>2.0199999999999999E-2</v>
      </c>
      <c r="AQ664" s="1"/>
    </row>
    <row r="665" spans="1:43" x14ac:dyDescent="0.3">
      <c r="A665" t="s">
        <v>1393</v>
      </c>
      <c r="B665" s="8" t="s">
        <v>1590</v>
      </c>
      <c r="C665">
        <v>52</v>
      </c>
      <c r="D665" s="8">
        <v>1.4300999999999999</v>
      </c>
      <c r="E665">
        <v>600</v>
      </c>
      <c r="G665" t="s">
        <v>31</v>
      </c>
      <c r="H665">
        <v>-1.2</v>
      </c>
      <c r="I665" s="4">
        <v>1</v>
      </c>
      <c r="J665" s="3">
        <v>1</v>
      </c>
      <c r="K665" s="4">
        <v>8.3333333333333329E-2</v>
      </c>
      <c r="L665" t="s">
        <v>139</v>
      </c>
      <c r="N665" s="3">
        <v>0.59890485968514717</v>
      </c>
      <c r="O665" s="3">
        <v>0</v>
      </c>
      <c r="P665">
        <v>23</v>
      </c>
      <c r="Q665">
        <v>7</v>
      </c>
      <c r="R665" t="s">
        <v>1375</v>
      </c>
      <c r="S665">
        <v>0</v>
      </c>
      <c r="T665" s="6">
        <f>10^-(14-Q665)</f>
        <v>9.9999999999999995E-8</v>
      </c>
      <c r="U665" s="6">
        <v>0</v>
      </c>
      <c r="V665" s="6">
        <v>0</v>
      </c>
      <c r="W665" s="6">
        <v>0</v>
      </c>
      <c r="X665" s="6">
        <v>0</v>
      </c>
      <c r="Y665" t="s">
        <v>171</v>
      </c>
      <c r="Z665" s="5">
        <v>-30</v>
      </c>
      <c r="AA665" s="4"/>
      <c r="AB665" s="4"/>
      <c r="AD665">
        <v>1</v>
      </c>
      <c r="AE665" s="1">
        <v>535</v>
      </c>
      <c r="AF665">
        <v>1</v>
      </c>
      <c r="AG665" s="9">
        <v>0.01</v>
      </c>
      <c r="AH665" s="9">
        <v>0.01</v>
      </c>
      <c r="AI665" s="9">
        <v>0.01</v>
      </c>
      <c r="AJ665" s="9">
        <v>3.0000000000000001E-3</v>
      </c>
      <c r="AK665" s="9">
        <v>4.0000000000000001E-3</v>
      </c>
      <c r="AL665" s="9">
        <v>18.5</v>
      </c>
      <c r="AM665" s="9">
        <v>15</v>
      </c>
      <c r="AO665" s="9">
        <v>2.0199999999999999E-2</v>
      </c>
      <c r="AQ665" s="1"/>
    </row>
    <row r="666" spans="1:43" x14ac:dyDescent="0.3">
      <c r="A666" t="s">
        <v>1394</v>
      </c>
      <c r="B666" s="8" t="s">
        <v>1590</v>
      </c>
      <c r="C666">
        <v>52</v>
      </c>
      <c r="D666" s="8">
        <v>1.4300999999999999</v>
      </c>
      <c r="E666">
        <v>600</v>
      </c>
      <c r="G666" t="s">
        <v>31</v>
      </c>
      <c r="H666">
        <v>-1.2</v>
      </c>
      <c r="I666" s="4">
        <v>1</v>
      </c>
      <c r="J666" s="3">
        <v>1</v>
      </c>
      <c r="K666" s="4">
        <v>8.3333333333333329E-2</v>
      </c>
      <c r="L666" t="s">
        <v>139</v>
      </c>
      <c r="N666" s="3">
        <v>0.59890485968514717</v>
      </c>
      <c r="O666" s="3">
        <v>0</v>
      </c>
      <c r="P666">
        <v>23</v>
      </c>
      <c r="Q666">
        <v>7</v>
      </c>
      <c r="R666" t="s">
        <v>1375</v>
      </c>
      <c r="S666">
        <v>0</v>
      </c>
      <c r="T666" s="6">
        <f>10^-(14-Q666)</f>
        <v>9.9999999999999995E-8</v>
      </c>
      <c r="U666" s="6">
        <v>0</v>
      </c>
      <c r="V666" s="6">
        <v>0</v>
      </c>
      <c r="W666" s="6">
        <v>0</v>
      </c>
      <c r="X666" s="6">
        <v>0</v>
      </c>
      <c r="Y666" t="s">
        <v>171</v>
      </c>
      <c r="Z666" s="5">
        <v>80</v>
      </c>
      <c r="AD666">
        <v>1</v>
      </c>
      <c r="AE666" s="1">
        <v>670</v>
      </c>
      <c r="AF666">
        <v>1</v>
      </c>
      <c r="AG666" s="9">
        <v>0.01</v>
      </c>
      <c r="AH666" s="9">
        <v>0.01</v>
      </c>
      <c r="AI666" s="9">
        <v>0.01</v>
      </c>
      <c r="AJ666" s="9">
        <v>3.0000000000000001E-3</v>
      </c>
      <c r="AK666" s="9">
        <v>4.0000000000000001E-3</v>
      </c>
      <c r="AL666" s="9">
        <v>18.5</v>
      </c>
      <c r="AM666" s="9">
        <v>15</v>
      </c>
      <c r="AO666" s="9">
        <v>2.0199999999999999E-2</v>
      </c>
      <c r="AQ666" s="1"/>
    </row>
    <row r="667" spans="1:43" x14ac:dyDescent="0.3">
      <c r="A667" t="s">
        <v>1395</v>
      </c>
      <c r="B667" s="8" t="s">
        <v>1590</v>
      </c>
      <c r="C667">
        <v>52</v>
      </c>
      <c r="D667" s="8">
        <v>1.4300999999999999</v>
      </c>
      <c r="E667">
        <v>600</v>
      </c>
      <c r="G667" t="s">
        <v>31</v>
      </c>
      <c r="H667">
        <v>-1.2</v>
      </c>
      <c r="I667" s="4">
        <v>1</v>
      </c>
      <c r="J667" s="3">
        <v>1</v>
      </c>
      <c r="K667" s="4">
        <v>8.3333333333333329E-2</v>
      </c>
      <c r="L667" t="s">
        <v>139</v>
      </c>
      <c r="N667" s="3">
        <v>0.59890485968514717</v>
      </c>
      <c r="O667" s="3">
        <v>0</v>
      </c>
      <c r="P667">
        <v>23</v>
      </c>
      <c r="Q667">
        <v>7</v>
      </c>
      <c r="R667" t="s">
        <v>1375</v>
      </c>
      <c r="S667">
        <v>0</v>
      </c>
      <c r="T667" s="6">
        <f>10^-(14-Q667)</f>
        <v>9.9999999999999995E-8</v>
      </c>
      <c r="U667" s="6">
        <v>0</v>
      </c>
      <c r="V667" s="6">
        <v>0</v>
      </c>
      <c r="W667" s="6">
        <v>0</v>
      </c>
      <c r="X667" s="6">
        <v>0</v>
      </c>
      <c r="Y667" t="s">
        <v>171</v>
      </c>
      <c r="Z667" s="5">
        <v>180</v>
      </c>
      <c r="AD667">
        <v>1</v>
      </c>
      <c r="AE667" s="1">
        <v>790</v>
      </c>
      <c r="AF667">
        <v>1</v>
      </c>
      <c r="AG667" s="9">
        <v>0.01</v>
      </c>
      <c r="AH667" s="9">
        <v>0.01</v>
      </c>
      <c r="AI667" s="9">
        <v>0.01</v>
      </c>
      <c r="AJ667" s="9">
        <v>3.0000000000000001E-3</v>
      </c>
      <c r="AK667" s="9">
        <v>4.0000000000000001E-3</v>
      </c>
      <c r="AL667" s="9">
        <v>18.5</v>
      </c>
      <c r="AM667" s="9">
        <v>15</v>
      </c>
      <c r="AO667" s="9">
        <v>2.0199999999999999E-2</v>
      </c>
      <c r="AQ667" s="1"/>
    </row>
    <row r="668" spans="1:43" x14ac:dyDescent="0.3">
      <c r="A668" t="s">
        <v>1366</v>
      </c>
      <c r="B668" s="8" t="s">
        <v>1590</v>
      </c>
      <c r="C668">
        <v>52</v>
      </c>
      <c r="D668" s="8">
        <v>1.4300999999999999</v>
      </c>
      <c r="E668">
        <v>600</v>
      </c>
      <c r="H668" t="s">
        <v>987</v>
      </c>
      <c r="K668" s="4">
        <v>8.3333333333333329E-2</v>
      </c>
      <c r="L668" t="s">
        <v>139</v>
      </c>
      <c r="N668" s="3">
        <v>0.59890485968514717</v>
      </c>
      <c r="O668" s="3">
        <v>0</v>
      </c>
      <c r="P668">
        <v>23</v>
      </c>
      <c r="Q668">
        <v>7</v>
      </c>
      <c r="R668" t="s">
        <v>1375</v>
      </c>
      <c r="S668">
        <v>0</v>
      </c>
      <c r="T668" s="6">
        <f>10^-(14-Q668)</f>
        <v>9.9999999999999995E-8</v>
      </c>
      <c r="U668" s="6">
        <v>0</v>
      </c>
      <c r="V668" s="6">
        <v>0</v>
      </c>
      <c r="W668" s="6">
        <v>0</v>
      </c>
      <c r="X668" s="6">
        <v>0</v>
      </c>
      <c r="Y668" t="s">
        <v>171</v>
      </c>
      <c r="Z668" s="5">
        <v>-290</v>
      </c>
      <c r="AD668">
        <v>1</v>
      </c>
      <c r="AE668" s="1">
        <v>120</v>
      </c>
      <c r="AF668">
        <v>1</v>
      </c>
      <c r="AG668" s="9">
        <v>1.4E-2</v>
      </c>
      <c r="AH668" s="9">
        <v>1.76</v>
      </c>
      <c r="AI668" s="9">
        <v>0.45</v>
      </c>
      <c r="AJ668" s="9">
        <v>3.5000000000000003E-2</v>
      </c>
      <c r="AK668" s="9">
        <v>2.1000000000000001E-2</v>
      </c>
      <c r="AL668" s="9">
        <v>18.600000000000001</v>
      </c>
      <c r="AM668" s="9">
        <v>10.3</v>
      </c>
      <c r="AN668" s="9">
        <v>0.3</v>
      </c>
      <c r="AO668" s="9">
        <v>3.2000000000000001E-2</v>
      </c>
      <c r="AQ668" s="1"/>
    </row>
    <row r="669" spans="1:43" x14ac:dyDescent="0.3">
      <c r="A669" t="s">
        <v>1367</v>
      </c>
      <c r="B669" s="8" t="s">
        <v>1590</v>
      </c>
      <c r="C669">
        <v>52</v>
      </c>
      <c r="D669" s="8">
        <v>1.4300999999999999</v>
      </c>
      <c r="E669">
        <v>600</v>
      </c>
      <c r="H669" t="s">
        <v>987</v>
      </c>
      <c r="K669" s="4">
        <v>8.3333333333333329E-2</v>
      </c>
      <c r="L669" t="s">
        <v>139</v>
      </c>
      <c r="N669" s="3">
        <v>0.59890485968514717</v>
      </c>
      <c r="O669" s="3">
        <v>0</v>
      </c>
      <c r="P669">
        <v>23</v>
      </c>
      <c r="Q669">
        <v>7</v>
      </c>
      <c r="R669" t="s">
        <v>1375</v>
      </c>
      <c r="S669">
        <v>0</v>
      </c>
      <c r="T669" s="6">
        <f>10^-(14-Q669)</f>
        <v>9.9999999999999995E-8</v>
      </c>
      <c r="U669" s="6">
        <v>0</v>
      </c>
      <c r="V669" s="6">
        <v>0</v>
      </c>
      <c r="W669" s="6">
        <v>0</v>
      </c>
      <c r="X669" s="6">
        <v>0</v>
      </c>
      <c r="Y669" t="s">
        <v>171</v>
      </c>
      <c r="Z669" s="5">
        <v>-250</v>
      </c>
      <c r="AD669">
        <v>1</v>
      </c>
      <c r="AE669" s="1">
        <v>200</v>
      </c>
      <c r="AF669">
        <v>1</v>
      </c>
      <c r="AG669" s="9">
        <v>1.4E-2</v>
      </c>
      <c r="AH669" s="9">
        <v>1.76</v>
      </c>
      <c r="AI669" s="9">
        <v>0.45</v>
      </c>
      <c r="AJ669" s="9">
        <v>3.5000000000000003E-2</v>
      </c>
      <c r="AK669" s="9">
        <v>2.1000000000000001E-2</v>
      </c>
      <c r="AL669" s="9">
        <v>18.600000000000001</v>
      </c>
      <c r="AM669" s="9">
        <v>10.3</v>
      </c>
      <c r="AN669" s="9">
        <v>0.3</v>
      </c>
      <c r="AO669" s="9">
        <v>3.2000000000000001E-2</v>
      </c>
      <c r="AQ669" s="1"/>
    </row>
    <row r="670" spans="1:43" x14ac:dyDescent="0.3">
      <c r="A670" t="s">
        <v>1368</v>
      </c>
      <c r="B670" s="8" t="s">
        <v>1590</v>
      </c>
      <c r="C670">
        <v>52</v>
      </c>
      <c r="D670" s="8">
        <v>1.4300999999999999</v>
      </c>
      <c r="E670">
        <v>600</v>
      </c>
      <c r="H670" t="s">
        <v>987</v>
      </c>
      <c r="K670" s="4">
        <v>8.3333333333333329E-2</v>
      </c>
      <c r="L670" t="s">
        <v>139</v>
      </c>
      <c r="N670" s="3">
        <v>0.59890485968514717</v>
      </c>
      <c r="O670" s="3">
        <v>0</v>
      </c>
      <c r="P670">
        <v>23</v>
      </c>
      <c r="Q670">
        <v>7</v>
      </c>
      <c r="R670" t="s">
        <v>1375</v>
      </c>
      <c r="S670">
        <v>0</v>
      </c>
      <c r="T670" s="6">
        <f>10^-(14-Q670)</f>
        <v>9.9999999999999995E-8</v>
      </c>
      <c r="U670" s="6">
        <v>0</v>
      </c>
      <c r="V670" s="6">
        <v>0</v>
      </c>
      <c r="W670" s="6">
        <v>0</v>
      </c>
      <c r="X670" s="6">
        <v>0</v>
      </c>
      <c r="Y670" t="s">
        <v>171</v>
      </c>
      <c r="Z670" s="5">
        <v>-270</v>
      </c>
      <c r="AA670"/>
      <c r="AB670"/>
      <c r="AC670"/>
      <c r="AD670">
        <v>1</v>
      </c>
      <c r="AE670" s="1">
        <v>280</v>
      </c>
      <c r="AF670">
        <v>1</v>
      </c>
      <c r="AG670" s="9">
        <v>1.4E-2</v>
      </c>
      <c r="AH670" s="9">
        <v>1.76</v>
      </c>
      <c r="AI670" s="9">
        <v>0.45</v>
      </c>
      <c r="AJ670" s="9">
        <v>3.5000000000000003E-2</v>
      </c>
      <c r="AK670" s="9">
        <v>2.1000000000000001E-2</v>
      </c>
      <c r="AL670" s="9">
        <v>18.600000000000001</v>
      </c>
      <c r="AM670" s="9">
        <v>10.3</v>
      </c>
      <c r="AN670" s="9">
        <v>0.3</v>
      </c>
      <c r="AO670" s="9">
        <v>3.2000000000000001E-2</v>
      </c>
      <c r="AQ670" s="1"/>
    </row>
    <row r="671" spans="1:43" x14ac:dyDescent="0.3">
      <c r="A671" t="s">
        <v>1369</v>
      </c>
      <c r="B671" s="8" t="s">
        <v>1590</v>
      </c>
      <c r="C671">
        <v>52</v>
      </c>
      <c r="D671" s="8">
        <v>1.4300999999999999</v>
      </c>
      <c r="E671">
        <v>600</v>
      </c>
      <c r="G671" t="s">
        <v>30</v>
      </c>
      <c r="H671">
        <v>6.5</v>
      </c>
      <c r="I671" s="4">
        <v>0.15</v>
      </c>
      <c r="J671" s="3">
        <v>88</v>
      </c>
      <c r="K671" s="4">
        <v>8.3333333333333329E-2</v>
      </c>
      <c r="L671" t="s">
        <v>139</v>
      </c>
      <c r="N671" s="3">
        <v>0.59890485968514717</v>
      </c>
      <c r="O671" s="3">
        <v>0</v>
      </c>
      <c r="P671">
        <v>23</v>
      </c>
      <c r="Q671">
        <v>7</v>
      </c>
      <c r="R671" t="s">
        <v>1375</v>
      </c>
      <c r="S671">
        <v>0</v>
      </c>
      <c r="T671" s="6">
        <f>10^-(14-Q671)</f>
        <v>9.9999999999999995E-8</v>
      </c>
      <c r="U671" s="6">
        <v>0</v>
      </c>
      <c r="V671" s="6">
        <v>0</v>
      </c>
      <c r="W671" s="6">
        <v>0</v>
      </c>
      <c r="X671" s="6">
        <v>0</v>
      </c>
      <c r="Y671" t="s">
        <v>171</v>
      </c>
      <c r="Z671" s="5">
        <v>-235</v>
      </c>
      <c r="AD671">
        <v>1</v>
      </c>
      <c r="AE671" s="1">
        <v>270</v>
      </c>
      <c r="AF671">
        <v>1</v>
      </c>
      <c r="AG671" s="9">
        <v>1.4E-2</v>
      </c>
      <c r="AH671" s="9">
        <v>1.76</v>
      </c>
      <c r="AI671" s="9">
        <v>0.45</v>
      </c>
      <c r="AJ671" s="9">
        <v>3.5000000000000003E-2</v>
      </c>
      <c r="AK671" s="9">
        <v>2.1000000000000001E-2</v>
      </c>
      <c r="AL671" s="9">
        <v>18.600000000000001</v>
      </c>
      <c r="AM671" s="9">
        <v>10.3</v>
      </c>
      <c r="AN671" s="9">
        <v>0.3</v>
      </c>
      <c r="AO671" s="9">
        <v>3.2000000000000001E-2</v>
      </c>
      <c r="AQ671" s="1"/>
    </row>
    <row r="672" spans="1:43" x14ac:dyDescent="0.3">
      <c r="A672" t="s">
        <v>1370</v>
      </c>
      <c r="B672" s="8" t="s">
        <v>1590</v>
      </c>
      <c r="C672">
        <v>52</v>
      </c>
      <c r="D672" s="8">
        <v>1.4300999999999999</v>
      </c>
      <c r="E672">
        <v>600</v>
      </c>
      <c r="G672" t="s">
        <v>30</v>
      </c>
      <c r="H672">
        <v>6.5</v>
      </c>
      <c r="I672" s="4">
        <v>0.15</v>
      </c>
      <c r="J672" s="3">
        <v>88</v>
      </c>
      <c r="K672" s="4">
        <v>8.3333333333333329E-2</v>
      </c>
      <c r="L672" t="s">
        <v>139</v>
      </c>
      <c r="N672" s="3">
        <v>0.59890485968514717</v>
      </c>
      <c r="O672" s="3">
        <v>0</v>
      </c>
      <c r="P672">
        <v>23</v>
      </c>
      <c r="Q672">
        <v>7</v>
      </c>
      <c r="R672" t="s">
        <v>1375</v>
      </c>
      <c r="S672">
        <v>0</v>
      </c>
      <c r="T672" s="6">
        <f>10^-(14-Q672)</f>
        <v>9.9999999999999995E-8</v>
      </c>
      <c r="U672" s="6">
        <v>0</v>
      </c>
      <c r="V672" s="6">
        <v>0</v>
      </c>
      <c r="W672" s="6">
        <v>0</v>
      </c>
      <c r="X672" s="6">
        <v>0</v>
      </c>
      <c r="Y672" t="s">
        <v>171</v>
      </c>
      <c r="Z672" s="5">
        <v>-200</v>
      </c>
      <c r="AD672">
        <v>1</v>
      </c>
      <c r="AE672" s="1">
        <v>295</v>
      </c>
      <c r="AF672">
        <v>1</v>
      </c>
      <c r="AG672" s="9">
        <v>1.4E-2</v>
      </c>
      <c r="AH672" s="9">
        <v>1.76</v>
      </c>
      <c r="AI672" s="9">
        <v>0.45</v>
      </c>
      <c r="AJ672" s="9">
        <v>3.5000000000000003E-2</v>
      </c>
      <c r="AK672" s="9">
        <v>2.1000000000000001E-2</v>
      </c>
      <c r="AL672" s="9">
        <v>18.600000000000001</v>
      </c>
      <c r="AM672" s="9">
        <v>10.3</v>
      </c>
      <c r="AN672" s="9">
        <v>0.3</v>
      </c>
      <c r="AO672" s="9">
        <v>3.2000000000000001E-2</v>
      </c>
      <c r="AQ672" s="1"/>
    </row>
    <row r="673" spans="1:43" x14ac:dyDescent="0.3">
      <c r="A673" t="s">
        <v>1371</v>
      </c>
      <c r="B673" s="8" t="s">
        <v>1590</v>
      </c>
      <c r="C673">
        <v>52</v>
      </c>
      <c r="D673" s="8">
        <v>1.4300999999999999</v>
      </c>
      <c r="E673">
        <v>600</v>
      </c>
      <c r="G673" t="s">
        <v>30</v>
      </c>
      <c r="H673">
        <v>6.5</v>
      </c>
      <c r="I673" s="4">
        <v>0.15</v>
      </c>
      <c r="J673" s="3">
        <v>88</v>
      </c>
      <c r="K673" s="4">
        <v>8.3333333333333329E-2</v>
      </c>
      <c r="L673" t="s">
        <v>139</v>
      </c>
      <c r="N673" s="3">
        <v>0.59890485968514717</v>
      </c>
      <c r="O673" s="3">
        <v>0</v>
      </c>
      <c r="P673">
        <v>23</v>
      </c>
      <c r="Q673">
        <v>7</v>
      </c>
      <c r="R673" t="s">
        <v>1375</v>
      </c>
      <c r="S673">
        <v>0</v>
      </c>
      <c r="T673" s="6">
        <f>10^-(14-Q673)</f>
        <v>9.9999999999999995E-8</v>
      </c>
      <c r="U673" s="6">
        <v>0</v>
      </c>
      <c r="V673" s="6">
        <v>0</v>
      </c>
      <c r="W673" s="6">
        <v>0</v>
      </c>
      <c r="X673" s="6">
        <v>0</v>
      </c>
      <c r="Y673" t="s">
        <v>171</v>
      </c>
      <c r="Z673" s="5">
        <v>-165</v>
      </c>
      <c r="AD673">
        <v>1</v>
      </c>
      <c r="AE673" s="1">
        <v>330</v>
      </c>
      <c r="AF673">
        <v>1</v>
      </c>
      <c r="AG673" s="9">
        <v>1.4E-2</v>
      </c>
      <c r="AH673" s="9">
        <v>1.76</v>
      </c>
      <c r="AI673" s="9">
        <v>0.45</v>
      </c>
      <c r="AJ673" s="9">
        <v>3.5000000000000003E-2</v>
      </c>
      <c r="AK673" s="9">
        <v>2.1000000000000001E-2</v>
      </c>
      <c r="AL673" s="9">
        <v>18.600000000000001</v>
      </c>
      <c r="AM673" s="9">
        <v>10.3</v>
      </c>
      <c r="AN673" s="9">
        <v>0.3</v>
      </c>
      <c r="AO673" s="9">
        <v>3.2000000000000001E-2</v>
      </c>
      <c r="AQ673" s="1"/>
    </row>
    <row r="674" spans="1:43" x14ac:dyDescent="0.3">
      <c r="A674" t="s">
        <v>1372</v>
      </c>
      <c r="B674" s="8" t="s">
        <v>1590</v>
      </c>
      <c r="C674">
        <v>52</v>
      </c>
      <c r="D674" s="8">
        <v>1.4300999999999999</v>
      </c>
      <c r="E674">
        <v>600</v>
      </c>
      <c r="G674" t="s">
        <v>29</v>
      </c>
      <c r="H674" t="s">
        <v>987</v>
      </c>
      <c r="J674" s="3">
        <v>88</v>
      </c>
      <c r="K674" s="4">
        <v>8.3333333333333329E-2</v>
      </c>
      <c r="L674" t="s">
        <v>139</v>
      </c>
      <c r="N674" s="3">
        <v>0.59890485968514717</v>
      </c>
      <c r="O674" s="3">
        <v>0</v>
      </c>
      <c r="P674">
        <v>23</v>
      </c>
      <c r="Q674">
        <v>7</v>
      </c>
      <c r="R674" t="s">
        <v>1375</v>
      </c>
      <c r="S674">
        <v>0</v>
      </c>
      <c r="T674" s="6">
        <f>10^-(14-Q674)</f>
        <v>9.9999999999999995E-8</v>
      </c>
      <c r="U674" s="6">
        <v>0</v>
      </c>
      <c r="V674" s="6">
        <v>0</v>
      </c>
      <c r="W674" s="6">
        <v>0</v>
      </c>
      <c r="X674" s="6">
        <v>0</v>
      </c>
      <c r="Y674" t="s">
        <v>171</v>
      </c>
      <c r="Z674" s="5">
        <v>-205</v>
      </c>
      <c r="AD674">
        <v>1</v>
      </c>
      <c r="AE674" s="1">
        <v>200</v>
      </c>
      <c r="AF674">
        <v>1</v>
      </c>
      <c r="AG674" s="9">
        <v>1.4E-2</v>
      </c>
      <c r="AH674" s="9">
        <v>1.76</v>
      </c>
      <c r="AI674" s="9">
        <v>0.45</v>
      </c>
      <c r="AJ674" s="9">
        <v>3.5000000000000003E-2</v>
      </c>
      <c r="AK674" s="9">
        <v>2.1000000000000001E-2</v>
      </c>
      <c r="AL674" s="9">
        <v>18.600000000000001</v>
      </c>
      <c r="AM674" s="9">
        <v>10.3</v>
      </c>
      <c r="AN674" s="9">
        <v>0.3</v>
      </c>
      <c r="AO674" s="9">
        <v>3.2000000000000001E-2</v>
      </c>
      <c r="AQ674" s="1"/>
    </row>
    <row r="675" spans="1:43" x14ac:dyDescent="0.3">
      <c r="A675" t="s">
        <v>1373</v>
      </c>
      <c r="B675" s="8" t="s">
        <v>1590</v>
      </c>
      <c r="C675">
        <v>52</v>
      </c>
      <c r="D675" s="8">
        <v>1.4300999999999999</v>
      </c>
      <c r="E675">
        <v>600</v>
      </c>
      <c r="G675" t="s">
        <v>29</v>
      </c>
      <c r="H675" t="s">
        <v>987</v>
      </c>
      <c r="J675" s="3">
        <v>88</v>
      </c>
      <c r="K675" s="4">
        <v>8.3333333333333329E-2</v>
      </c>
      <c r="L675" t="s">
        <v>139</v>
      </c>
      <c r="N675" s="3">
        <v>0.59890485968514717</v>
      </c>
      <c r="O675" s="3">
        <v>0</v>
      </c>
      <c r="P675">
        <v>23</v>
      </c>
      <c r="Q675">
        <v>7</v>
      </c>
      <c r="R675" t="s">
        <v>1375</v>
      </c>
      <c r="S675">
        <v>0</v>
      </c>
      <c r="T675" s="6">
        <f>10^-(14-Q675)</f>
        <v>9.9999999999999995E-8</v>
      </c>
      <c r="U675" s="6">
        <v>0</v>
      </c>
      <c r="V675" s="6">
        <v>0</v>
      </c>
      <c r="W675" s="6">
        <v>0</v>
      </c>
      <c r="X675" s="6">
        <v>0</v>
      </c>
      <c r="Y675" t="s">
        <v>171</v>
      </c>
      <c r="Z675" s="5">
        <v>-170</v>
      </c>
      <c r="AD675">
        <v>1</v>
      </c>
      <c r="AE675" s="1">
        <v>215</v>
      </c>
      <c r="AF675">
        <v>1</v>
      </c>
      <c r="AG675" s="9">
        <v>1.4E-2</v>
      </c>
      <c r="AH675" s="9">
        <v>1.76</v>
      </c>
      <c r="AI675" s="9">
        <v>0.45</v>
      </c>
      <c r="AJ675" s="9">
        <v>3.5000000000000003E-2</v>
      </c>
      <c r="AK675" s="9">
        <v>2.1000000000000001E-2</v>
      </c>
      <c r="AL675" s="9">
        <v>18.600000000000001</v>
      </c>
      <c r="AM675" s="9">
        <v>10.3</v>
      </c>
      <c r="AN675" s="9">
        <v>0.3</v>
      </c>
      <c r="AO675" s="9">
        <v>3.2000000000000001E-2</v>
      </c>
      <c r="AQ675" s="1"/>
    </row>
    <row r="676" spans="1:43" x14ac:dyDescent="0.3">
      <c r="A676" t="s">
        <v>1374</v>
      </c>
      <c r="B676" s="8" t="s">
        <v>1590</v>
      </c>
      <c r="C676">
        <v>52</v>
      </c>
      <c r="D676" s="8">
        <v>1.4300999999999999</v>
      </c>
      <c r="E676">
        <v>600</v>
      </c>
      <c r="G676" t="s">
        <v>29</v>
      </c>
      <c r="H676" t="s">
        <v>987</v>
      </c>
      <c r="J676" s="3">
        <v>88</v>
      </c>
      <c r="K676" s="4">
        <v>8.3333333333333329E-2</v>
      </c>
      <c r="L676" t="s">
        <v>139</v>
      </c>
      <c r="N676" s="3">
        <v>0.59890485968514717</v>
      </c>
      <c r="O676" s="3">
        <v>0</v>
      </c>
      <c r="P676">
        <v>23</v>
      </c>
      <c r="Q676">
        <v>7</v>
      </c>
      <c r="R676" t="s">
        <v>1375</v>
      </c>
      <c r="S676">
        <v>0</v>
      </c>
      <c r="T676" s="6">
        <f>10^-(14-Q676)</f>
        <v>9.9999999999999995E-8</v>
      </c>
      <c r="U676" s="6">
        <v>0</v>
      </c>
      <c r="V676" s="6">
        <v>0</v>
      </c>
      <c r="W676" s="6">
        <v>0</v>
      </c>
      <c r="X676" s="6">
        <v>0</v>
      </c>
      <c r="Y676" t="s">
        <v>171</v>
      </c>
      <c r="Z676" s="5">
        <v>-135</v>
      </c>
      <c r="AD676">
        <v>1</v>
      </c>
      <c r="AE676" s="1">
        <v>230</v>
      </c>
      <c r="AF676">
        <v>1</v>
      </c>
      <c r="AG676" s="9">
        <v>1.4E-2</v>
      </c>
      <c r="AH676" s="9">
        <v>1.76</v>
      </c>
      <c r="AI676" s="9">
        <v>0.45</v>
      </c>
      <c r="AJ676" s="9">
        <v>3.5000000000000003E-2</v>
      </c>
      <c r="AK676" s="9">
        <v>2.1000000000000001E-2</v>
      </c>
      <c r="AL676" s="9">
        <v>18.600000000000001</v>
      </c>
      <c r="AM676" s="9">
        <v>10.3</v>
      </c>
      <c r="AN676" s="9">
        <v>0.3</v>
      </c>
      <c r="AO676" s="9">
        <v>3.2000000000000001E-2</v>
      </c>
      <c r="AQ676" s="1"/>
    </row>
    <row r="677" spans="1:43" x14ac:dyDescent="0.3">
      <c r="A677" t="s">
        <v>190</v>
      </c>
      <c r="B677" s="8" t="s">
        <v>1590</v>
      </c>
      <c r="C677">
        <v>52</v>
      </c>
      <c r="D677" s="8">
        <v>1.4300999999999999</v>
      </c>
      <c r="E677">
        <v>600</v>
      </c>
      <c r="G677" t="s">
        <v>191</v>
      </c>
      <c r="H677">
        <v>-1</v>
      </c>
      <c r="I677" s="4">
        <v>0.62</v>
      </c>
      <c r="J677" s="3">
        <v>0.5</v>
      </c>
      <c r="K677" s="4">
        <v>8.3333333333333329E-2</v>
      </c>
      <c r="L677" t="s">
        <v>139</v>
      </c>
      <c r="N677" s="3">
        <v>0.59890485968514717</v>
      </c>
      <c r="O677" s="3">
        <v>0</v>
      </c>
      <c r="P677">
        <v>23</v>
      </c>
      <c r="Q677">
        <v>7</v>
      </c>
      <c r="R677" t="s">
        <v>1375</v>
      </c>
      <c r="S677">
        <v>0</v>
      </c>
      <c r="T677" s="6">
        <f>10^-(14-Q677)</f>
        <v>9.9999999999999995E-8</v>
      </c>
      <c r="U677" s="6">
        <v>0</v>
      </c>
      <c r="V677" s="6">
        <v>0</v>
      </c>
      <c r="W677" s="6">
        <v>0</v>
      </c>
      <c r="X677" s="6">
        <v>0</v>
      </c>
      <c r="Y677" t="s">
        <v>171</v>
      </c>
      <c r="Z677" s="5">
        <v>-210</v>
      </c>
      <c r="AA677" s="4"/>
      <c r="AB677" s="4"/>
      <c r="AD677">
        <v>1</v>
      </c>
      <c r="AE677" s="1">
        <v>240</v>
      </c>
      <c r="AF677">
        <v>1</v>
      </c>
      <c r="AG677" s="9">
        <v>1.4E-2</v>
      </c>
      <c r="AH677" s="9">
        <v>1.76</v>
      </c>
      <c r="AI677" s="9">
        <v>0.45</v>
      </c>
      <c r="AJ677" s="9">
        <v>3.5000000000000003E-2</v>
      </c>
      <c r="AK677" s="9">
        <v>2.1000000000000001E-2</v>
      </c>
      <c r="AL677" s="9">
        <v>18.600000000000001</v>
      </c>
      <c r="AM677" s="9">
        <v>10.3</v>
      </c>
      <c r="AN677" s="9">
        <v>0.3</v>
      </c>
      <c r="AO677" s="9">
        <v>3.2000000000000001E-2</v>
      </c>
      <c r="AQ677" s="1"/>
    </row>
    <row r="678" spans="1:43" x14ac:dyDescent="0.3">
      <c r="A678" t="s">
        <v>1376</v>
      </c>
      <c r="B678" s="8" t="s">
        <v>1590</v>
      </c>
      <c r="C678">
        <v>52</v>
      </c>
      <c r="D678" s="8">
        <v>1.4300999999999999</v>
      </c>
      <c r="E678">
        <v>600</v>
      </c>
      <c r="G678" t="s">
        <v>191</v>
      </c>
      <c r="H678">
        <v>-1</v>
      </c>
      <c r="I678" s="4">
        <v>0.62</v>
      </c>
      <c r="J678" s="3">
        <v>0.5</v>
      </c>
      <c r="K678" s="4">
        <v>8.3333333333333329E-2</v>
      </c>
      <c r="L678" t="s">
        <v>139</v>
      </c>
      <c r="N678" s="3">
        <v>0.59890485968514717</v>
      </c>
      <c r="O678" s="3">
        <v>0</v>
      </c>
      <c r="P678">
        <v>23</v>
      </c>
      <c r="Q678">
        <v>7</v>
      </c>
      <c r="R678" t="s">
        <v>1375</v>
      </c>
      <c r="S678">
        <v>0</v>
      </c>
      <c r="T678" s="6">
        <f>10^-(14-Q678)</f>
        <v>9.9999999999999995E-8</v>
      </c>
      <c r="U678" s="6">
        <v>0</v>
      </c>
      <c r="V678" s="6">
        <v>0</v>
      </c>
      <c r="W678" s="6">
        <v>0</v>
      </c>
      <c r="X678" s="6">
        <v>0</v>
      </c>
      <c r="Y678" t="s">
        <v>171</v>
      </c>
      <c r="Z678" s="5">
        <v>-120</v>
      </c>
      <c r="AD678">
        <v>1</v>
      </c>
      <c r="AE678" s="1">
        <v>280</v>
      </c>
      <c r="AF678">
        <v>1</v>
      </c>
      <c r="AG678" s="9">
        <v>1.4E-2</v>
      </c>
      <c r="AH678" s="9">
        <v>1.76</v>
      </c>
      <c r="AI678" s="9">
        <v>0.45</v>
      </c>
      <c r="AJ678" s="9">
        <v>3.5000000000000003E-2</v>
      </c>
      <c r="AK678" s="9">
        <v>2.1000000000000001E-2</v>
      </c>
      <c r="AL678" s="9">
        <v>18.600000000000001</v>
      </c>
      <c r="AM678" s="9">
        <v>10.3</v>
      </c>
      <c r="AN678" s="9">
        <v>0.3</v>
      </c>
      <c r="AO678" s="9">
        <v>3.2000000000000001E-2</v>
      </c>
      <c r="AQ678" s="1"/>
    </row>
    <row r="679" spans="1:43" x14ac:dyDescent="0.3">
      <c r="A679" t="s">
        <v>1377</v>
      </c>
      <c r="B679" s="8" t="s">
        <v>1590</v>
      </c>
      <c r="C679">
        <v>52</v>
      </c>
      <c r="D679" s="8">
        <v>1.4300999999999999</v>
      </c>
      <c r="E679">
        <v>600</v>
      </c>
      <c r="G679" t="s">
        <v>191</v>
      </c>
      <c r="H679">
        <v>-1</v>
      </c>
      <c r="I679" s="4">
        <v>0.62</v>
      </c>
      <c r="J679" s="3">
        <v>0.5</v>
      </c>
      <c r="K679" s="4">
        <v>8.3333333333333329E-2</v>
      </c>
      <c r="L679" t="s">
        <v>139</v>
      </c>
      <c r="N679" s="3">
        <v>0.59890485968514717</v>
      </c>
      <c r="O679" s="3">
        <v>0</v>
      </c>
      <c r="P679">
        <v>23</v>
      </c>
      <c r="Q679">
        <v>7</v>
      </c>
      <c r="R679" t="s">
        <v>1375</v>
      </c>
      <c r="S679">
        <v>0</v>
      </c>
      <c r="T679" s="6">
        <f>10^-(14-Q679)</f>
        <v>9.9999999999999995E-8</v>
      </c>
      <c r="U679" s="6">
        <v>0</v>
      </c>
      <c r="V679" s="6">
        <v>0</v>
      </c>
      <c r="W679" s="6">
        <v>0</v>
      </c>
      <c r="X679" s="6">
        <v>0</v>
      </c>
      <c r="Y679" t="s">
        <v>171</v>
      </c>
      <c r="Z679" s="5">
        <v>-20</v>
      </c>
      <c r="AD679">
        <v>1</v>
      </c>
      <c r="AE679" s="1">
        <v>320</v>
      </c>
      <c r="AF679">
        <v>1</v>
      </c>
      <c r="AG679" s="9">
        <v>1.4E-2</v>
      </c>
      <c r="AH679" s="9">
        <v>1.76</v>
      </c>
      <c r="AI679" s="9">
        <v>0.45</v>
      </c>
      <c r="AJ679" s="9">
        <v>3.5000000000000003E-2</v>
      </c>
      <c r="AK679" s="9">
        <v>2.1000000000000001E-2</v>
      </c>
      <c r="AL679" s="9">
        <v>18.600000000000001</v>
      </c>
      <c r="AM679" s="9">
        <v>10.3</v>
      </c>
      <c r="AN679" s="9">
        <v>0.3</v>
      </c>
      <c r="AO679" s="9">
        <v>3.2000000000000001E-2</v>
      </c>
      <c r="AQ679" s="1"/>
    </row>
    <row r="680" spans="1:43" x14ac:dyDescent="0.3">
      <c r="A680" t="s">
        <v>1378</v>
      </c>
      <c r="B680" s="8" t="s">
        <v>1590</v>
      </c>
      <c r="C680">
        <v>52</v>
      </c>
      <c r="D680" s="8">
        <v>1.4300999999999999</v>
      </c>
      <c r="E680">
        <v>600</v>
      </c>
      <c r="G680" t="s">
        <v>31</v>
      </c>
      <c r="H680">
        <v>-1.2</v>
      </c>
      <c r="I680" s="4">
        <v>1</v>
      </c>
      <c r="J680" s="3">
        <v>1</v>
      </c>
      <c r="K680" s="4">
        <v>8.3333333333333329E-2</v>
      </c>
      <c r="L680" t="s">
        <v>139</v>
      </c>
      <c r="N680" s="3">
        <v>0.59890485968514717</v>
      </c>
      <c r="O680" s="3">
        <v>0</v>
      </c>
      <c r="P680">
        <v>23</v>
      </c>
      <c r="Q680">
        <v>7</v>
      </c>
      <c r="R680" t="s">
        <v>1375</v>
      </c>
      <c r="S680">
        <v>0</v>
      </c>
      <c r="T680" s="6">
        <f>10^-(14-Q680)</f>
        <v>9.9999999999999995E-8</v>
      </c>
      <c r="U680" s="6">
        <v>0</v>
      </c>
      <c r="V680" s="6">
        <v>0</v>
      </c>
      <c r="W680" s="6">
        <v>0</v>
      </c>
      <c r="X680" s="6">
        <v>0</v>
      </c>
      <c r="Y680" t="s">
        <v>171</v>
      </c>
      <c r="Z680" s="5">
        <v>-140</v>
      </c>
      <c r="AD680">
        <v>1</v>
      </c>
      <c r="AE680" s="1">
        <v>205</v>
      </c>
      <c r="AF680">
        <v>1</v>
      </c>
      <c r="AG680" s="9">
        <v>1.4E-2</v>
      </c>
      <c r="AH680" s="9">
        <v>1.76</v>
      </c>
      <c r="AI680" s="9">
        <v>0.45</v>
      </c>
      <c r="AJ680" s="9">
        <v>3.5000000000000003E-2</v>
      </c>
      <c r="AK680" s="9">
        <v>2.1000000000000001E-2</v>
      </c>
      <c r="AL680" s="9">
        <v>18.600000000000001</v>
      </c>
      <c r="AM680" s="9">
        <v>10.3</v>
      </c>
      <c r="AN680" s="9">
        <v>0.3</v>
      </c>
      <c r="AO680" s="9">
        <v>3.2000000000000001E-2</v>
      </c>
      <c r="AQ680" s="1"/>
    </row>
    <row r="681" spans="1:43" x14ac:dyDescent="0.3">
      <c r="A681" t="s">
        <v>1379</v>
      </c>
      <c r="B681" s="8" t="s">
        <v>1590</v>
      </c>
      <c r="C681">
        <v>52</v>
      </c>
      <c r="D681" s="8">
        <v>1.4300999999999999</v>
      </c>
      <c r="E681">
        <v>600</v>
      </c>
      <c r="G681" t="s">
        <v>31</v>
      </c>
      <c r="H681">
        <v>-1.2</v>
      </c>
      <c r="I681" s="4">
        <v>1</v>
      </c>
      <c r="J681" s="3">
        <v>1</v>
      </c>
      <c r="K681" s="4">
        <v>8.3333333333333329E-2</v>
      </c>
      <c r="L681" t="s">
        <v>139</v>
      </c>
      <c r="N681" s="3">
        <v>0.59890485968514717</v>
      </c>
      <c r="O681" s="3">
        <v>0</v>
      </c>
      <c r="P681">
        <v>23</v>
      </c>
      <c r="Q681">
        <v>7</v>
      </c>
      <c r="R681" t="s">
        <v>1375</v>
      </c>
      <c r="S681">
        <v>0</v>
      </c>
      <c r="T681" s="6">
        <f>10^-(14-Q681)</f>
        <v>9.9999999999999995E-8</v>
      </c>
      <c r="U681" s="6">
        <v>0</v>
      </c>
      <c r="V681" s="6">
        <v>0</v>
      </c>
      <c r="W681" s="6">
        <v>0</v>
      </c>
      <c r="X681" s="6">
        <v>0</v>
      </c>
      <c r="Y681" t="s">
        <v>171</v>
      </c>
      <c r="Z681" s="5">
        <v>-45</v>
      </c>
      <c r="AD681">
        <v>1</v>
      </c>
      <c r="AE681" s="1">
        <v>295</v>
      </c>
      <c r="AF681">
        <v>1</v>
      </c>
      <c r="AG681" s="9">
        <v>1.4E-2</v>
      </c>
      <c r="AH681" s="9">
        <v>1.76</v>
      </c>
      <c r="AI681" s="9">
        <v>0.45</v>
      </c>
      <c r="AJ681" s="9">
        <v>3.5000000000000003E-2</v>
      </c>
      <c r="AK681" s="9">
        <v>2.1000000000000001E-2</v>
      </c>
      <c r="AL681" s="9">
        <v>18.600000000000001</v>
      </c>
      <c r="AM681" s="9">
        <v>10.3</v>
      </c>
      <c r="AN681" s="9">
        <v>0.3</v>
      </c>
      <c r="AO681" s="9">
        <v>3.2000000000000001E-2</v>
      </c>
      <c r="AQ681" s="1"/>
    </row>
    <row r="682" spans="1:43" x14ac:dyDescent="0.3">
      <c r="A682" t="s">
        <v>1380</v>
      </c>
      <c r="B682" s="8" t="s">
        <v>1590</v>
      </c>
      <c r="C682">
        <v>52</v>
      </c>
      <c r="D682" s="8">
        <v>1.4300999999999999</v>
      </c>
      <c r="E682">
        <v>600</v>
      </c>
      <c r="G682" t="s">
        <v>31</v>
      </c>
      <c r="H682">
        <v>-1.2</v>
      </c>
      <c r="I682" s="4">
        <v>1</v>
      </c>
      <c r="J682" s="3">
        <v>1</v>
      </c>
      <c r="K682" s="4">
        <v>8.3333333333333329E-2</v>
      </c>
      <c r="L682" t="s">
        <v>139</v>
      </c>
      <c r="N682" s="3">
        <v>0.59890485968514717</v>
      </c>
      <c r="O682" s="3">
        <v>0</v>
      </c>
      <c r="P682">
        <v>23</v>
      </c>
      <c r="Q682">
        <v>7</v>
      </c>
      <c r="R682" t="s">
        <v>1375</v>
      </c>
      <c r="S682">
        <v>0</v>
      </c>
      <c r="T682" s="6">
        <f>10^-(14-Q682)</f>
        <v>9.9999999999999995E-8</v>
      </c>
      <c r="U682" s="6">
        <v>0</v>
      </c>
      <c r="V682" s="6">
        <v>0</v>
      </c>
      <c r="W682" s="6">
        <v>0</v>
      </c>
      <c r="X682" s="6">
        <v>0</v>
      </c>
      <c r="Y682" t="s">
        <v>171</v>
      </c>
      <c r="Z682" s="5">
        <v>50</v>
      </c>
      <c r="AD682">
        <v>1</v>
      </c>
      <c r="AE682" s="1">
        <v>385</v>
      </c>
      <c r="AF682">
        <v>1</v>
      </c>
      <c r="AG682" s="9">
        <v>1.4E-2</v>
      </c>
      <c r="AH682" s="9">
        <v>1.76</v>
      </c>
      <c r="AI682" s="9">
        <v>0.45</v>
      </c>
      <c r="AJ682" s="9">
        <v>3.5000000000000003E-2</v>
      </c>
      <c r="AK682" s="9">
        <v>2.1000000000000001E-2</v>
      </c>
      <c r="AL682" s="9">
        <v>18.600000000000001</v>
      </c>
      <c r="AM682" s="9">
        <v>10.3</v>
      </c>
      <c r="AN682" s="9">
        <v>0.3</v>
      </c>
      <c r="AO682" s="9">
        <v>3.2000000000000001E-2</v>
      </c>
      <c r="AQ682" s="1"/>
    </row>
    <row r="683" spans="1:43" x14ac:dyDescent="0.3">
      <c r="A683" t="s">
        <v>1044</v>
      </c>
      <c r="B683" t="s">
        <v>1620</v>
      </c>
      <c r="C683">
        <v>53</v>
      </c>
      <c r="D683" s="8">
        <v>1.4300999999999999</v>
      </c>
      <c r="E683">
        <v>240</v>
      </c>
      <c r="F683">
        <v>0.22</v>
      </c>
      <c r="L683" t="s">
        <v>172</v>
      </c>
      <c r="M683" t="s">
        <v>171</v>
      </c>
      <c r="N683" s="3">
        <v>0.5</v>
      </c>
      <c r="O683" s="3">
        <v>0</v>
      </c>
      <c r="P683">
        <v>25</v>
      </c>
      <c r="Q683">
        <v>6.5</v>
      </c>
      <c r="R683" t="s">
        <v>102</v>
      </c>
      <c r="S683">
        <v>0</v>
      </c>
      <c r="T683" s="6">
        <f>10^-(14-Q683)</f>
        <v>3.1622776601683699E-8</v>
      </c>
      <c r="U683" s="6">
        <v>0</v>
      </c>
      <c r="V683" s="6">
        <v>0</v>
      </c>
      <c r="W683" s="6">
        <v>0</v>
      </c>
      <c r="X683" s="6">
        <v>0</v>
      </c>
      <c r="Y683" t="s">
        <v>171</v>
      </c>
      <c r="Z683" s="5">
        <v>-140</v>
      </c>
      <c r="AD683">
        <v>1.6666666666666666E-2</v>
      </c>
      <c r="AE683">
        <v>370</v>
      </c>
      <c r="AF683">
        <v>1</v>
      </c>
      <c r="AG683" s="9">
        <v>0.06</v>
      </c>
      <c r="AH683" s="9">
        <v>1.4</v>
      </c>
      <c r="AI683" s="9">
        <v>0.36</v>
      </c>
      <c r="AJ683" s="9">
        <v>3.1E-2</v>
      </c>
      <c r="AK683" s="9">
        <v>2.1999999999999999E-2</v>
      </c>
      <c r="AL683" s="9">
        <v>18.399999999999999</v>
      </c>
      <c r="AM683" s="9">
        <v>8.6999999999999993</v>
      </c>
      <c r="AN683" s="9">
        <v>0.31</v>
      </c>
      <c r="AQ683" s="1"/>
    </row>
    <row r="684" spans="1:43" x14ac:dyDescent="0.3">
      <c r="A684" t="s">
        <v>1045</v>
      </c>
      <c r="B684" t="s">
        <v>1620</v>
      </c>
      <c r="C684">
        <v>53</v>
      </c>
      <c r="D684" s="8">
        <v>1.4300999999999999</v>
      </c>
      <c r="F684">
        <v>1.7</v>
      </c>
      <c r="L684" t="s">
        <v>172</v>
      </c>
      <c r="M684" t="s">
        <v>171</v>
      </c>
      <c r="N684" s="3">
        <v>0.5</v>
      </c>
      <c r="O684" s="3">
        <v>0</v>
      </c>
      <c r="P684">
        <v>25</v>
      </c>
      <c r="Q684">
        <v>6.5</v>
      </c>
      <c r="R684" t="s">
        <v>102</v>
      </c>
      <c r="S684">
        <v>0</v>
      </c>
      <c r="T684" s="6">
        <f>10^-(14-Q684)</f>
        <v>3.1622776601683699E-8</v>
      </c>
      <c r="U684" s="6">
        <v>0</v>
      </c>
      <c r="V684" s="6">
        <v>0</v>
      </c>
      <c r="W684" s="6">
        <v>0</v>
      </c>
      <c r="X684" s="6">
        <v>0</v>
      </c>
      <c r="Y684" t="s">
        <v>171</v>
      </c>
      <c r="Z684" s="5">
        <v>-240</v>
      </c>
      <c r="AD684">
        <v>1.6666666666666666E-2</v>
      </c>
      <c r="AE684">
        <v>260</v>
      </c>
      <c r="AF684">
        <v>1</v>
      </c>
      <c r="AG684" s="9">
        <v>0.06</v>
      </c>
      <c r="AH684" s="9">
        <v>1.4</v>
      </c>
      <c r="AI684" s="9">
        <v>0.36</v>
      </c>
      <c r="AJ684" s="9">
        <v>3.1E-2</v>
      </c>
      <c r="AK684" s="9">
        <v>2.1999999999999999E-2</v>
      </c>
      <c r="AL684" s="9">
        <v>18.399999999999999</v>
      </c>
      <c r="AM684" s="9">
        <v>8.6999999999999993</v>
      </c>
      <c r="AN684" s="9">
        <v>0.31</v>
      </c>
      <c r="AQ684" s="1"/>
    </row>
    <row r="685" spans="1:43" x14ac:dyDescent="0.3">
      <c r="A685" t="s">
        <v>1046</v>
      </c>
      <c r="B685" t="s">
        <v>1620</v>
      </c>
      <c r="C685">
        <v>53</v>
      </c>
      <c r="D685" s="8">
        <v>1.4300999999999999</v>
      </c>
      <c r="E685">
        <v>100000</v>
      </c>
      <c r="F685">
        <v>1.1000000000000001</v>
      </c>
      <c r="L685" t="s">
        <v>172</v>
      </c>
      <c r="M685" t="s">
        <v>171</v>
      </c>
      <c r="N685" s="3">
        <v>0.5</v>
      </c>
      <c r="O685" s="3">
        <v>0</v>
      </c>
      <c r="P685">
        <v>25</v>
      </c>
      <c r="Q685">
        <v>6.5</v>
      </c>
      <c r="R685" t="s">
        <v>102</v>
      </c>
      <c r="S685">
        <v>0</v>
      </c>
      <c r="T685" s="6">
        <f>10^-(14-Q685)</f>
        <v>3.1622776601683699E-8</v>
      </c>
      <c r="U685" s="6">
        <v>0</v>
      </c>
      <c r="V685" s="6">
        <v>0</v>
      </c>
      <c r="W685" s="6">
        <v>0</v>
      </c>
      <c r="X685" s="6">
        <v>0</v>
      </c>
      <c r="Y685" t="s">
        <v>171</v>
      </c>
      <c r="Z685" s="5">
        <v>-90</v>
      </c>
      <c r="AD685">
        <v>1.6666666666666666E-2</v>
      </c>
      <c r="AE685">
        <v>600</v>
      </c>
      <c r="AF685">
        <v>1</v>
      </c>
      <c r="AG685" s="9">
        <v>0.06</v>
      </c>
      <c r="AH685" s="9">
        <v>1.4</v>
      </c>
      <c r="AI685" s="9">
        <v>0.36</v>
      </c>
      <c r="AJ685" s="9">
        <v>3.1E-2</v>
      </c>
      <c r="AK685" s="9">
        <v>2.1999999999999999E-2</v>
      </c>
      <c r="AL685" s="9">
        <v>18.399999999999999</v>
      </c>
      <c r="AM685" s="9">
        <v>8.6999999999999993</v>
      </c>
      <c r="AN685" s="9">
        <v>0.31</v>
      </c>
      <c r="AQ685" s="1"/>
    </row>
    <row r="686" spans="1:43" x14ac:dyDescent="0.3">
      <c r="A686" t="s">
        <v>1047</v>
      </c>
      <c r="B686" t="s">
        <v>1620</v>
      </c>
      <c r="C686">
        <v>53</v>
      </c>
      <c r="D686" s="8">
        <v>1.4300999999999999</v>
      </c>
      <c r="F686">
        <v>1.4</v>
      </c>
      <c r="L686" t="s">
        <v>172</v>
      </c>
      <c r="M686" t="s">
        <v>171</v>
      </c>
      <c r="N686" s="3">
        <v>0.5</v>
      </c>
      <c r="O686" s="3">
        <v>0</v>
      </c>
      <c r="P686">
        <v>25</v>
      </c>
      <c r="Q686">
        <v>6.5</v>
      </c>
      <c r="R686" t="s">
        <v>102</v>
      </c>
      <c r="S686">
        <v>0</v>
      </c>
      <c r="T686" s="6">
        <f>10^-(14-Q686)</f>
        <v>3.1622776601683699E-8</v>
      </c>
      <c r="U686" s="6">
        <v>0</v>
      </c>
      <c r="V686" s="6">
        <v>0</v>
      </c>
      <c r="W686" s="6">
        <v>0</v>
      </c>
      <c r="X686" s="6">
        <v>0</v>
      </c>
      <c r="Y686" t="s">
        <v>171</v>
      </c>
      <c r="Z686" s="5">
        <v>-120</v>
      </c>
      <c r="AD686">
        <v>1.6666666666666666E-2</v>
      </c>
      <c r="AE686">
        <v>510</v>
      </c>
      <c r="AF686">
        <v>1</v>
      </c>
      <c r="AG686" s="9">
        <v>0.06</v>
      </c>
      <c r="AH686" s="9">
        <v>1.4</v>
      </c>
      <c r="AI686" s="9">
        <v>0.36</v>
      </c>
      <c r="AJ686" s="9">
        <v>3.1E-2</v>
      </c>
      <c r="AK686" s="9">
        <v>2.1999999999999999E-2</v>
      </c>
      <c r="AL686" s="9">
        <v>18.399999999999999</v>
      </c>
      <c r="AM686" s="9">
        <v>8.6999999999999993</v>
      </c>
      <c r="AN686" s="9">
        <v>0.31</v>
      </c>
      <c r="AQ686" s="1"/>
    </row>
    <row r="687" spans="1:43" x14ac:dyDescent="0.3">
      <c r="A687" t="s">
        <v>1048</v>
      </c>
      <c r="B687" t="s">
        <v>1620</v>
      </c>
      <c r="C687">
        <v>53</v>
      </c>
      <c r="D687" s="8">
        <v>1.4300999999999999</v>
      </c>
      <c r="F687">
        <v>1.6</v>
      </c>
      <c r="L687" t="s">
        <v>172</v>
      </c>
      <c r="M687" t="s">
        <v>171</v>
      </c>
      <c r="N687" s="3">
        <v>0.5</v>
      </c>
      <c r="O687" s="3">
        <v>0</v>
      </c>
      <c r="P687">
        <v>25</v>
      </c>
      <c r="Q687">
        <v>6.5</v>
      </c>
      <c r="R687" t="s">
        <v>102</v>
      </c>
      <c r="S687">
        <v>0</v>
      </c>
      <c r="T687" s="6">
        <f>10^-(14-Q687)</f>
        <v>3.1622776601683699E-8</v>
      </c>
      <c r="U687" s="6">
        <v>0</v>
      </c>
      <c r="V687" s="6">
        <v>0</v>
      </c>
      <c r="W687" s="6">
        <v>0</v>
      </c>
      <c r="X687" s="6">
        <v>0</v>
      </c>
      <c r="Y687" t="s">
        <v>171</v>
      </c>
      <c r="Z687" s="5">
        <v>-290</v>
      </c>
      <c r="AD687">
        <v>1.6666666666666666E-2</v>
      </c>
      <c r="AE687">
        <v>80</v>
      </c>
      <c r="AF687">
        <v>1</v>
      </c>
      <c r="AG687" s="9">
        <v>0.06</v>
      </c>
      <c r="AH687" s="9">
        <v>1.4</v>
      </c>
      <c r="AI687" s="9">
        <v>0.36</v>
      </c>
      <c r="AJ687" s="9">
        <v>3.1E-2</v>
      </c>
      <c r="AK687" s="9">
        <v>2.1999999999999999E-2</v>
      </c>
      <c r="AL687" s="9">
        <v>18.399999999999999</v>
      </c>
      <c r="AM687" s="9">
        <v>8.6999999999999993</v>
      </c>
      <c r="AN687" s="9">
        <v>0.31</v>
      </c>
      <c r="AQ687" s="1"/>
    </row>
    <row r="688" spans="1:43" x14ac:dyDescent="0.3">
      <c r="A688" t="s">
        <v>1049</v>
      </c>
      <c r="B688" t="s">
        <v>1620</v>
      </c>
      <c r="C688">
        <v>53</v>
      </c>
      <c r="D688" s="8">
        <v>1.4300999999999999</v>
      </c>
      <c r="F688">
        <v>0.89</v>
      </c>
      <c r="L688" t="s">
        <v>172</v>
      </c>
      <c r="M688" t="s">
        <v>171</v>
      </c>
      <c r="N688" s="3">
        <v>0.5</v>
      </c>
      <c r="O688" s="3">
        <v>0</v>
      </c>
      <c r="P688">
        <v>25</v>
      </c>
      <c r="Q688">
        <v>6.5</v>
      </c>
      <c r="R688" t="s">
        <v>102</v>
      </c>
      <c r="S688">
        <v>0</v>
      </c>
      <c r="T688" s="6">
        <f>10^-(14-Q688)</f>
        <v>3.1622776601683699E-8</v>
      </c>
      <c r="U688" s="6">
        <v>0</v>
      </c>
      <c r="V688" s="6">
        <v>0</v>
      </c>
      <c r="W688" s="6">
        <v>0</v>
      </c>
      <c r="X688" s="6">
        <v>0</v>
      </c>
      <c r="Y688" t="s">
        <v>171</v>
      </c>
      <c r="Z688" s="5">
        <v>-190</v>
      </c>
      <c r="AD688">
        <v>1.6666666666666666E-2</v>
      </c>
      <c r="AE688">
        <v>280</v>
      </c>
      <c r="AF688">
        <v>1</v>
      </c>
      <c r="AG688" s="9">
        <v>0.06</v>
      </c>
      <c r="AH688" s="9">
        <v>1.4</v>
      </c>
      <c r="AI688" s="9">
        <v>0.36</v>
      </c>
      <c r="AJ688" s="9">
        <v>3.1E-2</v>
      </c>
      <c r="AK688" s="9">
        <v>2.1999999999999999E-2</v>
      </c>
      <c r="AL688" s="9">
        <v>18.399999999999999</v>
      </c>
      <c r="AM688" s="9">
        <v>8.6999999999999993</v>
      </c>
      <c r="AN688" s="9">
        <v>0.31</v>
      </c>
      <c r="AQ688" s="1"/>
    </row>
    <row r="689" spans="1:43" x14ac:dyDescent="0.3">
      <c r="A689" t="s">
        <v>1050</v>
      </c>
      <c r="B689" t="s">
        <v>1620</v>
      </c>
      <c r="C689">
        <v>53</v>
      </c>
      <c r="D689" s="8">
        <v>1.4300999999999999</v>
      </c>
      <c r="F689">
        <v>1.6</v>
      </c>
      <c r="L689" t="s">
        <v>172</v>
      </c>
      <c r="M689" t="s">
        <v>171</v>
      </c>
      <c r="N689" s="3">
        <v>0.5</v>
      </c>
      <c r="O689" s="3">
        <v>0</v>
      </c>
      <c r="P689">
        <v>25</v>
      </c>
      <c r="Q689">
        <v>6.5</v>
      </c>
      <c r="R689" t="s">
        <v>102</v>
      </c>
      <c r="S689">
        <v>0</v>
      </c>
      <c r="T689" s="6">
        <f>10^-(14-Q689)</f>
        <v>3.1622776601683699E-8</v>
      </c>
      <c r="U689" s="6">
        <v>0</v>
      </c>
      <c r="V689" s="6">
        <v>0</v>
      </c>
      <c r="W689" s="6">
        <v>0</v>
      </c>
      <c r="X689" s="6">
        <v>0</v>
      </c>
      <c r="Y689" t="s">
        <v>171</v>
      </c>
      <c r="Z689" s="5">
        <v>-30</v>
      </c>
      <c r="AD689">
        <v>1.6666666666666666E-2</v>
      </c>
      <c r="AE689">
        <v>430</v>
      </c>
      <c r="AF689">
        <v>1</v>
      </c>
      <c r="AG689" s="9">
        <v>0.06</v>
      </c>
      <c r="AH689" s="9">
        <v>1.4</v>
      </c>
      <c r="AI689" s="9">
        <v>0.36</v>
      </c>
      <c r="AJ689" s="9">
        <v>3.1E-2</v>
      </c>
      <c r="AK689" s="9">
        <v>2.1999999999999999E-2</v>
      </c>
      <c r="AL689" s="9">
        <v>18.399999999999999</v>
      </c>
      <c r="AM689" s="9">
        <v>8.6999999999999993</v>
      </c>
      <c r="AN689" s="9">
        <v>0.31</v>
      </c>
      <c r="AQ689" s="1"/>
    </row>
    <row r="690" spans="1:43" x14ac:dyDescent="0.3">
      <c r="A690" t="s">
        <v>253</v>
      </c>
      <c r="B690" s="1" t="s">
        <v>1734</v>
      </c>
      <c r="C690">
        <v>54</v>
      </c>
      <c r="D690" s="8">
        <v>1.4403999999999999</v>
      </c>
      <c r="E690">
        <v>800</v>
      </c>
      <c r="F690">
        <v>0.19</v>
      </c>
      <c r="G690" t="s">
        <v>193</v>
      </c>
      <c r="H690">
        <v>7</v>
      </c>
      <c r="I690" s="4">
        <v>-0.2</v>
      </c>
      <c r="J690" s="3">
        <v>8.3333333333333301E-2</v>
      </c>
      <c r="L690" t="s">
        <v>172</v>
      </c>
      <c r="N690" s="3">
        <v>1.4104372355430182E-2</v>
      </c>
      <c r="O690" s="3">
        <v>0</v>
      </c>
      <c r="P690">
        <v>5</v>
      </c>
      <c r="Q690">
        <v>7</v>
      </c>
      <c r="R690" t="s">
        <v>102</v>
      </c>
      <c r="S690">
        <v>0</v>
      </c>
      <c r="T690" s="6">
        <f>10^-(14-Q690)</f>
        <v>9.9999999999999995E-8</v>
      </c>
      <c r="U690" s="6">
        <v>0</v>
      </c>
      <c r="V690" s="6">
        <v>0</v>
      </c>
      <c r="W690" s="6">
        <v>0</v>
      </c>
      <c r="X690" s="6">
        <v>0</v>
      </c>
      <c r="Y690" t="s">
        <v>171</v>
      </c>
      <c r="AD690">
        <f>1/6</f>
        <v>0.16666666666666666</v>
      </c>
      <c r="AE690">
        <v>1000</v>
      </c>
      <c r="AF690">
        <v>2</v>
      </c>
      <c r="AG690" s="9">
        <v>1.4999999999999999E-2</v>
      </c>
      <c r="AH690" s="9">
        <v>1.85</v>
      </c>
      <c r="AI690" s="9">
        <v>0.5</v>
      </c>
      <c r="AJ690" s="9">
        <v>3.5999999999999997E-2</v>
      </c>
      <c r="AK690" s="9">
        <v>1.2E-2</v>
      </c>
      <c r="AL690" s="9">
        <v>16.8</v>
      </c>
      <c r="AM690" s="9">
        <v>10.9</v>
      </c>
      <c r="AN690" s="9">
        <v>2.15</v>
      </c>
      <c r="AO690" s="9">
        <v>2.1999999999999999E-2</v>
      </c>
      <c r="AQ690" s="1"/>
    </row>
    <row r="691" spans="1:43" x14ac:dyDescent="0.3">
      <c r="A691" t="s">
        <v>254</v>
      </c>
      <c r="B691" s="1" t="s">
        <v>1734</v>
      </c>
      <c r="C691">
        <v>54</v>
      </c>
      <c r="D691" s="8">
        <v>1.4403999999999999</v>
      </c>
      <c r="E691">
        <v>800</v>
      </c>
      <c r="F691">
        <v>0.19</v>
      </c>
      <c r="G691" t="s">
        <v>193</v>
      </c>
      <c r="H691">
        <v>7</v>
      </c>
      <c r="I691" s="4">
        <v>-0.2</v>
      </c>
      <c r="J691" s="3">
        <v>8.3333333333333301E-2</v>
      </c>
      <c r="L691" t="s">
        <v>172</v>
      </c>
      <c r="N691" s="3">
        <v>0.14104372355430184</v>
      </c>
      <c r="O691" s="3">
        <v>0</v>
      </c>
      <c r="P691">
        <v>5</v>
      </c>
      <c r="Q691">
        <v>7</v>
      </c>
      <c r="R691" t="s">
        <v>102</v>
      </c>
      <c r="S691">
        <v>0</v>
      </c>
      <c r="T691" s="6">
        <f>10^-(14-Q691)</f>
        <v>9.9999999999999995E-8</v>
      </c>
      <c r="U691" s="6">
        <v>0</v>
      </c>
      <c r="V691" s="6">
        <v>0</v>
      </c>
      <c r="W691" s="6">
        <v>0</v>
      </c>
      <c r="X691" s="6">
        <v>0</v>
      </c>
      <c r="Y691" t="s">
        <v>171</v>
      </c>
      <c r="AD691">
        <f>1/6</f>
        <v>0.16666666666666666</v>
      </c>
      <c r="AE691">
        <v>911</v>
      </c>
      <c r="AF691">
        <v>1</v>
      </c>
      <c r="AG691" s="9">
        <v>1.4999999999999999E-2</v>
      </c>
      <c r="AH691" s="9">
        <v>1.85</v>
      </c>
      <c r="AI691" s="9">
        <v>0.5</v>
      </c>
      <c r="AJ691" s="9">
        <v>3.5999999999999997E-2</v>
      </c>
      <c r="AK691" s="9">
        <v>1.2E-2</v>
      </c>
      <c r="AL691" s="9">
        <v>16.8</v>
      </c>
      <c r="AM691" s="9">
        <v>10.9</v>
      </c>
      <c r="AN691" s="9">
        <v>2.15</v>
      </c>
      <c r="AO691" s="9">
        <v>2.1999999999999999E-2</v>
      </c>
      <c r="AQ691" s="1"/>
    </row>
    <row r="692" spans="1:43" x14ac:dyDescent="0.3">
      <c r="A692" t="s">
        <v>255</v>
      </c>
      <c r="B692" s="1" t="s">
        <v>1734</v>
      </c>
      <c r="C692">
        <v>54</v>
      </c>
      <c r="D692" s="8">
        <v>1.4403999999999999</v>
      </c>
      <c r="E692">
        <v>800</v>
      </c>
      <c r="F692">
        <v>0.19</v>
      </c>
      <c r="G692" t="s">
        <v>193</v>
      </c>
      <c r="H692">
        <v>7</v>
      </c>
      <c r="I692" s="4">
        <v>-0.2</v>
      </c>
      <c r="J692" s="3">
        <v>8.3333333333333301E-2</v>
      </c>
      <c r="L692" t="s">
        <v>172</v>
      </c>
      <c r="N692" s="3">
        <v>1.4104372355430184</v>
      </c>
      <c r="O692" s="3">
        <v>0</v>
      </c>
      <c r="P692">
        <v>5</v>
      </c>
      <c r="Q692">
        <v>7</v>
      </c>
      <c r="R692" t="s">
        <v>102</v>
      </c>
      <c r="S692">
        <v>0</v>
      </c>
      <c r="T692" s="6">
        <f>10^-(14-Q692)</f>
        <v>9.9999999999999995E-8</v>
      </c>
      <c r="U692" s="6">
        <v>0</v>
      </c>
      <c r="V692" s="6">
        <v>0</v>
      </c>
      <c r="W692" s="6">
        <v>0</v>
      </c>
      <c r="X692" s="6">
        <v>0</v>
      </c>
      <c r="Y692" t="s">
        <v>171</v>
      </c>
      <c r="AD692">
        <f>1/6</f>
        <v>0.16666666666666666</v>
      </c>
      <c r="AE692">
        <v>896</v>
      </c>
      <c r="AF692">
        <v>1</v>
      </c>
      <c r="AG692" s="9">
        <v>1.4999999999999999E-2</v>
      </c>
      <c r="AH692" s="9">
        <v>1.85</v>
      </c>
      <c r="AI692" s="9">
        <v>0.5</v>
      </c>
      <c r="AJ692" s="9">
        <v>3.5999999999999997E-2</v>
      </c>
      <c r="AK692" s="9">
        <v>1.2E-2</v>
      </c>
      <c r="AL692" s="9">
        <v>16.8</v>
      </c>
      <c r="AM692" s="9">
        <v>10.9</v>
      </c>
      <c r="AN692" s="9">
        <v>2.15</v>
      </c>
      <c r="AO692" s="9">
        <v>2.1999999999999999E-2</v>
      </c>
      <c r="AQ692" s="1"/>
    </row>
    <row r="693" spans="1:43" x14ac:dyDescent="0.3">
      <c r="A693" t="s">
        <v>256</v>
      </c>
      <c r="B693" s="1" t="s">
        <v>1734</v>
      </c>
      <c r="C693">
        <v>54</v>
      </c>
      <c r="D693" s="8">
        <v>1.4403999999999999</v>
      </c>
      <c r="E693">
        <v>800</v>
      </c>
      <c r="F693">
        <v>0.19</v>
      </c>
      <c r="G693" t="s">
        <v>193</v>
      </c>
      <c r="H693">
        <v>7</v>
      </c>
      <c r="I693" s="4">
        <v>-0.2</v>
      </c>
      <c r="J693" s="3">
        <v>8.3333333333333301E-2</v>
      </c>
      <c r="L693" t="s">
        <v>172</v>
      </c>
      <c r="N693" s="3">
        <v>1.4104372355430182E-2</v>
      </c>
      <c r="O693" s="3">
        <v>0</v>
      </c>
      <c r="P693">
        <v>7.5</v>
      </c>
      <c r="Q693">
        <v>7</v>
      </c>
      <c r="R693" t="s">
        <v>102</v>
      </c>
      <c r="S693">
        <v>0</v>
      </c>
      <c r="T693" s="6">
        <f>10^-(14-Q693)</f>
        <v>9.9999999999999995E-8</v>
      </c>
      <c r="U693" s="6">
        <v>0</v>
      </c>
      <c r="V693" s="6">
        <v>0</v>
      </c>
      <c r="W693" s="6">
        <v>0</v>
      </c>
      <c r="X693" s="6">
        <v>0</v>
      </c>
      <c r="Y693" t="s">
        <v>171</v>
      </c>
      <c r="AD693">
        <f>1/6</f>
        <v>0.16666666666666666</v>
      </c>
      <c r="AE693">
        <v>1000</v>
      </c>
      <c r="AF693">
        <v>2</v>
      </c>
      <c r="AG693" s="9">
        <v>1.4999999999999999E-2</v>
      </c>
      <c r="AH693" s="9">
        <v>1.85</v>
      </c>
      <c r="AI693" s="9">
        <v>0.5</v>
      </c>
      <c r="AJ693" s="9">
        <v>3.5999999999999997E-2</v>
      </c>
      <c r="AK693" s="9">
        <v>1.2E-2</v>
      </c>
      <c r="AL693" s="9">
        <v>16.8</v>
      </c>
      <c r="AM693" s="9">
        <v>10.9</v>
      </c>
      <c r="AN693" s="9">
        <v>2.15</v>
      </c>
      <c r="AO693" s="9">
        <v>2.1999999999999999E-2</v>
      </c>
      <c r="AQ693" s="1"/>
    </row>
    <row r="694" spans="1:43" x14ac:dyDescent="0.3">
      <c r="A694" t="s">
        <v>257</v>
      </c>
      <c r="B694" s="1" t="s">
        <v>1734</v>
      </c>
      <c r="C694">
        <v>54</v>
      </c>
      <c r="D694" s="8">
        <v>1.4403999999999999</v>
      </c>
      <c r="E694">
        <v>800</v>
      </c>
      <c r="F694">
        <v>0.19</v>
      </c>
      <c r="G694" t="s">
        <v>193</v>
      </c>
      <c r="H694">
        <v>7</v>
      </c>
      <c r="I694" s="4">
        <v>-0.2</v>
      </c>
      <c r="J694" s="3">
        <v>8.3333333333333301E-2</v>
      </c>
      <c r="L694" t="s">
        <v>172</v>
      </c>
      <c r="N694" s="3">
        <v>0.14104372355430184</v>
      </c>
      <c r="O694" s="3">
        <v>0</v>
      </c>
      <c r="P694">
        <v>7.5</v>
      </c>
      <c r="Q694">
        <v>7</v>
      </c>
      <c r="R694" t="s">
        <v>102</v>
      </c>
      <c r="S694">
        <v>0</v>
      </c>
      <c r="T694" s="6">
        <f>10^-(14-Q694)</f>
        <v>9.9999999999999995E-8</v>
      </c>
      <c r="U694" s="6">
        <v>0</v>
      </c>
      <c r="V694" s="6">
        <v>0</v>
      </c>
      <c r="W694" s="6">
        <v>0</v>
      </c>
      <c r="X694" s="6">
        <v>0</v>
      </c>
      <c r="Y694" t="s">
        <v>171</v>
      </c>
      <c r="AD694">
        <f>1/6</f>
        <v>0.16666666666666666</v>
      </c>
      <c r="AE694">
        <v>737</v>
      </c>
      <c r="AF694">
        <v>1</v>
      </c>
      <c r="AG694" s="9">
        <v>1.4999999999999999E-2</v>
      </c>
      <c r="AH694" s="9">
        <v>1.85</v>
      </c>
      <c r="AI694" s="9">
        <v>0.5</v>
      </c>
      <c r="AJ694" s="9">
        <v>3.5999999999999997E-2</v>
      </c>
      <c r="AK694" s="9">
        <v>1.2E-2</v>
      </c>
      <c r="AL694" s="9">
        <v>16.8</v>
      </c>
      <c r="AM694" s="9">
        <v>10.9</v>
      </c>
      <c r="AN694" s="9">
        <v>2.15</v>
      </c>
      <c r="AO694" s="9">
        <v>2.1999999999999999E-2</v>
      </c>
      <c r="AQ694" s="1"/>
    </row>
    <row r="695" spans="1:43" x14ac:dyDescent="0.3">
      <c r="A695" t="s">
        <v>258</v>
      </c>
      <c r="B695" s="1" t="s">
        <v>1734</v>
      </c>
      <c r="C695">
        <v>54</v>
      </c>
      <c r="D695" s="8">
        <v>1.4403999999999999</v>
      </c>
      <c r="E695">
        <v>800</v>
      </c>
      <c r="F695">
        <v>0.19</v>
      </c>
      <c r="G695" t="s">
        <v>193</v>
      </c>
      <c r="H695">
        <v>7</v>
      </c>
      <c r="I695" s="4">
        <v>-0.2</v>
      </c>
      <c r="J695" s="3">
        <v>8.3333333333333301E-2</v>
      </c>
      <c r="L695" t="s">
        <v>172</v>
      </c>
      <c r="N695" s="3">
        <v>1.4104372355430184</v>
      </c>
      <c r="O695" s="3">
        <v>0</v>
      </c>
      <c r="P695">
        <v>7.5</v>
      </c>
      <c r="Q695">
        <v>7</v>
      </c>
      <c r="R695" t="s">
        <v>102</v>
      </c>
      <c r="S695">
        <v>0</v>
      </c>
      <c r="T695" s="6">
        <f>10^-(14-Q695)</f>
        <v>9.9999999999999995E-8</v>
      </c>
      <c r="U695" s="6">
        <v>0</v>
      </c>
      <c r="V695" s="6">
        <v>0</v>
      </c>
      <c r="W695" s="6">
        <v>0</v>
      </c>
      <c r="X695" s="6">
        <v>0</v>
      </c>
      <c r="Y695" t="s">
        <v>171</v>
      </c>
      <c r="AD695">
        <f>1/6</f>
        <v>0.16666666666666666</v>
      </c>
      <c r="AE695">
        <v>872</v>
      </c>
      <c r="AF695">
        <v>1</v>
      </c>
      <c r="AG695" s="9">
        <v>1.4999999999999999E-2</v>
      </c>
      <c r="AH695" s="9">
        <v>1.85</v>
      </c>
      <c r="AI695" s="9">
        <v>0.5</v>
      </c>
      <c r="AJ695" s="9">
        <v>3.5999999999999997E-2</v>
      </c>
      <c r="AK695" s="9">
        <v>1.2E-2</v>
      </c>
      <c r="AL695" s="9">
        <v>16.8</v>
      </c>
      <c r="AM695" s="9">
        <v>10.9</v>
      </c>
      <c r="AN695" s="9">
        <v>2.15</v>
      </c>
      <c r="AO695" s="9">
        <v>2.1999999999999999E-2</v>
      </c>
      <c r="AQ695" s="1"/>
    </row>
    <row r="696" spans="1:43" x14ac:dyDescent="0.3">
      <c r="A696" t="s">
        <v>259</v>
      </c>
      <c r="B696" s="1" t="s">
        <v>1734</v>
      </c>
      <c r="C696">
        <v>54</v>
      </c>
      <c r="D696" s="8">
        <v>1.4403999999999999</v>
      </c>
      <c r="E696">
        <v>800</v>
      </c>
      <c r="F696">
        <v>0.19</v>
      </c>
      <c r="G696" t="s">
        <v>193</v>
      </c>
      <c r="H696">
        <v>7</v>
      </c>
      <c r="I696" s="4">
        <v>-0.2</v>
      </c>
      <c r="J696" s="3">
        <v>8.3333333333333301E-2</v>
      </c>
      <c r="L696" t="s">
        <v>172</v>
      </c>
      <c r="N696" s="3">
        <v>1.4104372355430182E-2</v>
      </c>
      <c r="O696" s="3">
        <v>0</v>
      </c>
      <c r="P696">
        <v>10</v>
      </c>
      <c r="Q696">
        <v>7</v>
      </c>
      <c r="R696" t="s">
        <v>102</v>
      </c>
      <c r="S696">
        <v>0</v>
      </c>
      <c r="T696" s="6">
        <f>10^-(14-Q696)</f>
        <v>9.9999999999999995E-8</v>
      </c>
      <c r="U696" s="6">
        <v>0</v>
      </c>
      <c r="V696" s="6">
        <v>0</v>
      </c>
      <c r="W696" s="6">
        <v>0</v>
      </c>
      <c r="X696" s="6">
        <v>0</v>
      </c>
      <c r="Y696" t="s">
        <v>171</v>
      </c>
      <c r="AD696">
        <f>1/6</f>
        <v>0.16666666666666666</v>
      </c>
      <c r="AE696">
        <v>855</v>
      </c>
      <c r="AF696">
        <v>1</v>
      </c>
      <c r="AG696" s="9">
        <v>1.4999999999999999E-2</v>
      </c>
      <c r="AH696" s="9">
        <v>1.85</v>
      </c>
      <c r="AI696" s="9">
        <v>0.5</v>
      </c>
      <c r="AJ696" s="9">
        <v>3.5999999999999997E-2</v>
      </c>
      <c r="AK696" s="9">
        <v>1.2E-2</v>
      </c>
      <c r="AL696" s="9">
        <v>16.8</v>
      </c>
      <c r="AM696" s="9">
        <v>10.9</v>
      </c>
      <c r="AN696" s="9">
        <v>2.15</v>
      </c>
      <c r="AO696" s="9">
        <v>2.1999999999999999E-2</v>
      </c>
      <c r="AQ696" s="1"/>
    </row>
    <row r="697" spans="1:43" x14ac:dyDescent="0.3">
      <c r="A697" t="s">
        <v>260</v>
      </c>
      <c r="B697" s="1" t="s">
        <v>1734</v>
      </c>
      <c r="C697">
        <v>54</v>
      </c>
      <c r="D697" s="8">
        <v>1.4403999999999999</v>
      </c>
      <c r="E697">
        <v>800</v>
      </c>
      <c r="F697">
        <v>0.19</v>
      </c>
      <c r="G697" t="s">
        <v>193</v>
      </c>
      <c r="H697">
        <v>7</v>
      </c>
      <c r="I697" s="4">
        <v>-0.2</v>
      </c>
      <c r="J697" s="3">
        <v>8.3333333333333301E-2</v>
      </c>
      <c r="L697" t="s">
        <v>172</v>
      </c>
      <c r="N697" s="3">
        <v>0.14104372355430184</v>
      </c>
      <c r="O697" s="3">
        <v>0</v>
      </c>
      <c r="P697">
        <v>10</v>
      </c>
      <c r="Q697">
        <v>7</v>
      </c>
      <c r="R697" t="s">
        <v>102</v>
      </c>
      <c r="S697">
        <v>0</v>
      </c>
      <c r="T697" s="6">
        <f>10^-(14-Q697)</f>
        <v>9.9999999999999995E-8</v>
      </c>
      <c r="U697" s="6">
        <v>0</v>
      </c>
      <c r="V697" s="6">
        <v>0</v>
      </c>
      <c r="W697" s="6">
        <v>0</v>
      </c>
      <c r="X697" s="6">
        <v>0</v>
      </c>
      <c r="Y697" t="s">
        <v>171</v>
      </c>
      <c r="AD697">
        <f>1/6</f>
        <v>0.16666666666666666</v>
      </c>
      <c r="AE697">
        <v>734</v>
      </c>
      <c r="AF697">
        <v>1</v>
      </c>
      <c r="AG697" s="9">
        <v>1.4999999999999999E-2</v>
      </c>
      <c r="AH697" s="9">
        <v>1.85</v>
      </c>
      <c r="AI697" s="9">
        <v>0.5</v>
      </c>
      <c r="AJ697" s="9">
        <v>3.5999999999999997E-2</v>
      </c>
      <c r="AK697" s="9">
        <v>1.2E-2</v>
      </c>
      <c r="AL697" s="9">
        <v>16.8</v>
      </c>
      <c r="AM697" s="9">
        <v>10.9</v>
      </c>
      <c r="AN697" s="9">
        <v>2.15</v>
      </c>
      <c r="AO697" s="9">
        <v>2.1999999999999999E-2</v>
      </c>
      <c r="AQ697" s="1"/>
    </row>
    <row r="698" spans="1:43" x14ac:dyDescent="0.3">
      <c r="A698" t="s">
        <v>261</v>
      </c>
      <c r="B698" s="1" t="s">
        <v>1734</v>
      </c>
      <c r="C698">
        <v>54</v>
      </c>
      <c r="D698" s="8">
        <v>1.4403999999999999</v>
      </c>
      <c r="E698">
        <v>800</v>
      </c>
      <c r="F698">
        <v>0.19</v>
      </c>
      <c r="G698" t="s">
        <v>193</v>
      </c>
      <c r="H698">
        <v>7</v>
      </c>
      <c r="I698" s="4">
        <v>-0.2</v>
      </c>
      <c r="J698" s="3">
        <v>8.3333333333333301E-2</v>
      </c>
      <c r="L698" t="s">
        <v>172</v>
      </c>
      <c r="N698" s="3">
        <v>0.14104372355430184</v>
      </c>
      <c r="O698" s="3">
        <v>0</v>
      </c>
      <c r="P698">
        <v>10</v>
      </c>
      <c r="Q698">
        <v>7</v>
      </c>
      <c r="R698" t="s">
        <v>102</v>
      </c>
      <c r="S698">
        <v>0</v>
      </c>
      <c r="T698" s="6">
        <f>10^-(14-Q698)</f>
        <v>9.9999999999999995E-8</v>
      </c>
      <c r="U698" s="6">
        <v>0</v>
      </c>
      <c r="V698" s="6">
        <v>0</v>
      </c>
      <c r="W698" s="6">
        <v>0</v>
      </c>
      <c r="X698" s="6">
        <v>0</v>
      </c>
      <c r="Y698" t="s">
        <v>171</v>
      </c>
      <c r="AD698">
        <f>1/6</f>
        <v>0.16666666666666666</v>
      </c>
      <c r="AE698">
        <v>675</v>
      </c>
      <c r="AF698">
        <v>1</v>
      </c>
      <c r="AG698" s="9">
        <v>1.4999999999999999E-2</v>
      </c>
      <c r="AH698" s="9">
        <v>1.85</v>
      </c>
      <c r="AI698" s="9">
        <v>0.5</v>
      </c>
      <c r="AJ698" s="9">
        <v>3.5999999999999997E-2</v>
      </c>
      <c r="AK698" s="9">
        <v>1.2E-2</v>
      </c>
      <c r="AL698" s="9">
        <v>16.8</v>
      </c>
      <c r="AM698" s="9">
        <v>10.9</v>
      </c>
      <c r="AN698" s="9">
        <v>2.15</v>
      </c>
      <c r="AO698" s="9">
        <v>2.1999999999999999E-2</v>
      </c>
      <c r="AQ698" s="1"/>
    </row>
    <row r="699" spans="1:43" x14ac:dyDescent="0.3">
      <c r="A699" t="s">
        <v>262</v>
      </c>
      <c r="B699" s="1" t="s">
        <v>1734</v>
      </c>
      <c r="C699">
        <v>54</v>
      </c>
      <c r="D699" s="8">
        <v>1.4403999999999999</v>
      </c>
      <c r="E699">
        <v>800</v>
      </c>
      <c r="F699">
        <v>0.19</v>
      </c>
      <c r="G699" t="s">
        <v>193</v>
      </c>
      <c r="H699">
        <v>7</v>
      </c>
      <c r="I699" s="4">
        <v>-0.2</v>
      </c>
      <c r="J699" s="3">
        <v>8.3333333333333301E-2</v>
      </c>
      <c r="L699" t="s">
        <v>172</v>
      </c>
      <c r="N699" s="3">
        <v>1.4104372355430184</v>
      </c>
      <c r="O699" s="3">
        <v>0</v>
      </c>
      <c r="P699">
        <v>10</v>
      </c>
      <c r="Q699">
        <v>7</v>
      </c>
      <c r="R699" t="s">
        <v>102</v>
      </c>
      <c r="S699">
        <v>0</v>
      </c>
      <c r="T699" s="6">
        <f>10^-(14-Q699)</f>
        <v>9.9999999999999995E-8</v>
      </c>
      <c r="U699" s="6">
        <v>0</v>
      </c>
      <c r="V699" s="6">
        <v>0</v>
      </c>
      <c r="W699" s="6">
        <v>0</v>
      </c>
      <c r="X699" s="6">
        <v>0</v>
      </c>
      <c r="Y699" t="s">
        <v>171</v>
      </c>
      <c r="AD699">
        <f>1/6</f>
        <v>0.16666666666666666</v>
      </c>
      <c r="AE699">
        <v>516</v>
      </c>
      <c r="AF699">
        <v>1</v>
      </c>
      <c r="AG699" s="9">
        <v>1.4999999999999999E-2</v>
      </c>
      <c r="AH699" s="9">
        <v>1.85</v>
      </c>
      <c r="AI699" s="9">
        <v>0.5</v>
      </c>
      <c r="AJ699" s="9">
        <v>3.5999999999999997E-2</v>
      </c>
      <c r="AK699" s="9">
        <v>1.2E-2</v>
      </c>
      <c r="AL699" s="9">
        <v>16.8</v>
      </c>
      <c r="AM699" s="9">
        <v>10.9</v>
      </c>
      <c r="AN699" s="9">
        <v>2.15</v>
      </c>
      <c r="AO699" s="9">
        <v>2.1999999999999999E-2</v>
      </c>
      <c r="AQ699" s="1"/>
    </row>
    <row r="700" spans="1:43" x14ac:dyDescent="0.3">
      <c r="A700" t="s">
        <v>263</v>
      </c>
      <c r="B700" s="1" t="s">
        <v>1734</v>
      </c>
      <c r="C700">
        <v>54</v>
      </c>
      <c r="D700" s="8">
        <v>1.4403999999999999</v>
      </c>
      <c r="E700">
        <v>800</v>
      </c>
      <c r="F700">
        <v>0.19</v>
      </c>
      <c r="G700" t="s">
        <v>193</v>
      </c>
      <c r="H700">
        <v>7</v>
      </c>
      <c r="I700" s="4">
        <v>-0.2</v>
      </c>
      <c r="J700" s="3">
        <v>8.3333333333333301E-2</v>
      </c>
      <c r="L700" t="s">
        <v>172</v>
      </c>
      <c r="N700" s="3">
        <v>1.4104372355430182E-2</v>
      </c>
      <c r="O700" s="3">
        <v>0</v>
      </c>
      <c r="P700">
        <v>15</v>
      </c>
      <c r="Q700">
        <v>7</v>
      </c>
      <c r="R700" t="s">
        <v>102</v>
      </c>
      <c r="S700">
        <v>0</v>
      </c>
      <c r="T700" s="6">
        <f>10^-(14-Q700)</f>
        <v>9.9999999999999995E-8</v>
      </c>
      <c r="U700" s="6">
        <v>0</v>
      </c>
      <c r="V700" s="6">
        <v>0</v>
      </c>
      <c r="W700" s="6">
        <v>0</v>
      </c>
      <c r="X700" s="6">
        <v>0</v>
      </c>
      <c r="Y700" t="s">
        <v>171</v>
      </c>
      <c r="AD700">
        <f>1/6</f>
        <v>0.16666666666666666</v>
      </c>
      <c r="AE700">
        <v>789</v>
      </c>
      <c r="AF700">
        <v>1</v>
      </c>
      <c r="AG700" s="9">
        <v>1.4999999999999999E-2</v>
      </c>
      <c r="AH700" s="9">
        <v>1.85</v>
      </c>
      <c r="AI700" s="9">
        <v>0.5</v>
      </c>
      <c r="AJ700" s="9">
        <v>3.5999999999999997E-2</v>
      </c>
      <c r="AK700" s="9">
        <v>1.2E-2</v>
      </c>
      <c r="AL700" s="9">
        <v>16.8</v>
      </c>
      <c r="AM700" s="9">
        <v>10.9</v>
      </c>
      <c r="AN700" s="9">
        <v>2.15</v>
      </c>
      <c r="AO700" s="9">
        <v>2.1999999999999999E-2</v>
      </c>
      <c r="AQ700" s="1"/>
    </row>
    <row r="701" spans="1:43" x14ac:dyDescent="0.3">
      <c r="A701" t="s">
        <v>264</v>
      </c>
      <c r="B701" s="1" t="s">
        <v>1734</v>
      </c>
      <c r="C701">
        <v>54</v>
      </c>
      <c r="D701" s="8">
        <v>1.4403999999999999</v>
      </c>
      <c r="E701">
        <v>800</v>
      </c>
      <c r="F701">
        <v>0.19</v>
      </c>
      <c r="G701" t="s">
        <v>193</v>
      </c>
      <c r="H701">
        <v>7</v>
      </c>
      <c r="I701" s="4">
        <v>-0.2</v>
      </c>
      <c r="J701" s="3">
        <v>8.3333333333333301E-2</v>
      </c>
      <c r="L701" t="s">
        <v>172</v>
      </c>
      <c r="N701" s="3">
        <v>1.4104372355430182E-2</v>
      </c>
      <c r="O701" s="3">
        <v>0</v>
      </c>
      <c r="P701">
        <v>20</v>
      </c>
      <c r="Q701">
        <v>7</v>
      </c>
      <c r="R701" t="s">
        <v>102</v>
      </c>
      <c r="S701">
        <v>0</v>
      </c>
      <c r="T701" s="6">
        <f>10^-(14-Q701)</f>
        <v>9.9999999999999995E-8</v>
      </c>
      <c r="U701" s="6">
        <v>0</v>
      </c>
      <c r="V701" s="6">
        <v>0</v>
      </c>
      <c r="W701" s="6">
        <v>0</v>
      </c>
      <c r="X701" s="6">
        <v>0</v>
      </c>
      <c r="Y701" t="s">
        <v>171</v>
      </c>
      <c r="AD701">
        <f>1/6</f>
        <v>0.16666666666666666</v>
      </c>
      <c r="AE701">
        <v>668</v>
      </c>
      <c r="AF701">
        <v>1</v>
      </c>
      <c r="AG701" s="9">
        <v>1.4999999999999999E-2</v>
      </c>
      <c r="AH701" s="9">
        <v>1.85</v>
      </c>
      <c r="AI701" s="9">
        <v>0.5</v>
      </c>
      <c r="AJ701" s="9">
        <v>3.5999999999999997E-2</v>
      </c>
      <c r="AK701" s="9">
        <v>1.2E-2</v>
      </c>
      <c r="AL701" s="9">
        <v>16.8</v>
      </c>
      <c r="AM701" s="9">
        <v>10.9</v>
      </c>
      <c r="AN701" s="9">
        <v>2.15</v>
      </c>
      <c r="AO701" s="9">
        <v>2.1999999999999999E-2</v>
      </c>
      <c r="AQ701" s="1"/>
    </row>
    <row r="702" spans="1:43" x14ac:dyDescent="0.3">
      <c r="A702" t="s">
        <v>265</v>
      </c>
      <c r="B702" s="1" t="s">
        <v>1734</v>
      </c>
      <c r="C702">
        <v>54</v>
      </c>
      <c r="D702" s="8">
        <v>1.4403999999999999</v>
      </c>
      <c r="E702">
        <v>800</v>
      </c>
      <c r="F702">
        <v>0.19</v>
      </c>
      <c r="G702" t="s">
        <v>193</v>
      </c>
      <c r="H702">
        <v>7</v>
      </c>
      <c r="I702" s="4">
        <v>-0.2</v>
      </c>
      <c r="J702" s="3">
        <v>8.3333333333333301E-2</v>
      </c>
      <c r="L702" t="s">
        <v>172</v>
      </c>
      <c r="N702" s="3">
        <v>0.14104372355430184</v>
      </c>
      <c r="O702" s="3">
        <v>0</v>
      </c>
      <c r="P702">
        <v>20</v>
      </c>
      <c r="Q702">
        <v>7</v>
      </c>
      <c r="R702" t="s">
        <v>102</v>
      </c>
      <c r="S702">
        <v>0</v>
      </c>
      <c r="T702" s="6">
        <f>10^-(14-Q702)</f>
        <v>9.9999999999999995E-8</v>
      </c>
      <c r="U702" s="6">
        <v>0</v>
      </c>
      <c r="V702" s="6">
        <v>0</v>
      </c>
      <c r="W702" s="6">
        <v>0</v>
      </c>
      <c r="X702" s="6">
        <v>0</v>
      </c>
      <c r="Y702" t="s">
        <v>171</v>
      </c>
      <c r="AD702">
        <f>1/6</f>
        <v>0.16666666666666666</v>
      </c>
      <c r="AE702">
        <v>504</v>
      </c>
      <c r="AF702">
        <v>1</v>
      </c>
      <c r="AG702" s="9">
        <v>1.4999999999999999E-2</v>
      </c>
      <c r="AH702" s="9">
        <v>1.85</v>
      </c>
      <c r="AI702" s="9">
        <v>0.5</v>
      </c>
      <c r="AJ702" s="9">
        <v>3.5999999999999997E-2</v>
      </c>
      <c r="AK702" s="9">
        <v>1.2E-2</v>
      </c>
      <c r="AL702" s="9">
        <v>16.8</v>
      </c>
      <c r="AM702" s="9">
        <v>10.9</v>
      </c>
      <c r="AN702" s="9">
        <v>2.15</v>
      </c>
      <c r="AO702" s="9">
        <v>2.1999999999999999E-2</v>
      </c>
      <c r="AQ702" s="1"/>
    </row>
    <row r="703" spans="1:43" x14ac:dyDescent="0.3">
      <c r="A703" t="s">
        <v>266</v>
      </c>
      <c r="B703" s="1" t="s">
        <v>1734</v>
      </c>
      <c r="C703">
        <v>54</v>
      </c>
      <c r="D703" s="8">
        <v>1.4403999999999999</v>
      </c>
      <c r="E703">
        <v>800</v>
      </c>
      <c r="F703">
        <v>0.19</v>
      </c>
      <c r="G703" t="s">
        <v>193</v>
      </c>
      <c r="H703">
        <v>7</v>
      </c>
      <c r="I703" s="4">
        <v>-0.2</v>
      </c>
      <c r="J703" s="3">
        <v>8.3333333333333301E-2</v>
      </c>
      <c r="L703" t="s">
        <v>172</v>
      </c>
      <c r="N703" s="3">
        <v>1.4104372355430184</v>
      </c>
      <c r="O703" s="3">
        <v>0</v>
      </c>
      <c r="P703">
        <v>20</v>
      </c>
      <c r="Q703">
        <v>7</v>
      </c>
      <c r="R703" t="s">
        <v>102</v>
      </c>
      <c r="S703">
        <v>0</v>
      </c>
      <c r="T703" s="6">
        <f>10^-(14-Q703)</f>
        <v>9.9999999999999995E-8</v>
      </c>
      <c r="U703" s="6">
        <v>0</v>
      </c>
      <c r="V703" s="6">
        <v>0</v>
      </c>
      <c r="W703" s="6">
        <v>0</v>
      </c>
      <c r="X703" s="6">
        <v>0</v>
      </c>
      <c r="Y703" t="s">
        <v>171</v>
      </c>
      <c r="AD703">
        <f>1/6</f>
        <v>0.16666666666666666</v>
      </c>
      <c r="AE703">
        <v>381</v>
      </c>
      <c r="AF703">
        <v>1</v>
      </c>
      <c r="AG703" s="9">
        <v>1.4999999999999999E-2</v>
      </c>
      <c r="AH703" s="9">
        <v>1.85</v>
      </c>
      <c r="AI703" s="9">
        <v>0.5</v>
      </c>
      <c r="AJ703" s="9">
        <v>3.5999999999999997E-2</v>
      </c>
      <c r="AK703" s="9">
        <v>1.2E-2</v>
      </c>
      <c r="AL703" s="9">
        <v>16.8</v>
      </c>
      <c r="AM703" s="9">
        <v>10.9</v>
      </c>
      <c r="AN703" s="9">
        <v>2.15</v>
      </c>
      <c r="AO703" s="9">
        <v>2.1999999999999999E-2</v>
      </c>
      <c r="AQ703" s="1"/>
    </row>
    <row r="704" spans="1:43" x14ac:dyDescent="0.3">
      <c r="A704" t="s">
        <v>267</v>
      </c>
      <c r="B704" s="1" t="s">
        <v>1734</v>
      </c>
      <c r="C704">
        <v>54</v>
      </c>
      <c r="D704" s="8">
        <v>1.4403999999999999</v>
      </c>
      <c r="E704">
        <v>800</v>
      </c>
      <c r="F704">
        <v>0.19</v>
      </c>
      <c r="G704" t="s">
        <v>193</v>
      </c>
      <c r="H704">
        <v>7</v>
      </c>
      <c r="I704" s="4">
        <v>-0.2</v>
      </c>
      <c r="J704" s="3">
        <v>8.3333333333333301E-2</v>
      </c>
      <c r="L704" t="s">
        <v>172</v>
      </c>
      <c r="N704" s="3">
        <v>1.4104372355430182E-2</v>
      </c>
      <c r="O704" s="3">
        <v>0</v>
      </c>
      <c r="P704">
        <v>40</v>
      </c>
      <c r="Q704">
        <v>7</v>
      </c>
      <c r="R704" t="s">
        <v>102</v>
      </c>
      <c r="S704">
        <v>0</v>
      </c>
      <c r="T704" s="6">
        <f>10^-(14-Q704)</f>
        <v>9.9999999999999995E-8</v>
      </c>
      <c r="U704" s="6">
        <v>0</v>
      </c>
      <c r="V704" s="6">
        <v>0</v>
      </c>
      <c r="W704" s="6">
        <v>0</v>
      </c>
      <c r="X704" s="6">
        <v>0</v>
      </c>
      <c r="Y704" t="s">
        <v>171</v>
      </c>
      <c r="AD704">
        <f>1/6</f>
        <v>0.16666666666666666</v>
      </c>
      <c r="AE704">
        <v>593</v>
      </c>
      <c r="AF704">
        <v>1</v>
      </c>
      <c r="AG704" s="9">
        <v>1.4999999999999999E-2</v>
      </c>
      <c r="AH704" s="9">
        <v>1.85</v>
      </c>
      <c r="AI704" s="9">
        <v>0.5</v>
      </c>
      <c r="AJ704" s="9">
        <v>3.5999999999999997E-2</v>
      </c>
      <c r="AK704" s="9">
        <v>1.2E-2</v>
      </c>
      <c r="AL704" s="9">
        <v>16.8</v>
      </c>
      <c r="AM704" s="9">
        <v>10.9</v>
      </c>
      <c r="AN704" s="9">
        <v>2.15</v>
      </c>
      <c r="AO704" s="9">
        <v>2.1999999999999999E-2</v>
      </c>
      <c r="AQ704" s="1"/>
    </row>
    <row r="705" spans="1:43" x14ac:dyDescent="0.3">
      <c r="A705" t="s">
        <v>268</v>
      </c>
      <c r="B705" s="1" t="s">
        <v>1734</v>
      </c>
      <c r="C705">
        <v>54</v>
      </c>
      <c r="D705" s="8">
        <v>1.4403999999999999</v>
      </c>
      <c r="E705">
        <v>800</v>
      </c>
      <c r="F705">
        <v>0.19</v>
      </c>
      <c r="G705" t="s">
        <v>193</v>
      </c>
      <c r="H705">
        <v>7</v>
      </c>
      <c r="I705" s="4">
        <v>-0.2</v>
      </c>
      <c r="J705" s="3">
        <v>8.3333333333333301E-2</v>
      </c>
      <c r="L705" t="s">
        <v>172</v>
      </c>
      <c r="N705" s="3">
        <v>0.14104372355430184</v>
      </c>
      <c r="O705" s="3">
        <v>0</v>
      </c>
      <c r="P705">
        <v>40</v>
      </c>
      <c r="Q705">
        <v>7</v>
      </c>
      <c r="R705" t="s">
        <v>102</v>
      </c>
      <c r="S705">
        <v>0</v>
      </c>
      <c r="T705" s="6">
        <f>10^-(14-Q705)</f>
        <v>9.9999999999999995E-8</v>
      </c>
      <c r="U705" s="6">
        <v>0</v>
      </c>
      <c r="V705" s="6">
        <v>0</v>
      </c>
      <c r="W705" s="6">
        <v>0</v>
      </c>
      <c r="X705" s="6">
        <v>0</v>
      </c>
      <c r="Y705" t="s">
        <v>171</v>
      </c>
      <c r="AD705">
        <f>1/6</f>
        <v>0.16666666666666666</v>
      </c>
      <c r="AE705">
        <v>318</v>
      </c>
      <c r="AF705">
        <v>1</v>
      </c>
      <c r="AG705" s="9">
        <v>1.4999999999999999E-2</v>
      </c>
      <c r="AH705" s="9">
        <v>1.85</v>
      </c>
      <c r="AI705" s="9">
        <v>0.5</v>
      </c>
      <c r="AJ705" s="9">
        <v>3.5999999999999997E-2</v>
      </c>
      <c r="AK705" s="9">
        <v>1.2E-2</v>
      </c>
      <c r="AL705" s="9">
        <v>16.8</v>
      </c>
      <c r="AM705" s="9">
        <v>10.9</v>
      </c>
      <c r="AN705" s="9">
        <v>2.15</v>
      </c>
      <c r="AO705" s="9">
        <v>2.1999999999999999E-2</v>
      </c>
      <c r="AQ705" s="1"/>
    </row>
    <row r="706" spans="1:43" x14ac:dyDescent="0.3">
      <c r="A706" t="s">
        <v>269</v>
      </c>
      <c r="B706" s="1" t="s">
        <v>1734</v>
      </c>
      <c r="C706">
        <v>54</v>
      </c>
      <c r="D706" s="8">
        <v>1.4403999999999999</v>
      </c>
      <c r="E706">
        <v>800</v>
      </c>
      <c r="F706">
        <v>0.19</v>
      </c>
      <c r="G706" t="s">
        <v>193</v>
      </c>
      <c r="H706">
        <v>7</v>
      </c>
      <c r="I706" s="4">
        <v>-0.2</v>
      </c>
      <c r="J706" s="3">
        <v>8.3333333333333301E-2</v>
      </c>
      <c r="L706" t="s">
        <v>172</v>
      </c>
      <c r="N706" s="3">
        <v>1.4104372355430184</v>
      </c>
      <c r="O706" s="3">
        <v>0</v>
      </c>
      <c r="P706">
        <v>40</v>
      </c>
      <c r="Q706">
        <v>7</v>
      </c>
      <c r="R706" t="s">
        <v>102</v>
      </c>
      <c r="S706">
        <v>0</v>
      </c>
      <c r="T706" s="6">
        <f>10^-(14-Q706)</f>
        <v>9.9999999999999995E-8</v>
      </c>
      <c r="U706" s="6">
        <v>0</v>
      </c>
      <c r="V706" s="6">
        <v>0</v>
      </c>
      <c r="W706" s="6">
        <v>0</v>
      </c>
      <c r="X706" s="6">
        <v>0</v>
      </c>
      <c r="Y706" t="s">
        <v>171</v>
      </c>
      <c r="AD706">
        <f>1/6</f>
        <v>0.16666666666666666</v>
      </c>
      <c r="AE706">
        <v>164</v>
      </c>
      <c r="AF706">
        <v>1</v>
      </c>
      <c r="AG706" s="9">
        <v>1.4999999999999999E-2</v>
      </c>
      <c r="AH706" s="9">
        <v>1.85</v>
      </c>
      <c r="AI706" s="9">
        <v>0.5</v>
      </c>
      <c r="AJ706" s="9">
        <v>3.5999999999999997E-2</v>
      </c>
      <c r="AK706" s="9">
        <v>1.2E-2</v>
      </c>
      <c r="AL706" s="9">
        <v>16.8</v>
      </c>
      <c r="AM706" s="9">
        <v>10.9</v>
      </c>
      <c r="AN706" s="9">
        <v>2.15</v>
      </c>
      <c r="AO706" s="9">
        <v>2.1999999999999999E-2</v>
      </c>
      <c r="AQ706" s="1"/>
    </row>
    <row r="707" spans="1:43" x14ac:dyDescent="0.3">
      <c r="A707" t="s">
        <v>270</v>
      </c>
      <c r="B707" s="1" t="s">
        <v>1734</v>
      </c>
      <c r="C707">
        <v>54</v>
      </c>
      <c r="D707" s="8">
        <v>1.4403999999999999</v>
      </c>
      <c r="E707">
        <v>800</v>
      </c>
      <c r="F707">
        <v>0.19</v>
      </c>
      <c r="G707" t="s">
        <v>193</v>
      </c>
      <c r="H707">
        <v>7</v>
      </c>
      <c r="I707" s="4">
        <v>-0.2</v>
      </c>
      <c r="J707" s="3">
        <v>8.3333333333333301E-2</v>
      </c>
      <c r="L707" t="s">
        <v>172</v>
      </c>
      <c r="N707" s="3">
        <v>1.4104372355430182E-2</v>
      </c>
      <c r="O707" s="3">
        <v>0</v>
      </c>
      <c r="P707">
        <v>60</v>
      </c>
      <c r="Q707">
        <v>7</v>
      </c>
      <c r="R707" t="s">
        <v>102</v>
      </c>
      <c r="S707">
        <v>0</v>
      </c>
      <c r="T707" s="6">
        <f>10^-(14-Q707)</f>
        <v>9.9999999999999995E-8</v>
      </c>
      <c r="U707" s="6">
        <v>0</v>
      </c>
      <c r="V707" s="6">
        <v>0</v>
      </c>
      <c r="W707" s="6">
        <v>0</v>
      </c>
      <c r="X707" s="6">
        <v>0</v>
      </c>
      <c r="Y707" t="s">
        <v>171</v>
      </c>
      <c r="AD707">
        <f>1/6</f>
        <v>0.16666666666666666</v>
      </c>
      <c r="AE707">
        <v>539</v>
      </c>
      <c r="AF707">
        <v>1</v>
      </c>
      <c r="AG707" s="9">
        <v>1.4999999999999999E-2</v>
      </c>
      <c r="AH707" s="9">
        <v>1.85</v>
      </c>
      <c r="AI707" s="9">
        <v>0.5</v>
      </c>
      <c r="AJ707" s="9">
        <v>3.5999999999999997E-2</v>
      </c>
      <c r="AK707" s="9">
        <v>1.2E-2</v>
      </c>
      <c r="AL707" s="9">
        <v>16.8</v>
      </c>
      <c r="AM707" s="9">
        <v>10.9</v>
      </c>
      <c r="AN707" s="9">
        <v>2.15</v>
      </c>
      <c r="AO707" s="9">
        <v>2.1999999999999999E-2</v>
      </c>
      <c r="AQ707" s="1"/>
    </row>
    <row r="708" spans="1:43" x14ac:dyDescent="0.3">
      <c r="A708" t="s">
        <v>271</v>
      </c>
      <c r="B708" s="1" t="s">
        <v>1734</v>
      </c>
      <c r="C708">
        <v>54</v>
      </c>
      <c r="D708" s="8">
        <v>1.4403999999999999</v>
      </c>
      <c r="E708">
        <v>800</v>
      </c>
      <c r="F708">
        <v>0.19</v>
      </c>
      <c r="G708" t="s">
        <v>193</v>
      </c>
      <c r="H708">
        <v>7</v>
      </c>
      <c r="I708" s="4">
        <v>-0.2</v>
      </c>
      <c r="J708" s="3">
        <v>8.3333333333333301E-2</v>
      </c>
      <c r="L708" t="s">
        <v>172</v>
      </c>
      <c r="N708" s="3">
        <v>0.14104372355430184</v>
      </c>
      <c r="O708" s="3">
        <v>0</v>
      </c>
      <c r="P708">
        <v>60</v>
      </c>
      <c r="Q708">
        <v>7</v>
      </c>
      <c r="R708" t="s">
        <v>102</v>
      </c>
      <c r="S708">
        <v>0</v>
      </c>
      <c r="T708" s="6">
        <f>10^-(14-Q708)</f>
        <v>9.9999999999999995E-8</v>
      </c>
      <c r="U708" s="6">
        <v>0</v>
      </c>
      <c r="V708" s="6">
        <v>0</v>
      </c>
      <c r="W708" s="6">
        <v>0</v>
      </c>
      <c r="X708" s="6">
        <v>0</v>
      </c>
      <c r="Y708" t="s">
        <v>171</v>
      </c>
      <c r="AD708">
        <f>1/6</f>
        <v>0.16666666666666666</v>
      </c>
      <c r="AE708">
        <v>246</v>
      </c>
      <c r="AF708">
        <v>1</v>
      </c>
      <c r="AG708" s="9">
        <v>1.4999999999999999E-2</v>
      </c>
      <c r="AH708" s="9">
        <v>1.85</v>
      </c>
      <c r="AI708" s="9">
        <v>0.5</v>
      </c>
      <c r="AJ708" s="9">
        <v>3.5999999999999997E-2</v>
      </c>
      <c r="AK708" s="9">
        <v>1.2E-2</v>
      </c>
      <c r="AL708" s="9">
        <v>16.8</v>
      </c>
      <c r="AM708" s="9">
        <v>10.9</v>
      </c>
      <c r="AN708" s="9">
        <v>2.15</v>
      </c>
      <c r="AO708" s="9">
        <v>2.1999999999999999E-2</v>
      </c>
      <c r="AQ708" s="1"/>
    </row>
    <row r="709" spans="1:43" x14ac:dyDescent="0.3">
      <c r="A709" t="s">
        <v>272</v>
      </c>
      <c r="B709" s="1" t="s">
        <v>1734</v>
      </c>
      <c r="C709">
        <v>54</v>
      </c>
      <c r="D709" s="8">
        <v>1.4403999999999999</v>
      </c>
      <c r="E709">
        <v>800</v>
      </c>
      <c r="F709">
        <v>0.19</v>
      </c>
      <c r="G709" t="s">
        <v>193</v>
      </c>
      <c r="H709">
        <v>7</v>
      </c>
      <c r="I709" s="4">
        <v>-0.2</v>
      </c>
      <c r="J709" s="3">
        <v>8.3333333333333301E-2</v>
      </c>
      <c r="L709" t="s">
        <v>172</v>
      </c>
      <c r="N709" s="3">
        <v>1.4104372355430184</v>
      </c>
      <c r="O709" s="3">
        <v>0</v>
      </c>
      <c r="P709">
        <v>60</v>
      </c>
      <c r="Q709">
        <v>7</v>
      </c>
      <c r="R709" t="s">
        <v>102</v>
      </c>
      <c r="S709">
        <v>0</v>
      </c>
      <c r="T709" s="6">
        <f>10^-(14-Q709)</f>
        <v>9.9999999999999995E-8</v>
      </c>
      <c r="U709" s="6">
        <v>0</v>
      </c>
      <c r="V709" s="6">
        <v>0</v>
      </c>
      <c r="W709" s="6">
        <v>0</v>
      </c>
      <c r="X709" s="6">
        <v>0</v>
      </c>
      <c r="Y709" t="s">
        <v>171</v>
      </c>
      <c r="AD709">
        <f>1/6</f>
        <v>0.16666666666666666</v>
      </c>
      <c r="AE709">
        <v>153</v>
      </c>
      <c r="AF709">
        <v>1</v>
      </c>
      <c r="AG709" s="9">
        <v>1.4999999999999999E-2</v>
      </c>
      <c r="AH709" s="9">
        <v>1.85</v>
      </c>
      <c r="AI709" s="9">
        <v>0.5</v>
      </c>
      <c r="AJ709" s="9">
        <v>3.5999999999999997E-2</v>
      </c>
      <c r="AK709" s="9">
        <v>1.2E-2</v>
      </c>
      <c r="AL709" s="9">
        <v>16.8</v>
      </c>
      <c r="AM709" s="9">
        <v>10.9</v>
      </c>
      <c r="AN709" s="9">
        <v>2.15</v>
      </c>
      <c r="AO709" s="9">
        <v>2.1999999999999999E-2</v>
      </c>
      <c r="AQ709" s="1"/>
    </row>
    <row r="710" spans="1:43" x14ac:dyDescent="0.3">
      <c r="A710" t="s">
        <v>273</v>
      </c>
      <c r="B710" s="1" t="s">
        <v>1734</v>
      </c>
      <c r="C710">
        <v>54</v>
      </c>
      <c r="D710" s="8">
        <v>1.4403999999999999</v>
      </c>
      <c r="E710">
        <v>800</v>
      </c>
      <c r="F710">
        <v>0.19</v>
      </c>
      <c r="G710" t="s">
        <v>193</v>
      </c>
      <c r="H710">
        <v>7</v>
      </c>
      <c r="I710" s="4">
        <v>-0.2</v>
      </c>
      <c r="J710" s="3">
        <v>8.3333333333333301E-2</v>
      </c>
      <c r="L710" t="s">
        <v>172</v>
      </c>
      <c r="N710" s="3">
        <v>1.4104372355430182E-2</v>
      </c>
      <c r="O710" s="3">
        <v>0</v>
      </c>
      <c r="P710">
        <v>80</v>
      </c>
      <c r="Q710">
        <v>7</v>
      </c>
      <c r="R710" t="s">
        <v>102</v>
      </c>
      <c r="S710">
        <v>0</v>
      </c>
      <c r="T710" s="6">
        <f>10^-(14-Q710)</f>
        <v>9.9999999999999995E-8</v>
      </c>
      <c r="U710" s="6">
        <v>0</v>
      </c>
      <c r="V710" s="6">
        <v>0</v>
      </c>
      <c r="W710" s="6">
        <v>0</v>
      </c>
      <c r="X710" s="6">
        <v>0</v>
      </c>
      <c r="Y710" t="s">
        <v>171</v>
      </c>
      <c r="AD710">
        <f>1/6</f>
        <v>0.16666666666666666</v>
      </c>
      <c r="AE710">
        <v>383</v>
      </c>
      <c r="AF710">
        <v>1</v>
      </c>
      <c r="AG710" s="9">
        <v>1.4999999999999999E-2</v>
      </c>
      <c r="AH710" s="9">
        <v>1.85</v>
      </c>
      <c r="AI710" s="9">
        <v>0.5</v>
      </c>
      <c r="AJ710" s="9">
        <v>3.5999999999999997E-2</v>
      </c>
      <c r="AK710" s="9">
        <v>1.2E-2</v>
      </c>
      <c r="AL710" s="9">
        <v>16.8</v>
      </c>
      <c r="AM710" s="9">
        <v>10.9</v>
      </c>
      <c r="AN710" s="9">
        <v>2.15</v>
      </c>
      <c r="AO710" s="9">
        <v>2.1999999999999999E-2</v>
      </c>
      <c r="AQ710" s="1"/>
    </row>
    <row r="711" spans="1:43" x14ac:dyDescent="0.3">
      <c r="A711" t="s">
        <v>274</v>
      </c>
      <c r="B711" s="1" t="s">
        <v>1734</v>
      </c>
      <c r="C711">
        <v>54</v>
      </c>
      <c r="D711" s="8">
        <v>1.4403999999999999</v>
      </c>
      <c r="E711">
        <v>800</v>
      </c>
      <c r="F711">
        <v>0.19</v>
      </c>
      <c r="G711" t="s">
        <v>193</v>
      </c>
      <c r="H711">
        <v>7</v>
      </c>
      <c r="I711" s="4">
        <v>-0.2</v>
      </c>
      <c r="J711" s="3">
        <v>8.3333333333333301E-2</v>
      </c>
      <c r="L711" t="s">
        <v>172</v>
      </c>
      <c r="N711" s="3">
        <v>0.14104372355430184</v>
      </c>
      <c r="O711" s="3">
        <v>0</v>
      </c>
      <c r="P711">
        <v>80</v>
      </c>
      <c r="Q711">
        <v>7</v>
      </c>
      <c r="R711" t="s">
        <v>102</v>
      </c>
      <c r="S711">
        <v>0</v>
      </c>
      <c r="T711" s="6">
        <f>10^-(14-Q711)</f>
        <v>9.9999999999999995E-8</v>
      </c>
      <c r="U711" s="6">
        <v>0</v>
      </c>
      <c r="V711" s="6">
        <v>0</v>
      </c>
      <c r="W711" s="6">
        <v>0</v>
      </c>
      <c r="X711" s="6">
        <v>0</v>
      </c>
      <c r="Y711" t="s">
        <v>171</v>
      </c>
      <c r="AD711">
        <f>1/6</f>
        <v>0.16666666666666666</v>
      </c>
      <c r="AE711">
        <v>148</v>
      </c>
      <c r="AF711">
        <v>1</v>
      </c>
      <c r="AG711" s="9">
        <v>1.4999999999999999E-2</v>
      </c>
      <c r="AH711" s="9">
        <v>1.85</v>
      </c>
      <c r="AI711" s="9">
        <v>0.5</v>
      </c>
      <c r="AJ711" s="9">
        <v>3.5999999999999997E-2</v>
      </c>
      <c r="AK711" s="9">
        <v>1.2E-2</v>
      </c>
      <c r="AL711" s="9">
        <v>16.8</v>
      </c>
      <c r="AM711" s="9">
        <v>10.9</v>
      </c>
      <c r="AN711" s="9">
        <v>2.15</v>
      </c>
      <c r="AO711" s="9">
        <v>2.1999999999999999E-2</v>
      </c>
      <c r="AQ711" s="1"/>
    </row>
    <row r="712" spans="1:43" x14ac:dyDescent="0.3">
      <c r="A712" t="s">
        <v>275</v>
      </c>
      <c r="B712" s="1" t="s">
        <v>1734</v>
      </c>
      <c r="C712">
        <v>54</v>
      </c>
      <c r="D712" s="8">
        <v>1.4403999999999999</v>
      </c>
      <c r="E712">
        <v>800</v>
      </c>
      <c r="F712">
        <v>0.19</v>
      </c>
      <c r="G712" t="s">
        <v>193</v>
      </c>
      <c r="H712">
        <v>7</v>
      </c>
      <c r="I712" s="4">
        <v>-0.2</v>
      </c>
      <c r="J712" s="3">
        <v>8.3333333333333301E-2</v>
      </c>
      <c r="L712" t="s">
        <v>172</v>
      </c>
      <c r="N712" s="3">
        <v>1.4104372355430184</v>
      </c>
      <c r="O712" s="3">
        <v>0</v>
      </c>
      <c r="P712">
        <v>80</v>
      </c>
      <c r="Q712">
        <v>7</v>
      </c>
      <c r="R712" t="s">
        <v>102</v>
      </c>
      <c r="S712">
        <v>0</v>
      </c>
      <c r="T712" s="6">
        <f>10^-(14-Q712)</f>
        <v>9.9999999999999995E-8</v>
      </c>
      <c r="U712" s="6">
        <v>0</v>
      </c>
      <c r="V712" s="6">
        <v>0</v>
      </c>
      <c r="W712" s="6">
        <v>0</v>
      </c>
      <c r="X712" s="6">
        <v>0</v>
      </c>
      <c r="Y712" t="s">
        <v>171</v>
      </c>
      <c r="AD712">
        <f>1/6</f>
        <v>0.16666666666666666</v>
      </c>
      <c r="AE712">
        <v>12</v>
      </c>
      <c r="AF712">
        <v>1</v>
      </c>
      <c r="AG712" s="9">
        <v>1.4999999999999999E-2</v>
      </c>
      <c r="AH712" s="9">
        <v>1.85</v>
      </c>
      <c r="AI712" s="9">
        <v>0.5</v>
      </c>
      <c r="AJ712" s="9">
        <v>3.5999999999999997E-2</v>
      </c>
      <c r="AK712" s="9">
        <v>1.2E-2</v>
      </c>
      <c r="AL712" s="9">
        <v>16.8</v>
      </c>
      <c r="AM712" s="9">
        <v>10.9</v>
      </c>
      <c r="AN712" s="9">
        <v>2.15</v>
      </c>
      <c r="AO712" s="9">
        <v>2.1999999999999999E-2</v>
      </c>
      <c r="AQ712" s="1"/>
    </row>
    <row r="713" spans="1:43" x14ac:dyDescent="0.3">
      <c r="A713" t="s">
        <v>276</v>
      </c>
      <c r="B713" s="1" t="s">
        <v>1734</v>
      </c>
      <c r="C713">
        <v>54</v>
      </c>
      <c r="D713" s="8">
        <v>1.4403999999999999</v>
      </c>
      <c r="E713">
        <v>800</v>
      </c>
      <c r="F713">
        <v>0.19</v>
      </c>
      <c r="G713" t="s">
        <v>193</v>
      </c>
      <c r="H713">
        <v>7</v>
      </c>
      <c r="I713" s="4">
        <v>-0.2</v>
      </c>
      <c r="J713" s="3">
        <v>8.3333333333333301E-2</v>
      </c>
      <c r="L713" t="s">
        <v>172</v>
      </c>
      <c r="N713" s="3">
        <v>1.4104372355430182E-2</v>
      </c>
      <c r="O713" s="3">
        <v>0</v>
      </c>
      <c r="P713">
        <v>95</v>
      </c>
      <c r="Q713">
        <v>7</v>
      </c>
      <c r="R713" t="s">
        <v>102</v>
      </c>
      <c r="S713">
        <v>0</v>
      </c>
      <c r="T713" s="6">
        <f>10^-(14-Q713)</f>
        <v>9.9999999999999995E-8</v>
      </c>
      <c r="U713" s="6">
        <v>0</v>
      </c>
      <c r="V713" s="6">
        <v>0</v>
      </c>
      <c r="W713" s="6">
        <v>0</v>
      </c>
      <c r="X713" s="6">
        <v>0</v>
      </c>
      <c r="Y713" t="s">
        <v>171</v>
      </c>
      <c r="AD713">
        <f>1/6</f>
        <v>0.16666666666666666</v>
      </c>
      <c r="AE713">
        <v>282</v>
      </c>
      <c r="AF713">
        <v>1</v>
      </c>
      <c r="AG713" s="9">
        <v>1.4999999999999999E-2</v>
      </c>
      <c r="AH713" s="9">
        <v>1.85</v>
      </c>
      <c r="AI713" s="9">
        <v>0.5</v>
      </c>
      <c r="AJ713" s="9">
        <v>3.5999999999999997E-2</v>
      </c>
      <c r="AK713" s="9">
        <v>1.2E-2</v>
      </c>
      <c r="AL713" s="9">
        <v>16.8</v>
      </c>
      <c r="AM713" s="9">
        <v>10.9</v>
      </c>
      <c r="AN713" s="9">
        <v>2.15</v>
      </c>
      <c r="AO713" s="9">
        <v>2.1999999999999999E-2</v>
      </c>
      <c r="AQ713" s="1"/>
    </row>
    <row r="714" spans="1:43" x14ac:dyDescent="0.3">
      <c r="A714" t="s">
        <v>277</v>
      </c>
      <c r="B714" s="1" t="s">
        <v>1734</v>
      </c>
      <c r="C714">
        <v>54</v>
      </c>
      <c r="D714" s="8">
        <v>1.4403999999999999</v>
      </c>
      <c r="E714">
        <v>800</v>
      </c>
      <c r="F714">
        <v>0.19</v>
      </c>
      <c r="G714" t="s">
        <v>193</v>
      </c>
      <c r="H714">
        <v>7</v>
      </c>
      <c r="I714" s="4">
        <v>-0.2</v>
      </c>
      <c r="J714" s="3">
        <v>8.3333333333333301E-2</v>
      </c>
      <c r="L714" t="s">
        <v>172</v>
      </c>
      <c r="N714" s="3">
        <v>0.14104372355430184</v>
      </c>
      <c r="O714" s="3">
        <v>0</v>
      </c>
      <c r="P714">
        <v>95</v>
      </c>
      <c r="Q714">
        <v>7</v>
      </c>
      <c r="R714" t="s">
        <v>102</v>
      </c>
      <c r="S714">
        <v>0</v>
      </c>
      <c r="T714" s="6">
        <f>10^-(14-Q714)</f>
        <v>9.9999999999999995E-8</v>
      </c>
      <c r="U714" s="6">
        <v>0</v>
      </c>
      <c r="V714" s="6">
        <v>0</v>
      </c>
      <c r="W714" s="6">
        <v>0</v>
      </c>
      <c r="X714" s="6">
        <v>0</v>
      </c>
      <c r="Y714" t="s">
        <v>171</v>
      </c>
      <c r="AD714">
        <f>1/6</f>
        <v>0.16666666666666666</v>
      </c>
      <c r="AE714">
        <v>148</v>
      </c>
      <c r="AF714">
        <v>1</v>
      </c>
      <c r="AG714" s="9">
        <v>1.4999999999999999E-2</v>
      </c>
      <c r="AH714" s="9">
        <v>1.85</v>
      </c>
      <c r="AI714" s="9">
        <v>0.5</v>
      </c>
      <c r="AJ714" s="9">
        <v>3.5999999999999997E-2</v>
      </c>
      <c r="AK714" s="9">
        <v>1.2E-2</v>
      </c>
      <c r="AL714" s="9">
        <v>16.8</v>
      </c>
      <c r="AM714" s="9">
        <v>10.9</v>
      </c>
      <c r="AN714" s="9">
        <v>2.15</v>
      </c>
      <c r="AO714" s="9">
        <v>2.1999999999999999E-2</v>
      </c>
      <c r="AQ714" s="1"/>
    </row>
    <row r="715" spans="1:43" x14ac:dyDescent="0.3">
      <c r="A715" t="s">
        <v>278</v>
      </c>
      <c r="B715" s="1" t="s">
        <v>1734</v>
      </c>
      <c r="C715">
        <v>54</v>
      </c>
      <c r="D715" s="8">
        <v>1.4403999999999999</v>
      </c>
      <c r="E715">
        <v>100000</v>
      </c>
      <c r="F715">
        <v>0.12</v>
      </c>
      <c r="G715" t="s">
        <v>193</v>
      </c>
      <c r="H715">
        <v>7</v>
      </c>
      <c r="I715" s="4">
        <v>-0.2</v>
      </c>
      <c r="J715" s="3">
        <v>8.3333333333333301E-2</v>
      </c>
      <c r="L715" t="s">
        <v>172</v>
      </c>
      <c r="N715" s="3">
        <v>1.4104372355430184</v>
      </c>
      <c r="O715" s="3">
        <v>0</v>
      </c>
      <c r="P715">
        <v>95</v>
      </c>
      <c r="Q715">
        <v>7</v>
      </c>
      <c r="R715" t="s">
        <v>102</v>
      </c>
      <c r="S715">
        <v>0</v>
      </c>
      <c r="T715" s="6">
        <f>10^-(14-Q715)</f>
        <v>9.9999999999999995E-8</v>
      </c>
      <c r="U715" s="6">
        <v>0</v>
      </c>
      <c r="V715" s="6">
        <v>0</v>
      </c>
      <c r="W715" s="6">
        <v>0</v>
      </c>
      <c r="X715" s="6">
        <v>0</v>
      </c>
      <c r="Y715" t="s">
        <v>171</v>
      </c>
      <c r="AD715">
        <f>1/6</f>
        <v>0.16666666666666666</v>
      </c>
      <c r="AE715">
        <v>-44</v>
      </c>
      <c r="AF715">
        <v>1</v>
      </c>
      <c r="AG715" s="9">
        <v>1.4999999999999999E-2</v>
      </c>
      <c r="AH715" s="9">
        <v>1.85</v>
      </c>
      <c r="AI715" s="9">
        <v>0.5</v>
      </c>
      <c r="AJ715" s="9">
        <v>3.5999999999999997E-2</v>
      </c>
      <c r="AK715" s="9">
        <v>1.2E-2</v>
      </c>
      <c r="AL715" s="9">
        <v>16.8</v>
      </c>
      <c r="AM715" s="9">
        <v>10.9</v>
      </c>
      <c r="AN715" s="9">
        <v>2.15</v>
      </c>
      <c r="AO715" s="9">
        <v>2.1999999999999999E-2</v>
      </c>
      <c r="AQ715" s="1"/>
    </row>
    <row r="716" spans="1:43" x14ac:dyDescent="0.3">
      <c r="A716" t="s">
        <v>279</v>
      </c>
      <c r="B716" s="1" t="s">
        <v>1734</v>
      </c>
      <c r="C716">
        <v>54</v>
      </c>
      <c r="D716" s="8">
        <v>1.4403999999999999</v>
      </c>
      <c r="E716">
        <v>100000</v>
      </c>
      <c r="F716">
        <v>0.12</v>
      </c>
      <c r="G716" t="s">
        <v>193</v>
      </c>
      <c r="H716">
        <v>7</v>
      </c>
      <c r="I716" s="4">
        <v>-0.2</v>
      </c>
      <c r="J716" s="3">
        <v>8.3333333333333301E-2</v>
      </c>
      <c r="L716" t="s">
        <v>172</v>
      </c>
      <c r="N716" s="3">
        <v>1.4104372355430182E-2</v>
      </c>
      <c r="O716" s="3">
        <v>0</v>
      </c>
      <c r="P716">
        <v>10</v>
      </c>
      <c r="Q716">
        <v>7</v>
      </c>
      <c r="R716" t="s">
        <v>102</v>
      </c>
      <c r="S716">
        <v>0</v>
      </c>
      <c r="T716" s="6">
        <f>10^-(14-Q716)</f>
        <v>9.9999999999999995E-8</v>
      </c>
      <c r="U716" s="6">
        <v>0</v>
      </c>
      <c r="V716" s="6">
        <v>0</v>
      </c>
      <c r="W716" s="6">
        <v>0</v>
      </c>
      <c r="X716" s="6">
        <v>0</v>
      </c>
      <c r="Y716" t="s">
        <v>171</v>
      </c>
      <c r="AD716">
        <f>1/6</f>
        <v>0.16666666666666666</v>
      </c>
      <c r="AE716">
        <v>1000</v>
      </c>
      <c r="AF716">
        <v>2</v>
      </c>
      <c r="AG716" s="9">
        <v>1.4999999999999999E-2</v>
      </c>
      <c r="AH716" s="9">
        <v>1.85</v>
      </c>
      <c r="AI716" s="9">
        <v>0.5</v>
      </c>
      <c r="AJ716" s="9">
        <v>3.5999999999999997E-2</v>
      </c>
      <c r="AK716" s="9">
        <v>1.2E-2</v>
      </c>
      <c r="AL716" s="9">
        <v>16.8</v>
      </c>
      <c r="AM716" s="9">
        <v>10.9</v>
      </c>
      <c r="AN716" s="9">
        <v>2.15</v>
      </c>
      <c r="AO716" s="9">
        <v>2.1999999999999999E-2</v>
      </c>
      <c r="AQ716" s="1"/>
    </row>
    <row r="717" spans="1:43" x14ac:dyDescent="0.3">
      <c r="A717" t="s">
        <v>280</v>
      </c>
      <c r="B717" s="1" t="s">
        <v>1734</v>
      </c>
      <c r="C717">
        <v>54</v>
      </c>
      <c r="D717" s="8">
        <v>1.4403999999999999</v>
      </c>
      <c r="E717">
        <v>100000</v>
      </c>
      <c r="F717">
        <v>0.12</v>
      </c>
      <c r="G717" t="s">
        <v>193</v>
      </c>
      <c r="H717">
        <v>7</v>
      </c>
      <c r="I717" s="4">
        <v>-0.2</v>
      </c>
      <c r="J717" s="3">
        <v>8.3333333333333301E-2</v>
      </c>
      <c r="L717" t="s">
        <v>172</v>
      </c>
      <c r="N717" s="3">
        <v>0.14104372355430184</v>
      </c>
      <c r="O717" s="3">
        <v>0</v>
      </c>
      <c r="P717">
        <v>10</v>
      </c>
      <c r="Q717">
        <v>7</v>
      </c>
      <c r="R717" t="s">
        <v>102</v>
      </c>
      <c r="S717">
        <v>0</v>
      </c>
      <c r="T717" s="6">
        <f>10^-(14-Q717)</f>
        <v>9.9999999999999995E-8</v>
      </c>
      <c r="U717" s="6">
        <v>0</v>
      </c>
      <c r="V717" s="6">
        <v>0</v>
      </c>
      <c r="W717" s="6">
        <v>0</v>
      </c>
      <c r="X717" s="6">
        <v>0</v>
      </c>
      <c r="Y717" t="s">
        <v>171</v>
      </c>
      <c r="AD717">
        <f>1/6</f>
        <v>0.16666666666666666</v>
      </c>
      <c r="AE717">
        <v>1000</v>
      </c>
      <c r="AF717">
        <v>2</v>
      </c>
      <c r="AG717" s="9">
        <v>1.4999999999999999E-2</v>
      </c>
      <c r="AH717" s="9">
        <v>1.85</v>
      </c>
      <c r="AI717" s="9">
        <v>0.5</v>
      </c>
      <c r="AJ717" s="9">
        <v>3.5999999999999997E-2</v>
      </c>
      <c r="AK717" s="9">
        <v>1.2E-2</v>
      </c>
      <c r="AL717" s="9">
        <v>16.8</v>
      </c>
      <c r="AM717" s="9">
        <v>10.9</v>
      </c>
      <c r="AN717" s="9">
        <v>2.15</v>
      </c>
      <c r="AO717" s="9">
        <v>2.1999999999999999E-2</v>
      </c>
      <c r="AQ717" s="1"/>
    </row>
    <row r="718" spans="1:43" x14ac:dyDescent="0.3">
      <c r="A718" t="s">
        <v>281</v>
      </c>
      <c r="B718" s="1" t="s">
        <v>1734</v>
      </c>
      <c r="C718">
        <v>54</v>
      </c>
      <c r="D718" s="8">
        <v>1.4403999999999999</v>
      </c>
      <c r="E718">
        <v>100000</v>
      </c>
      <c r="F718">
        <v>0.12</v>
      </c>
      <c r="G718" t="s">
        <v>193</v>
      </c>
      <c r="H718">
        <v>7</v>
      </c>
      <c r="I718" s="4">
        <v>-0.2</v>
      </c>
      <c r="J718" s="3">
        <v>8.3333333333333301E-2</v>
      </c>
      <c r="L718" t="s">
        <v>172</v>
      </c>
      <c r="N718" s="3">
        <v>1.4104372355430184</v>
      </c>
      <c r="O718" s="3">
        <v>0</v>
      </c>
      <c r="P718">
        <v>10</v>
      </c>
      <c r="Q718">
        <v>7</v>
      </c>
      <c r="R718" t="s">
        <v>102</v>
      </c>
      <c r="S718">
        <v>0</v>
      </c>
      <c r="T718" s="6">
        <f>10^-(14-Q718)</f>
        <v>9.9999999999999995E-8</v>
      </c>
      <c r="U718" s="6">
        <v>0</v>
      </c>
      <c r="V718" s="6">
        <v>0</v>
      </c>
      <c r="W718" s="6">
        <v>0</v>
      </c>
      <c r="X718" s="6">
        <v>0</v>
      </c>
      <c r="Y718" t="s">
        <v>171</v>
      </c>
      <c r="AD718">
        <f>1/6</f>
        <v>0.16666666666666666</v>
      </c>
      <c r="AE718">
        <v>1000</v>
      </c>
      <c r="AF718">
        <v>2</v>
      </c>
      <c r="AG718" s="9">
        <v>1.4999999999999999E-2</v>
      </c>
      <c r="AH718" s="9">
        <v>1.85</v>
      </c>
      <c r="AI718" s="9">
        <v>0.5</v>
      </c>
      <c r="AJ718" s="9">
        <v>3.5999999999999997E-2</v>
      </c>
      <c r="AK718" s="9">
        <v>1.2E-2</v>
      </c>
      <c r="AL718" s="9">
        <v>16.8</v>
      </c>
      <c r="AM718" s="9">
        <v>10.9</v>
      </c>
      <c r="AN718" s="9">
        <v>2.15</v>
      </c>
      <c r="AO718" s="9">
        <v>2.1999999999999999E-2</v>
      </c>
      <c r="AQ718" s="1"/>
    </row>
    <row r="719" spans="1:43" x14ac:dyDescent="0.3">
      <c r="A719" t="s">
        <v>282</v>
      </c>
      <c r="B719" s="1" t="s">
        <v>1734</v>
      </c>
      <c r="C719">
        <v>54</v>
      </c>
      <c r="D719" s="8">
        <v>1.4403999999999999</v>
      </c>
      <c r="E719">
        <v>100000</v>
      </c>
      <c r="F719">
        <v>0.12</v>
      </c>
      <c r="G719" t="s">
        <v>193</v>
      </c>
      <c r="H719">
        <v>7</v>
      </c>
      <c r="I719" s="4">
        <v>-0.2</v>
      </c>
      <c r="J719" s="3">
        <v>8.3333333333333301E-2</v>
      </c>
      <c r="L719" t="s">
        <v>172</v>
      </c>
      <c r="N719" s="3">
        <v>1.4104372355430182E-2</v>
      </c>
      <c r="O719" s="3">
        <v>0</v>
      </c>
      <c r="P719">
        <v>20</v>
      </c>
      <c r="Q719">
        <v>7</v>
      </c>
      <c r="R719" t="s">
        <v>102</v>
      </c>
      <c r="S719">
        <v>0</v>
      </c>
      <c r="T719" s="6">
        <f>10^-(14-Q719)</f>
        <v>9.9999999999999995E-8</v>
      </c>
      <c r="U719" s="6">
        <v>0</v>
      </c>
      <c r="V719" s="6">
        <v>0</v>
      </c>
      <c r="W719" s="6">
        <v>0</v>
      </c>
      <c r="X719" s="6">
        <v>0</v>
      </c>
      <c r="Y719" t="s">
        <v>171</v>
      </c>
      <c r="AD719">
        <f>1/6</f>
        <v>0.16666666666666666</v>
      </c>
      <c r="AE719">
        <v>1000</v>
      </c>
      <c r="AF719">
        <v>2</v>
      </c>
      <c r="AG719" s="9">
        <v>1.4999999999999999E-2</v>
      </c>
      <c r="AH719" s="9">
        <v>1.85</v>
      </c>
      <c r="AI719" s="9">
        <v>0.5</v>
      </c>
      <c r="AJ719" s="9">
        <v>3.5999999999999997E-2</v>
      </c>
      <c r="AK719" s="9">
        <v>1.2E-2</v>
      </c>
      <c r="AL719" s="9">
        <v>16.8</v>
      </c>
      <c r="AM719" s="9">
        <v>10.9</v>
      </c>
      <c r="AN719" s="9">
        <v>2.15</v>
      </c>
      <c r="AO719" s="9">
        <v>2.1999999999999999E-2</v>
      </c>
      <c r="AQ719" s="1"/>
    </row>
    <row r="720" spans="1:43" x14ac:dyDescent="0.3">
      <c r="A720" t="s">
        <v>283</v>
      </c>
      <c r="B720" s="1" t="s">
        <v>1734</v>
      </c>
      <c r="C720">
        <v>54</v>
      </c>
      <c r="D720" s="8">
        <v>1.4403999999999999</v>
      </c>
      <c r="E720">
        <v>100000</v>
      </c>
      <c r="F720">
        <v>0.12</v>
      </c>
      <c r="G720" t="s">
        <v>193</v>
      </c>
      <c r="H720">
        <v>7</v>
      </c>
      <c r="I720" s="4">
        <v>-0.2</v>
      </c>
      <c r="J720" s="3">
        <v>8.3333333333333301E-2</v>
      </c>
      <c r="L720" t="s">
        <v>172</v>
      </c>
      <c r="N720" s="3">
        <v>0.14104372355430184</v>
      </c>
      <c r="O720" s="3">
        <v>0</v>
      </c>
      <c r="P720">
        <v>20</v>
      </c>
      <c r="Q720">
        <v>7</v>
      </c>
      <c r="R720" t="s">
        <v>102</v>
      </c>
      <c r="S720">
        <v>0</v>
      </c>
      <c r="T720" s="6">
        <f>10^-(14-Q720)</f>
        <v>9.9999999999999995E-8</v>
      </c>
      <c r="U720" s="6">
        <v>0</v>
      </c>
      <c r="V720" s="6">
        <v>0</v>
      </c>
      <c r="W720" s="6">
        <v>0</v>
      </c>
      <c r="X720" s="6">
        <v>0</v>
      </c>
      <c r="Y720" t="s">
        <v>171</v>
      </c>
      <c r="AD720">
        <f>1/6</f>
        <v>0.16666666666666666</v>
      </c>
      <c r="AE720">
        <v>1000</v>
      </c>
      <c r="AF720">
        <v>2</v>
      </c>
      <c r="AG720" s="9">
        <v>1.4999999999999999E-2</v>
      </c>
      <c r="AH720" s="9">
        <v>1.85</v>
      </c>
      <c r="AI720" s="9">
        <v>0.5</v>
      </c>
      <c r="AJ720" s="9">
        <v>3.5999999999999997E-2</v>
      </c>
      <c r="AK720" s="9">
        <v>1.2E-2</v>
      </c>
      <c r="AL720" s="9">
        <v>16.8</v>
      </c>
      <c r="AM720" s="9">
        <v>10.9</v>
      </c>
      <c r="AN720" s="9">
        <v>2.15</v>
      </c>
      <c r="AO720" s="9">
        <v>2.1999999999999999E-2</v>
      </c>
      <c r="AQ720" s="1"/>
    </row>
    <row r="721" spans="1:43" x14ac:dyDescent="0.3">
      <c r="A721" t="s">
        <v>284</v>
      </c>
      <c r="B721" s="1" t="s">
        <v>1734</v>
      </c>
      <c r="C721">
        <v>54</v>
      </c>
      <c r="D721" s="8">
        <v>1.4403999999999999</v>
      </c>
      <c r="E721">
        <v>100000</v>
      </c>
      <c r="F721">
        <v>0.12</v>
      </c>
      <c r="G721" t="s">
        <v>193</v>
      </c>
      <c r="H721">
        <v>7</v>
      </c>
      <c r="I721" s="4">
        <v>-0.2</v>
      </c>
      <c r="J721" s="3">
        <v>8.3333333333333301E-2</v>
      </c>
      <c r="L721" t="s">
        <v>172</v>
      </c>
      <c r="N721" s="3">
        <v>1.4104372355430184</v>
      </c>
      <c r="O721" s="3">
        <v>0</v>
      </c>
      <c r="P721">
        <v>20</v>
      </c>
      <c r="Q721">
        <v>7</v>
      </c>
      <c r="R721" t="s">
        <v>102</v>
      </c>
      <c r="S721">
        <v>0</v>
      </c>
      <c r="T721" s="6">
        <f>10^-(14-Q721)</f>
        <v>9.9999999999999995E-8</v>
      </c>
      <c r="U721" s="6">
        <v>0</v>
      </c>
      <c r="V721" s="6">
        <v>0</v>
      </c>
      <c r="W721" s="6">
        <v>0</v>
      </c>
      <c r="X721" s="6">
        <v>0</v>
      </c>
      <c r="Y721" t="s">
        <v>171</v>
      </c>
      <c r="AD721">
        <f>1/6</f>
        <v>0.16666666666666666</v>
      </c>
      <c r="AE721">
        <v>1000</v>
      </c>
      <c r="AF721">
        <v>2</v>
      </c>
      <c r="AG721" s="9">
        <v>1.4999999999999999E-2</v>
      </c>
      <c r="AH721" s="9">
        <v>1.85</v>
      </c>
      <c r="AI721" s="9">
        <v>0.5</v>
      </c>
      <c r="AJ721" s="9">
        <v>3.5999999999999997E-2</v>
      </c>
      <c r="AK721" s="9">
        <v>1.2E-2</v>
      </c>
      <c r="AL721" s="9">
        <v>16.8</v>
      </c>
      <c r="AM721" s="9">
        <v>10.9</v>
      </c>
      <c r="AN721" s="9">
        <v>2.15</v>
      </c>
      <c r="AO721" s="9">
        <v>2.1999999999999999E-2</v>
      </c>
      <c r="AQ721" s="1"/>
    </row>
    <row r="722" spans="1:43" x14ac:dyDescent="0.3">
      <c r="A722" t="s">
        <v>285</v>
      </c>
      <c r="B722" s="1" t="s">
        <v>1734</v>
      </c>
      <c r="C722">
        <v>54</v>
      </c>
      <c r="D722" s="8">
        <v>1.4403999999999999</v>
      </c>
      <c r="E722">
        <v>100000</v>
      </c>
      <c r="F722">
        <v>0.12</v>
      </c>
      <c r="G722" t="s">
        <v>193</v>
      </c>
      <c r="H722">
        <v>7</v>
      </c>
      <c r="I722" s="4">
        <v>-0.2</v>
      </c>
      <c r="J722" s="3">
        <v>8.3333333333333301E-2</v>
      </c>
      <c r="L722" t="s">
        <v>172</v>
      </c>
      <c r="N722" s="3">
        <v>1.4104372355430182E-2</v>
      </c>
      <c r="O722" s="3">
        <v>0</v>
      </c>
      <c r="P722">
        <v>40</v>
      </c>
      <c r="Q722">
        <v>7</v>
      </c>
      <c r="R722" t="s">
        <v>102</v>
      </c>
      <c r="S722">
        <v>0</v>
      </c>
      <c r="T722" s="6">
        <f>10^-(14-Q722)</f>
        <v>9.9999999999999995E-8</v>
      </c>
      <c r="U722" s="6">
        <v>0</v>
      </c>
      <c r="V722" s="6">
        <v>0</v>
      </c>
      <c r="W722" s="6">
        <v>0</v>
      </c>
      <c r="X722" s="6">
        <v>0</v>
      </c>
      <c r="Y722" t="s">
        <v>171</v>
      </c>
      <c r="AD722">
        <f>1/6</f>
        <v>0.16666666666666666</v>
      </c>
      <c r="AE722">
        <v>1000</v>
      </c>
      <c r="AF722">
        <v>2</v>
      </c>
      <c r="AG722" s="9">
        <v>1.4999999999999999E-2</v>
      </c>
      <c r="AH722" s="9">
        <v>1.85</v>
      </c>
      <c r="AI722" s="9">
        <v>0.5</v>
      </c>
      <c r="AJ722" s="9">
        <v>3.5999999999999997E-2</v>
      </c>
      <c r="AK722" s="9">
        <v>1.2E-2</v>
      </c>
      <c r="AL722" s="9">
        <v>16.8</v>
      </c>
      <c r="AM722" s="9">
        <v>10.9</v>
      </c>
      <c r="AN722" s="9">
        <v>2.15</v>
      </c>
      <c r="AO722" s="9">
        <v>2.1999999999999999E-2</v>
      </c>
      <c r="AQ722" s="1"/>
    </row>
    <row r="723" spans="1:43" x14ac:dyDescent="0.3">
      <c r="A723" t="s">
        <v>286</v>
      </c>
      <c r="B723" s="1" t="s">
        <v>1734</v>
      </c>
      <c r="C723">
        <v>54</v>
      </c>
      <c r="D723" s="8">
        <v>1.4403999999999999</v>
      </c>
      <c r="E723">
        <v>100000</v>
      </c>
      <c r="F723">
        <v>0.12</v>
      </c>
      <c r="G723" t="s">
        <v>193</v>
      </c>
      <c r="H723">
        <v>7</v>
      </c>
      <c r="I723" s="4">
        <v>-0.2</v>
      </c>
      <c r="J723" s="3">
        <v>8.3333333333333301E-2</v>
      </c>
      <c r="L723" t="s">
        <v>172</v>
      </c>
      <c r="N723" s="3">
        <v>0.14104372355430184</v>
      </c>
      <c r="O723" s="3">
        <v>0</v>
      </c>
      <c r="P723">
        <v>40</v>
      </c>
      <c r="Q723">
        <v>7</v>
      </c>
      <c r="R723" t="s">
        <v>102</v>
      </c>
      <c r="S723">
        <v>0</v>
      </c>
      <c r="T723" s="6">
        <f>10^-(14-Q723)</f>
        <v>9.9999999999999995E-8</v>
      </c>
      <c r="U723" s="6">
        <v>0</v>
      </c>
      <c r="V723" s="6">
        <v>0</v>
      </c>
      <c r="W723" s="6">
        <v>0</v>
      </c>
      <c r="X723" s="6">
        <v>0</v>
      </c>
      <c r="Y723" t="s">
        <v>171</v>
      </c>
      <c r="AD723">
        <f>1/6</f>
        <v>0.16666666666666666</v>
      </c>
      <c r="AE723">
        <v>1000</v>
      </c>
      <c r="AF723">
        <v>2</v>
      </c>
      <c r="AG723" s="9">
        <v>1.4999999999999999E-2</v>
      </c>
      <c r="AH723" s="9">
        <v>1.85</v>
      </c>
      <c r="AI723" s="9">
        <v>0.5</v>
      </c>
      <c r="AJ723" s="9">
        <v>3.5999999999999997E-2</v>
      </c>
      <c r="AK723" s="9">
        <v>1.2E-2</v>
      </c>
      <c r="AL723" s="9">
        <v>16.8</v>
      </c>
      <c r="AM723" s="9">
        <v>10.9</v>
      </c>
      <c r="AN723" s="9">
        <v>2.15</v>
      </c>
      <c r="AO723" s="9">
        <v>2.1999999999999999E-2</v>
      </c>
      <c r="AQ723" s="1"/>
    </row>
    <row r="724" spans="1:43" x14ac:dyDescent="0.3">
      <c r="A724" t="s">
        <v>287</v>
      </c>
      <c r="B724" s="1" t="s">
        <v>1734</v>
      </c>
      <c r="C724">
        <v>54</v>
      </c>
      <c r="D724" s="8">
        <v>1.4403999999999999</v>
      </c>
      <c r="E724">
        <v>100000</v>
      </c>
      <c r="F724">
        <v>0.12</v>
      </c>
      <c r="G724" t="s">
        <v>193</v>
      </c>
      <c r="H724">
        <v>7</v>
      </c>
      <c r="I724" s="4">
        <v>-0.2</v>
      </c>
      <c r="J724" s="3">
        <v>8.3333333333333301E-2</v>
      </c>
      <c r="L724" t="s">
        <v>172</v>
      </c>
      <c r="N724" s="3">
        <v>1.4104372355430184</v>
      </c>
      <c r="O724" s="3">
        <v>0</v>
      </c>
      <c r="P724">
        <v>40</v>
      </c>
      <c r="Q724">
        <v>7</v>
      </c>
      <c r="R724" t="s">
        <v>102</v>
      </c>
      <c r="S724">
        <v>0</v>
      </c>
      <c r="T724" s="6">
        <f>10^-(14-Q724)</f>
        <v>9.9999999999999995E-8</v>
      </c>
      <c r="U724" s="6">
        <v>0</v>
      </c>
      <c r="V724" s="6">
        <v>0</v>
      </c>
      <c r="W724" s="6">
        <v>0</v>
      </c>
      <c r="X724" s="6">
        <v>0</v>
      </c>
      <c r="Y724" t="s">
        <v>171</v>
      </c>
      <c r="AD724">
        <f>1/6</f>
        <v>0.16666666666666666</v>
      </c>
      <c r="AE724">
        <v>1000</v>
      </c>
      <c r="AF724">
        <v>2</v>
      </c>
      <c r="AG724" s="9">
        <v>1.4999999999999999E-2</v>
      </c>
      <c r="AH724" s="9">
        <v>1.85</v>
      </c>
      <c r="AI724" s="9">
        <v>0.5</v>
      </c>
      <c r="AJ724" s="9">
        <v>3.5999999999999997E-2</v>
      </c>
      <c r="AK724" s="9">
        <v>1.2E-2</v>
      </c>
      <c r="AL724" s="9">
        <v>16.8</v>
      </c>
      <c r="AM724" s="9">
        <v>10.9</v>
      </c>
      <c r="AN724" s="9">
        <v>2.15</v>
      </c>
      <c r="AO724" s="9">
        <v>2.1999999999999999E-2</v>
      </c>
      <c r="AQ724" s="1"/>
    </row>
    <row r="725" spans="1:43" x14ac:dyDescent="0.3">
      <c r="A725" t="s">
        <v>288</v>
      </c>
      <c r="B725" s="1" t="s">
        <v>1734</v>
      </c>
      <c r="C725">
        <v>54</v>
      </c>
      <c r="D725" s="8">
        <v>1.4403999999999999</v>
      </c>
      <c r="E725">
        <v>100000</v>
      </c>
      <c r="F725">
        <v>0.12</v>
      </c>
      <c r="G725" t="s">
        <v>193</v>
      </c>
      <c r="H725">
        <v>7</v>
      </c>
      <c r="I725" s="4">
        <v>-0.2</v>
      </c>
      <c r="J725" s="3">
        <v>8.3333333333333301E-2</v>
      </c>
      <c r="L725" t="s">
        <v>172</v>
      </c>
      <c r="N725" s="3">
        <v>0.14104372355430184</v>
      </c>
      <c r="O725" s="3">
        <v>0</v>
      </c>
      <c r="P725">
        <v>50</v>
      </c>
      <c r="Q725">
        <v>7</v>
      </c>
      <c r="R725" t="s">
        <v>102</v>
      </c>
      <c r="S725">
        <v>0</v>
      </c>
      <c r="T725" s="6">
        <f>10^-(14-Q725)</f>
        <v>9.9999999999999995E-8</v>
      </c>
      <c r="U725" s="6">
        <v>0</v>
      </c>
      <c r="V725" s="6">
        <v>0</v>
      </c>
      <c r="W725" s="6">
        <v>0</v>
      </c>
      <c r="X725" s="6">
        <v>0</v>
      </c>
      <c r="Y725" t="s">
        <v>171</v>
      </c>
      <c r="AD725">
        <f>1/6</f>
        <v>0.16666666666666666</v>
      </c>
      <c r="AE725">
        <v>666</v>
      </c>
      <c r="AF725">
        <v>1</v>
      </c>
      <c r="AG725" s="9">
        <v>1.4999999999999999E-2</v>
      </c>
      <c r="AH725" s="9">
        <v>1.85</v>
      </c>
      <c r="AI725" s="9">
        <v>0.5</v>
      </c>
      <c r="AJ725" s="9">
        <v>3.5999999999999997E-2</v>
      </c>
      <c r="AK725" s="9">
        <v>1.2E-2</v>
      </c>
      <c r="AL725" s="9">
        <v>16.8</v>
      </c>
      <c r="AM725" s="9">
        <v>10.9</v>
      </c>
      <c r="AN725" s="9">
        <v>2.15</v>
      </c>
      <c r="AO725" s="9">
        <v>2.1999999999999999E-2</v>
      </c>
      <c r="AQ725" s="1"/>
    </row>
    <row r="726" spans="1:43" x14ac:dyDescent="0.3">
      <c r="A726" t="s">
        <v>289</v>
      </c>
      <c r="B726" s="1" t="s">
        <v>1734</v>
      </c>
      <c r="C726">
        <v>54</v>
      </c>
      <c r="D726" s="8">
        <v>1.4403999999999999</v>
      </c>
      <c r="E726">
        <v>100000</v>
      </c>
      <c r="F726">
        <v>0.12</v>
      </c>
      <c r="G726" t="s">
        <v>193</v>
      </c>
      <c r="H726">
        <v>7</v>
      </c>
      <c r="I726" s="4">
        <v>-0.2</v>
      </c>
      <c r="J726" s="3">
        <v>8.3333333333333301E-2</v>
      </c>
      <c r="L726" t="s">
        <v>172</v>
      </c>
      <c r="N726" s="3">
        <v>0.14104372355430184</v>
      </c>
      <c r="O726" s="3">
        <v>0</v>
      </c>
      <c r="P726">
        <v>50</v>
      </c>
      <c r="Q726">
        <v>7</v>
      </c>
      <c r="R726" t="s">
        <v>102</v>
      </c>
      <c r="S726">
        <v>0</v>
      </c>
      <c r="T726" s="6">
        <f>10^-(14-Q726)</f>
        <v>9.9999999999999995E-8</v>
      </c>
      <c r="U726" s="6">
        <v>0</v>
      </c>
      <c r="V726" s="6">
        <v>0</v>
      </c>
      <c r="W726" s="6">
        <v>0</v>
      </c>
      <c r="X726" s="6">
        <v>0</v>
      </c>
      <c r="Y726" t="s">
        <v>171</v>
      </c>
      <c r="AD726">
        <f>1/6</f>
        <v>0.16666666666666666</v>
      </c>
      <c r="AE726">
        <v>545</v>
      </c>
      <c r="AF726">
        <v>1</v>
      </c>
      <c r="AG726" s="9">
        <v>1.4999999999999999E-2</v>
      </c>
      <c r="AH726" s="9">
        <v>1.85</v>
      </c>
      <c r="AI726" s="9">
        <v>0.5</v>
      </c>
      <c r="AJ726" s="9">
        <v>3.5999999999999997E-2</v>
      </c>
      <c r="AK726" s="9">
        <v>1.2E-2</v>
      </c>
      <c r="AL726" s="9">
        <v>16.8</v>
      </c>
      <c r="AM726" s="9">
        <v>10.9</v>
      </c>
      <c r="AN726" s="9">
        <v>2.15</v>
      </c>
      <c r="AO726" s="9">
        <v>2.1999999999999999E-2</v>
      </c>
      <c r="AQ726" s="1"/>
    </row>
    <row r="727" spans="1:43" x14ac:dyDescent="0.3">
      <c r="A727" t="s">
        <v>290</v>
      </c>
      <c r="B727" s="1" t="s">
        <v>1734</v>
      </c>
      <c r="C727">
        <v>54</v>
      </c>
      <c r="D727" s="8">
        <v>1.4403999999999999</v>
      </c>
      <c r="E727">
        <v>100000</v>
      </c>
      <c r="F727">
        <v>0.12</v>
      </c>
      <c r="G727" t="s">
        <v>193</v>
      </c>
      <c r="H727">
        <v>7</v>
      </c>
      <c r="I727" s="4">
        <v>-0.2</v>
      </c>
      <c r="J727" s="3">
        <v>8.3333333333333301E-2</v>
      </c>
      <c r="L727" t="s">
        <v>172</v>
      </c>
      <c r="N727" s="3">
        <v>1.4104372355430184</v>
      </c>
      <c r="O727" s="3">
        <v>0</v>
      </c>
      <c r="P727">
        <v>50</v>
      </c>
      <c r="Q727">
        <v>7</v>
      </c>
      <c r="R727" t="s">
        <v>102</v>
      </c>
      <c r="S727">
        <v>0</v>
      </c>
      <c r="T727" s="6">
        <f>10^-(14-Q727)</f>
        <v>9.9999999999999995E-8</v>
      </c>
      <c r="U727" s="6">
        <v>0</v>
      </c>
      <c r="V727" s="6">
        <v>0</v>
      </c>
      <c r="W727" s="6">
        <v>0</v>
      </c>
      <c r="X727" s="6">
        <v>0</v>
      </c>
      <c r="Y727" t="s">
        <v>171</v>
      </c>
      <c r="AD727">
        <f>1/6</f>
        <v>0.16666666666666666</v>
      </c>
      <c r="AE727">
        <v>896</v>
      </c>
      <c r="AF727">
        <v>1</v>
      </c>
      <c r="AG727" s="9">
        <v>1.4999999999999999E-2</v>
      </c>
      <c r="AH727" s="9">
        <v>1.85</v>
      </c>
      <c r="AI727" s="9">
        <v>0.5</v>
      </c>
      <c r="AJ727" s="9">
        <v>3.5999999999999997E-2</v>
      </c>
      <c r="AK727" s="9">
        <v>1.2E-2</v>
      </c>
      <c r="AL727" s="9">
        <v>16.8</v>
      </c>
      <c r="AM727" s="9">
        <v>10.9</v>
      </c>
      <c r="AN727" s="9">
        <v>2.15</v>
      </c>
      <c r="AO727" s="9">
        <v>2.1999999999999999E-2</v>
      </c>
      <c r="AQ727" s="1"/>
    </row>
    <row r="728" spans="1:43" x14ac:dyDescent="0.3">
      <c r="A728" t="s">
        <v>291</v>
      </c>
      <c r="B728" s="1" t="s">
        <v>1734</v>
      </c>
      <c r="C728">
        <v>54</v>
      </c>
      <c r="D728" s="8">
        <v>1.4403999999999999</v>
      </c>
      <c r="E728">
        <v>100000</v>
      </c>
      <c r="F728">
        <v>0.12</v>
      </c>
      <c r="G728" t="s">
        <v>193</v>
      </c>
      <c r="H728">
        <v>7</v>
      </c>
      <c r="I728" s="4">
        <v>-0.2</v>
      </c>
      <c r="J728" s="3">
        <v>8.3333333333333301E-2</v>
      </c>
      <c r="L728" t="s">
        <v>172</v>
      </c>
      <c r="N728" s="3">
        <v>1.4104372355430182E-2</v>
      </c>
      <c r="O728" s="3">
        <v>0</v>
      </c>
      <c r="P728">
        <v>60</v>
      </c>
      <c r="Q728">
        <v>7</v>
      </c>
      <c r="R728" t="s">
        <v>102</v>
      </c>
      <c r="S728">
        <v>0</v>
      </c>
      <c r="T728" s="6">
        <f>10^-(14-Q728)</f>
        <v>9.9999999999999995E-8</v>
      </c>
      <c r="U728" s="6">
        <v>0</v>
      </c>
      <c r="V728" s="6">
        <v>0</v>
      </c>
      <c r="W728" s="6">
        <v>0</v>
      </c>
      <c r="X728" s="6">
        <v>0</v>
      </c>
      <c r="Y728" t="s">
        <v>171</v>
      </c>
      <c r="AD728">
        <f>1/6</f>
        <v>0.16666666666666666</v>
      </c>
      <c r="AE728">
        <v>1000</v>
      </c>
      <c r="AF728">
        <v>2</v>
      </c>
      <c r="AG728" s="9">
        <v>1.4999999999999999E-2</v>
      </c>
      <c r="AH728" s="9">
        <v>1.85</v>
      </c>
      <c r="AI728" s="9">
        <v>0.5</v>
      </c>
      <c r="AJ728" s="9">
        <v>3.5999999999999997E-2</v>
      </c>
      <c r="AK728" s="9">
        <v>1.2E-2</v>
      </c>
      <c r="AL728" s="9">
        <v>16.8</v>
      </c>
      <c r="AM728" s="9">
        <v>10.9</v>
      </c>
      <c r="AN728" s="9">
        <v>2.15</v>
      </c>
      <c r="AO728" s="9">
        <v>2.1999999999999999E-2</v>
      </c>
      <c r="AQ728" s="1"/>
    </row>
    <row r="729" spans="1:43" x14ac:dyDescent="0.3">
      <c r="A729" t="s">
        <v>292</v>
      </c>
      <c r="B729" s="1" t="s">
        <v>1734</v>
      </c>
      <c r="C729">
        <v>54</v>
      </c>
      <c r="D729" s="8">
        <v>1.4403999999999999</v>
      </c>
      <c r="E729">
        <v>100000</v>
      </c>
      <c r="F729">
        <v>0.12</v>
      </c>
      <c r="G729" t="s">
        <v>193</v>
      </c>
      <c r="H729">
        <v>7</v>
      </c>
      <c r="I729" s="4">
        <v>-0.2</v>
      </c>
      <c r="J729" s="3">
        <v>8.3333333333333301E-2</v>
      </c>
      <c r="L729" t="s">
        <v>172</v>
      </c>
      <c r="N729" s="3">
        <v>0.14104372355430184</v>
      </c>
      <c r="O729" s="3">
        <v>0</v>
      </c>
      <c r="P729">
        <v>60</v>
      </c>
      <c r="Q729">
        <v>7</v>
      </c>
      <c r="R729" t="s">
        <v>102</v>
      </c>
      <c r="S729">
        <v>0</v>
      </c>
      <c r="T729" s="6">
        <f>10^-(14-Q729)</f>
        <v>9.9999999999999995E-8</v>
      </c>
      <c r="U729" s="6">
        <v>0</v>
      </c>
      <c r="V729" s="6">
        <v>0</v>
      </c>
      <c r="W729" s="6">
        <v>0</v>
      </c>
      <c r="X729" s="6">
        <v>0</v>
      </c>
      <c r="Y729" t="s">
        <v>171</v>
      </c>
      <c r="AD729">
        <f>1/6</f>
        <v>0.16666666666666666</v>
      </c>
      <c r="AE729">
        <v>944</v>
      </c>
      <c r="AF729">
        <v>1</v>
      </c>
      <c r="AG729" s="9">
        <v>1.4999999999999999E-2</v>
      </c>
      <c r="AH729" s="9">
        <v>1.85</v>
      </c>
      <c r="AI729" s="9">
        <v>0.5</v>
      </c>
      <c r="AJ729" s="9">
        <v>3.5999999999999997E-2</v>
      </c>
      <c r="AK729" s="9">
        <v>1.2E-2</v>
      </c>
      <c r="AL729" s="9">
        <v>16.8</v>
      </c>
      <c r="AM729" s="9">
        <v>10.9</v>
      </c>
      <c r="AN729" s="9">
        <v>2.15</v>
      </c>
      <c r="AO729" s="9">
        <v>2.1999999999999999E-2</v>
      </c>
      <c r="AQ729" s="1"/>
    </row>
    <row r="730" spans="1:43" x14ac:dyDescent="0.3">
      <c r="A730" t="s">
        <v>293</v>
      </c>
      <c r="B730" s="1" t="s">
        <v>1734</v>
      </c>
      <c r="C730">
        <v>54</v>
      </c>
      <c r="D730" s="8">
        <v>1.4403999999999999</v>
      </c>
      <c r="E730">
        <v>100000</v>
      </c>
      <c r="F730">
        <v>0.12</v>
      </c>
      <c r="G730" t="s">
        <v>193</v>
      </c>
      <c r="H730">
        <v>7</v>
      </c>
      <c r="I730" s="4">
        <v>-0.2</v>
      </c>
      <c r="J730" s="3">
        <v>8.3333333333333301E-2</v>
      </c>
      <c r="L730" t="s">
        <v>172</v>
      </c>
      <c r="N730" s="3">
        <v>1.4104372355430184</v>
      </c>
      <c r="O730" s="3">
        <v>0</v>
      </c>
      <c r="P730">
        <v>60</v>
      </c>
      <c r="Q730">
        <v>7</v>
      </c>
      <c r="R730" t="s">
        <v>102</v>
      </c>
      <c r="S730">
        <v>0</v>
      </c>
      <c r="T730" s="6">
        <f>10^-(14-Q730)</f>
        <v>9.9999999999999995E-8</v>
      </c>
      <c r="U730" s="6">
        <v>0</v>
      </c>
      <c r="V730" s="6">
        <v>0</v>
      </c>
      <c r="W730" s="6">
        <v>0</v>
      </c>
      <c r="X730" s="6">
        <v>0</v>
      </c>
      <c r="Y730" t="s">
        <v>171</v>
      </c>
      <c r="AD730">
        <f>1/6</f>
        <v>0.16666666666666666</v>
      </c>
      <c r="AE730">
        <v>509</v>
      </c>
      <c r="AF730">
        <v>1</v>
      </c>
      <c r="AG730" s="9">
        <v>1.4999999999999999E-2</v>
      </c>
      <c r="AH730" s="9">
        <v>1.85</v>
      </c>
      <c r="AI730" s="9">
        <v>0.5</v>
      </c>
      <c r="AJ730" s="9">
        <v>3.5999999999999997E-2</v>
      </c>
      <c r="AK730" s="9">
        <v>1.2E-2</v>
      </c>
      <c r="AL730" s="9">
        <v>16.8</v>
      </c>
      <c r="AM730" s="9">
        <v>10.9</v>
      </c>
      <c r="AN730" s="9">
        <v>2.15</v>
      </c>
      <c r="AO730" s="9">
        <v>2.1999999999999999E-2</v>
      </c>
      <c r="AQ730" s="1"/>
    </row>
    <row r="731" spans="1:43" x14ac:dyDescent="0.3">
      <c r="A731" t="s">
        <v>294</v>
      </c>
      <c r="B731" s="1" t="s">
        <v>1734</v>
      </c>
      <c r="C731">
        <v>54</v>
      </c>
      <c r="D731" s="8">
        <v>1.4403999999999999</v>
      </c>
      <c r="E731">
        <v>100000</v>
      </c>
      <c r="F731">
        <v>0.12</v>
      </c>
      <c r="G731" t="s">
        <v>193</v>
      </c>
      <c r="H731">
        <v>7</v>
      </c>
      <c r="I731" s="4">
        <v>-0.2</v>
      </c>
      <c r="J731" s="3">
        <v>8.3333333333333301E-2</v>
      </c>
      <c r="L731" t="s">
        <v>172</v>
      </c>
      <c r="N731" s="3">
        <v>1.4104372355430182E-2</v>
      </c>
      <c r="O731" s="3">
        <v>0</v>
      </c>
      <c r="P731">
        <v>70</v>
      </c>
      <c r="Q731">
        <v>7</v>
      </c>
      <c r="R731" t="s">
        <v>102</v>
      </c>
      <c r="S731">
        <v>0</v>
      </c>
      <c r="T731" s="6">
        <f>10^-(14-Q731)</f>
        <v>9.9999999999999995E-8</v>
      </c>
      <c r="U731" s="6">
        <v>0</v>
      </c>
      <c r="V731" s="6">
        <v>0</v>
      </c>
      <c r="W731" s="6">
        <v>0</v>
      </c>
      <c r="X731" s="6">
        <v>0</v>
      </c>
      <c r="Y731" t="s">
        <v>171</v>
      </c>
      <c r="AD731">
        <f>1/6</f>
        <v>0.16666666666666666</v>
      </c>
      <c r="AE731">
        <v>729</v>
      </c>
      <c r="AF731">
        <v>1</v>
      </c>
      <c r="AG731" s="9">
        <v>1.4999999999999999E-2</v>
      </c>
      <c r="AH731" s="9">
        <v>1.85</v>
      </c>
      <c r="AI731" s="9">
        <v>0.5</v>
      </c>
      <c r="AJ731" s="9">
        <v>3.5999999999999997E-2</v>
      </c>
      <c r="AK731" s="9">
        <v>1.2E-2</v>
      </c>
      <c r="AL731" s="9">
        <v>16.8</v>
      </c>
      <c r="AM731" s="9">
        <v>10.9</v>
      </c>
      <c r="AN731" s="9">
        <v>2.15</v>
      </c>
      <c r="AO731" s="9">
        <v>2.1999999999999999E-2</v>
      </c>
      <c r="AQ731" s="1"/>
    </row>
    <row r="732" spans="1:43" x14ac:dyDescent="0.3">
      <c r="A732" t="s">
        <v>295</v>
      </c>
      <c r="B732" s="1" t="s">
        <v>1734</v>
      </c>
      <c r="C732">
        <v>54</v>
      </c>
      <c r="D732" s="8">
        <v>1.4403999999999999</v>
      </c>
      <c r="E732">
        <v>100000</v>
      </c>
      <c r="F732">
        <v>0.12</v>
      </c>
      <c r="G732" t="s">
        <v>193</v>
      </c>
      <c r="H732">
        <v>7</v>
      </c>
      <c r="I732" s="4">
        <v>-0.2</v>
      </c>
      <c r="J732" s="3">
        <v>8.3333333333333301E-2</v>
      </c>
      <c r="L732" t="s">
        <v>172</v>
      </c>
      <c r="N732" s="3">
        <v>1.4104372355430182E-2</v>
      </c>
      <c r="O732" s="3">
        <v>0</v>
      </c>
      <c r="P732">
        <v>80</v>
      </c>
      <c r="Q732">
        <v>7</v>
      </c>
      <c r="R732" t="s">
        <v>102</v>
      </c>
      <c r="S732">
        <v>0</v>
      </c>
      <c r="T732" s="6">
        <f>10^-(14-Q732)</f>
        <v>9.9999999999999995E-8</v>
      </c>
      <c r="U732" s="6">
        <v>0</v>
      </c>
      <c r="V732" s="6">
        <v>0</v>
      </c>
      <c r="W732" s="6">
        <v>0</v>
      </c>
      <c r="X732" s="6">
        <v>0</v>
      </c>
      <c r="Y732" t="s">
        <v>171</v>
      </c>
      <c r="AD732">
        <f>1/6</f>
        <v>0.16666666666666666</v>
      </c>
      <c r="AE732">
        <v>525</v>
      </c>
      <c r="AF732">
        <v>1</v>
      </c>
      <c r="AG732" s="9">
        <v>1.4999999999999999E-2</v>
      </c>
      <c r="AH732" s="9">
        <v>1.85</v>
      </c>
      <c r="AI732" s="9">
        <v>0.5</v>
      </c>
      <c r="AJ732" s="9">
        <v>3.5999999999999997E-2</v>
      </c>
      <c r="AK732" s="9">
        <v>1.2E-2</v>
      </c>
      <c r="AL732" s="9">
        <v>16.8</v>
      </c>
      <c r="AM732" s="9">
        <v>10.9</v>
      </c>
      <c r="AN732" s="9">
        <v>2.15</v>
      </c>
      <c r="AO732" s="9">
        <v>2.1999999999999999E-2</v>
      </c>
      <c r="AQ732" s="1"/>
    </row>
    <row r="733" spans="1:43" x14ac:dyDescent="0.3">
      <c r="A733" t="s">
        <v>1601</v>
      </c>
      <c r="B733" s="1" t="s">
        <v>1734</v>
      </c>
      <c r="C733">
        <v>54</v>
      </c>
      <c r="D733" s="8">
        <v>1.4403999999999999</v>
      </c>
      <c r="E733">
        <v>100000</v>
      </c>
      <c r="F733">
        <v>0.12</v>
      </c>
      <c r="G733" t="s">
        <v>193</v>
      </c>
      <c r="H733">
        <v>7</v>
      </c>
      <c r="I733" s="4">
        <v>-0.2</v>
      </c>
      <c r="J733" s="3">
        <v>8.3333333333333301E-2</v>
      </c>
      <c r="L733" t="s">
        <v>172</v>
      </c>
      <c r="N733" s="3">
        <v>0.14104372355430184</v>
      </c>
      <c r="O733" s="3">
        <v>0</v>
      </c>
      <c r="P733">
        <v>80</v>
      </c>
      <c r="Q733">
        <v>7</v>
      </c>
      <c r="R733" t="s">
        <v>102</v>
      </c>
      <c r="S733">
        <v>0</v>
      </c>
      <c r="T733" s="6">
        <f>10^-(14-Q733)</f>
        <v>9.9999999999999995E-8</v>
      </c>
      <c r="U733" s="6">
        <v>0</v>
      </c>
      <c r="V733" s="6">
        <v>0</v>
      </c>
      <c r="W733" s="6">
        <v>0</v>
      </c>
      <c r="X733" s="6">
        <v>0</v>
      </c>
      <c r="Y733" t="s">
        <v>171</v>
      </c>
      <c r="AD733">
        <f>1/6</f>
        <v>0.16666666666666666</v>
      </c>
      <c r="AE733">
        <v>345</v>
      </c>
      <c r="AF733">
        <v>1</v>
      </c>
      <c r="AG733" s="9">
        <v>1.4999999999999999E-2</v>
      </c>
      <c r="AH733" s="9">
        <v>1.85</v>
      </c>
      <c r="AI733" s="9">
        <v>0.5</v>
      </c>
      <c r="AJ733" s="9">
        <v>3.5999999999999997E-2</v>
      </c>
      <c r="AK733" s="9">
        <v>1.2E-2</v>
      </c>
      <c r="AL733" s="9">
        <v>16.8</v>
      </c>
      <c r="AM733" s="9">
        <v>10.9</v>
      </c>
      <c r="AN733" s="9">
        <v>2.15</v>
      </c>
      <c r="AO733" s="9">
        <v>2.1999999999999999E-2</v>
      </c>
      <c r="AQ733" s="1"/>
    </row>
    <row r="734" spans="1:43" x14ac:dyDescent="0.3">
      <c r="A734" t="s">
        <v>1602</v>
      </c>
      <c r="B734" s="1" t="s">
        <v>1734</v>
      </c>
      <c r="C734">
        <v>54</v>
      </c>
      <c r="D734" s="8">
        <v>1.4403999999999999</v>
      </c>
      <c r="E734">
        <v>100000</v>
      </c>
      <c r="F734">
        <v>0.12</v>
      </c>
      <c r="G734" t="s">
        <v>193</v>
      </c>
      <c r="H734">
        <v>7</v>
      </c>
      <c r="I734" s="4">
        <v>-0.2</v>
      </c>
      <c r="J734" s="3">
        <v>8.3333333333333301E-2</v>
      </c>
      <c r="L734" t="s">
        <v>172</v>
      </c>
      <c r="N734" s="3">
        <v>0.14104372355430184</v>
      </c>
      <c r="O734" s="3">
        <v>0</v>
      </c>
      <c r="P734">
        <v>80</v>
      </c>
      <c r="Q734">
        <v>7</v>
      </c>
      <c r="R734" t="s">
        <v>102</v>
      </c>
      <c r="S734">
        <v>0</v>
      </c>
      <c r="T734" s="6">
        <f>10^-(14-Q734)</f>
        <v>9.9999999999999995E-8</v>
      </c>
      <c r="U734" s="6">
        <v>0</v>
      </c>
      <c r="V734" s="6">
        <v>0</v>
      </c>
      <c r="W734" s="6">
        <v>0</v>
      </c>
      <c r="X734" s="6">
        <v>0</v>
      </c>
      <c r="Y734" t="s">
        <v>171</v>
      </c>
      <c r="AD734">
        <f>1/6</f>
        <v>0.16666666666666666</v>
      </c>
      <c r="AE734">
        <v>928</v>
      </c>
      <c r="AF734">
        <v>1</v>
      </c>
      <c r="AG734" s="9">
        <v>1.4999999999999999E-2</v>
      </c>
      <c r="AH734" s="9">
        <v>1.85</v>
      </c>
      <c r="AI734" s="9">
        <v>0.5</v>
      </c>
      <c r="AJ734" s="9">
        <v>3.5999999999999997E-2</v>
      </c>
      <c r="AK734" s="9">
        <v>1.2E-2</v>
      </c>
      <c r="AL734" s="9">
        <v>16.8</v>
      </c>
      <c r="AM734" s="9">
        <v>10.9</v>
      </c>
      <c r="AN734" s="9">
        <v>2.15</v>
      </c>
      <c r="AO734" s="9">
        <v>2.1999999999999999E-2</v>
      </c>
      <c r="AQ734" s="1"/>
    </row>
    <row r="735" spans="1:43" x14ac:dyDescent="0.3">
      <c r="A735" t="s">
        <v>1603</v>
      </c>
      <c r="B735" s="1" t="s">
        <v>1734</v>
      </c>
      <c r="C735">
        <v>54</v>
      </c>
      <c r="D735" s="8">
        <v>1.4403999999999999</v>
      </c>
      <c r="E735">
        <v>100000</v>
      </c>
      <c r="F735">
        <v>0.12</v>
      </c>
      <c r="G735" t="s">
        <v>193</v>
      </c>
      <c r="H735">
        <v>7</v>
      </c>
      <c r="I735" s="4">
        <v>-0.2</v>
      </c>
      <c r="J735" s="3">
        <v>8.3333333333333301E-2</v>
      </c>
      <c r="L735" t="s">
        <v>172</v>
      </c>
      <c r="N735" s="3">
        <v>1.4104372355430184</v>
      </c>
      <c r="O735" s="3">
        <v>0</v>
      </c>
      <c r="P735">
        <v>80</v>
      </c>
      <c r="Q735">
        <v>7</v>
      </c>
      <c r="R735" t="s">
        <v>102</v>
      </c>
      <c r="S735">
        <v>0</v>
      </c>
      <c r="T735" s="6">
        <f>10^-(14-Q735)</f>
        <v>9.9999999999999995E-8</v>
      </c>
      <c r="U735" s="6">
        <v>0</v>
      </c>
      <c r="V735" s="6">
        <v>0</v>
      </c>
      <c r="W735" s="6">
        <v>0</v>
      </c>
      <c r="X735" s="6">
        <v>0</v>
      </c>
      <c r="Y735" t="s">
        <v>171</v>
      </c>
      <c r="AD735">
        <f>1/6</f>
        <v>0.16666666666666666</v>
      </c>
      <c r="AE735">
        <v>260</v>
      </c>
      <c r="AF735">
        <v>1</v>
      </c>
      <c r="AG735" s="9">
        <v>1.4999999999999999E-2</v>
      </c>
      <c r="AH735" s="9">
        <v>1.85</v>
      </c>
      <c r="AI735" s="9">
        <v>0.5</v>
      </c>
      <c r="AJ735" s="9">
        <v>3.5999999999999997E-2</v>
      </c>
      <c r="AK735" s="9">
        <v>1.2E-2</v>
      </c>
      <c r="AL735" s="9">
        <v>16.8</v>
      </c>
      <c r="AM735" s="9">
        <v>10.9</v>
      </c>
      <c r="AN735" s="9">
        <v>2.15</v>
      </c>
      <c r="AO735" s="9">
        <v>2.1999999999999999E-2</v>
      </c>
      <c r="AQ735" s="1"/>
    </row>
    <row r="736" spans="1:43" x14ac:dyDescent="0.3">
      <c r="A736" t="s">
        <v>1604</v>
      </c>
      <c r="B736" s="1" t="s">
        <v>1734</v>
      </c>
      <c r="C736">
        <v>54</v>
      </c>
      <c r="D736" s="8">
        <v>1.4403999999999999</v>
      </c>
      <c r="E736">
        <v>100000</v>
      </c>
      <c r="F736">
        <v>0.12</v>
      </c>
      <c r="G736" t="s">
        <v>193</v>
      </c>
      <c r="H736">
        <v>7</v>
      </c>
      <c r="I736" s="4">
        <v>-0.2</v>
      </c>
      <c r="J736" s="3">
        <v>8.3333333333333301E-2</v>
      </c>
      <c r="L736" t="s">
        <v>172</v>
      </c>
      <c r="N736" s="3">
        <v>1.4104372355430182E-2</v>
      </c>
      <c r="O736" s="3">
        <v>0</v>
      </c>
      <c r="P736">
        <v>95</v>
      </c>
      <c r="Q736">
        <v>7</v>
      </c>
      <c r="R736" t="s">
        <v>102</v>
      </c>
      <c r="S736">
        <v>0</v>
      </c>
      <c r="T736" s="6">
        <f>10^-(14-Q736)</f>
        <v>9.9999999999999995E-8</v>
      </c>
      <c r="U736" s="6">
        <v>0</v>
      </c>
      <c r="V736" s="6">
        <v>0</v>
      </c>
      <c r="W736" s="6">
        <v>0</v>
      </c>
      <c r="X736" s="6">
        <v>0</v>
      </c>
      <c r="Y736" t="s">
        <v>171</v>
      </c>
      <c r="AD736">
        <f>1/6</f>
        <v>0.16666666666666666</v>
      </c>
      <c r="AE736">
        <v>885</v>
      </c>
      <c r="AF736">
        <v>1</v>
      </c>
      <c r="AG736" s="9">
        <v>1.4999999999999999E-2</v>
      </c>
      <c r="AH736" s="9">
        <v>1.85</v>
      </c>
      <c r="AI736" s="9">
        <v>0.5</v>
      </c>
      <c r="AJ736" s="9">
        <v>3.5999999999999997E-2</v>
      </c>
      <c r="AK736" s="9">
        <v>1.2E-2</v>
      </c>
      <c r="AL736" s="9">
        <v>16.8</v>
      </c>
      <c r="AM736" s="9">
        <v>10.9</v>
      </c>
      <c r="AN736" s="9">
        <v>2.15</v>
      </c>
      <c r="AO736" s="9">
        <v>2.1999999999999999E-2</v>
      </c>
      <c r="AQ736" s="1"/>
    </row>
    <row r="737" spans="1:43" x14ac:dyDescent="0.3">
      <c r="A737" t="s">
        <v>1605</v>
      </c>
      <c r="B737" s="1" t="s">
        <v>1734</v>
      </c>
      <c r="C737">
        <v>54</v>
      </c>
      <c r="D737" s="8">
        <v>1.4403999999999999</v>
      </c>
      <c r="E737">
        <v>100000</v>
      </c>
      <c r="F737">
        <v>0.12</v>
      </c>
      <c r="G737" t="s">
        <v>193</v>
      </c>
      <c r="H737">
        <v>7</v>
      </c>
      <c r="I737" s="4">
        <v>-0.2</v>
      </c>
      <c r="J737" s="3">
        <v>8.3333333333333301E-2</v>
      </c>
      <c r="L737" t="s">
        <v>172</v>
      </c>
      <c r="N737" s="3">
        <v>0.14104372355430184</v>
      </c>
      <c r="O737" s="3">
        <v>0</v>
      </c>
      <c r="P737">
        <v>95</v>
      </c>
      <c r="Q737">
        <v>7</v>
      </c>
      <c r="R737" t="s">
        <v>102</v>
      </c>
      <c r="S737">
        <v>0</v>
      </c>
      <c r="T737" s="6">
        <f>10^-(14-Q737)</f>
        <v>9.9999999999999995E-8</v>
      </c>
      <c r="U737" s="6">
        <v>0</v>
      </c>
      <c r="V737" s="6">
        <v>0</v>
      </c>
      <c r="W737" s="6">
        <v>0</v>
      </c>
      <c r="X737" s="6">
        <v>0</v>
      </c>
      <c r="Y737" t="s">
        <v>171</v>
      </c>
      <c r="AD737">
        <f>1/6</f>
        <v>0.16666666666666666</v>
      </c>
      <c r="AE737">
        <v>406</v>
      </c>
      <c r="AF737">
        <v>1</v>
      </c>
      <c r="AG737" s="9">
        <v>1.4999999999999999E-2</v>
      </c>
      <c r="AH737" s="9">
        <v>1.85</v>
      </c>
      <c r="AI737" s="9">
        <v>0.5</v>
      </c>
      <c r="AJ737" s="9">
        <v>3.5999999999999997E-2</v>
      </c>
      <c r="AK737" s="9">
        <v>1.2E-2</v>
      </c>
      <c r="AL737" s="9">
        <v>16.8</v>
      </c>
      <c r="AM737" s="9">
        <v>10.9</v>
      </c>
      <c r="AN737" s="9">
        <v>2.15</v>
      </c>
      <c r="AO737" s="9">
        <v>2.1999999999999999E-2</v>
      </c>
      <c r="AQ737" s="1"/>
    </row>
    <row r="738" spans="1:43" x14ac:dyDescent="0.3">
      <c r="A738" t="s">
        <v>1606</v>
      </c>
      <c r="B738" s="1" t="s">
        <v>1734</v>
      </c>
      <c r="C738">
        <v>54</v>
      </c>
      <c r="D738" s="8">
        <v>1.4403999999999999</v>
      </c>
      <c r="E738">
        <v>100000</v>
      </c>
      <c r="F738">
        <v>0.12</v>
      </c>
      <c r="G738" t="s">
        <v>193</v>
      </c>
      <c r="H738">
        <v>7</v>
      </c>
      <c r="I738" s="4">
        <v>-0.2</v>
      </c>
      <c r="J738" s="3">
        <v>8.3333333333333301E-2</v>
      </c>
      <c r="L738" t="s">
        <v>172</v>
      </c>
      <c r="N738" s="3">
        <v>1.4104372355430184</v>
      </c>
      <c r="O738" s="3">
        <v>0</v>
      </c>
      <c r="P738">
        <v>95</v>
      </c>
      <c r="Q738">
        <v>7</v>
      </c>
      <c r="R738" t="s">
        <v>102</v>
      </c>
      <c r="S738">
        <v>0</v>
      </c>
      <c r="T738" s="6">
        <f>10^-(14-Q738)</f>
        <v>9.9999999999999995E-8</v>
      </c>
      <c r="U738" s="6">
        <v>0</v>
      </c>
      <c r="V738" s="6">
        <v>0</v>
      </c>
      <c r="W738" s="6">
        <v>0</v>
      </c>
      <c r="X738" s="6">
        <v>0</v>
      </c>
      <c r="Y738" t="s">
        <v>171</v>
      </c>
      <c r="AD738">
        <f>1/6</f>
        <v>0.16666666666666666</v>
      </c>
      <c r="AE738">
        <v>133</v>
      </c>
      <c r="AF738">
        <v>1</v>
      </c>
      <c r="AG738" s="9">
        <v>1.4999999999999999E-2</v>
      </c>
      <c r="AH738" s="9">
        <v>1.85</v>
      </c>
      <c r="AI738" s="9">
        <v>0.5</v>
      </c>
      <c r="AJ738" s="9">
        <v>3.5999999999999997E-2</v>
      </c>
      <c r="AK738" s="9">
        <v>1.2E-2</v>
      </c>
      <c r="AL738" s="9">
        <v>16.8</v>
      </c>
      <c r="AM738" s="9">
        <v>10.9</v>
      </c>
      <c r="AN738" s="9">
        <v>2.15</v>
      </c>
      <c r="AO738" s="9">
        <v>2.1999999999999999E-2</v>
      </c>
      <c r="AQ738" s="1"/>
    </row>
    <row r="739" spans="1:43" x14ac:dyDescent="0.3">
      <c r="A739" t="s">
        <v>195</v>
      </c>
      <c r="B739" s="1" t="s">
        <v>1734</v>
      </c>
      <c r="C739">
        <v>54</v>
      </c>
      <c r="D739" s="8">
        <v>1.4403999999999999</v>
      </c>
      <c r="E739">
        <v>220</v>
      </c>
      <c r="F739">
        <v>0.48</v>
      </c>
      <c r="G739" t="s">
        <v>193</v>
      </c>
      <c r="H739">
        <v>7</v>
      </c>
      <c r="I739" s="4">
        <v>-0.2</v>
      </c>
      <c r="J739" s="3">
        <v>8.3333333333333329E-2</v>
      </c>
      <c r="L739" t="s">
        <v>172</v>
      </c>
      <c r="N739" s="3">
        <v>1.4104372355430181</v>
      </c>
      <c r="O739" s="3">
        <v>0</v>
      </c>
      <c r="P739">
        <v>5</v>
      </c>
      <c r="Q739">
        <v>7</v>
      </c>
      <c r="R739" t="s">
        <v>102</v>
      </c>
      <c r="S739">
        <v>0</v>
      </c>
      <c r="T739" s="6">
        <f>10^-(14-Q739)</f>
        <v>9.9999999999999995E-8</v>
      </c>
      <c r="U739" s="6">
        <v>0</v>
      </c>
      <c r="V739" s="6">
        <v>0</v>
      </c>
      <c r="W739" s="6">
        <v>0</v>
      </c>
      <c r="X739" s="6">
        <v>0</v>
      </c>
      <c r="Y739" t="s">
        <v>171</v>
      </c>
      <c r="AD739">
        <f>1/6</f>
        <v>0.16666666666666666</v>
      </c>
      <c r="AE739">
        <v>923</v>
      </c>
      <c r="AF739">
        <v>1</v>
      </c>
      <c r="AG739" s="9">
        <v>2.4E-2</v>
      </c>
      <c r="AH739" s="9">
        <v>1.4</v>
      </c>
      <c r="AI739" s="9">
        <v>0.38</v>
      </c>
      <c r="AJ739" s="9">
        <v>0.04</v>
      </c>
      <c r="AK739" s="9">
        <v>5.0000000000000001E-3</v>
      </c>
      <c r="AL739" s="9">
        <v>17.2</v>
      </c>
      <c r="AM739" s="9">
        <v>10.7</v>
      </c>
      <c r="AN739" s="9">
        <v>2.13</v>
      </c>
      <c r="AO739" s="9">
        <v>3.5000000000000003E-2</v>
      </c>
      <c r="AQ739" s="1"/>
    </row>
    <row r="740" spans="1:43" x14ac:dyDescent="0.3">
      <c r="A740" t="s">
        <v>196</v>
      </c>
      <c r="B740" s="1" t="s">
        <v>1734</v>
      </c>
      <c r="C740">
        <v>54</v>
      </c>
      <c r="D740" s="8">
        <v>1.4403999999999999</v>
      </c>
      <c r="E740">
        <v>220</v>
      </c>
      <c r="F740">
        <v>0.48</v>
      </c>
      <c r="G740" t="s">
        <v>193</v>
      </c>
      <c r="H740">
        <v>7</v>
      </c>
      <c r="I740" s="4">
        <v>-0.2</v>
      </c>
      <c r="J740" s="3">
        <v>8.3333333333333329E-2</v>
      </c>
      <c r="L740" t="s">
        <v>172</v>
      </c>
      <c r="N740" s="3">
        <v>1.4104372355430181</v>
      </c>
      <c r="O740" s="3">
        <v>0</v>
      </c>
      <c r="P740">
        <v>7.5</v>
      </c>
      <c r="Q740">
        <v>7</v>
      </c>
      <c r="R740" t="s">
        <v>102</v>
      </c>
      <c r="S740">
        <v>0</v>
      </c>
      <c r="T740" s="6">
        <f>10^-(14-Q740)</f>
        <v>9.9999999999999995E-8</v>
      </c>
      <c r="U740" s="6">
        <v>0</v>
      </c>
      <c r="V740" s="6">
        <v>0</v>
      </c>
      <c r="W740" s="6">
        <v>0</v>
      </c>
      <c r="X740" s="6">
        <v>0</v>
      </c>
      <c r="Y740" t="s">
        <v>171</v>
      </c>
      <c r="AD740">
        <f>1/6</f>
        <v>0.16666666666666666</v>
      </c>
      <c r="AE740">
        <v>1000</v>
      </c>
      <c r="AF740">
        <v>2</v>
      </c>
      <c r="AG740" s="9">
        <v>2.4E-2</v>
      </c>
      <c r="AH740" s="9">
        <v>1.4</v>
      </c>
      <c r="AI740" s="9">
        <v>0.38</v>
      </c>
      <c r="AJ740" s="9">
        <v>0.04</v>
      </c>
      <c r="AK740" s="9">
        <v>5.0000000000000001E-3</v>
      </c>
      <c r="AL740" s="9">
        <v>17.2</v>
      </c>
      <c r="AM740" s="9">
        <v>10.7</v>
      </c>
      <c r="AN740" s="9">
        <v>2.13</v>
      </c>
      <c r="AO740" s="9">
        <v>3.5000000000000003E-2</v>
      </c>
      <c r="AQ740" s="1"/>
    </row>
    <row r="741" spans="1:43" x14ac:dyDescent="0.3">
      <c r="A741" t="s">
        <v>197</v>
      </c>
      <c r="B741" s="1" t="s">
        <v>1734</v>
      </c>
      <c r="C741">
        <v>54</v>
      </c>
      <c r="D741" s="8">
        <v>1.4403999999999999</v>
      </c>
      <c r="E741">
        <v>220</v>
      </c>
      <c r="F741">
        <v>0.48</v>
      </c>
      <c r="G741" t="s">
        <v>193</v>
      </c>
      <c r="H741">
        <v>7</v>
      </c>
      <c r="I741" s="4">
        <v>-0.2</v>
      </c>
      <c r="J741" s="3">
        <v>8.3333333333333329E-2</v>
      </c>
      <c r="L741" t="s">
        <v>172</v>
      </c>
      <c r="N741" s="3">
        <v>1.4104372355430182E-2</v>
      </c>
      <c r="O741" s="3">
        <v>0</v>
      </c>
      <c r="P741">
        <v>10</v>
      </c>
      <c r="Q741">
        <v>7</v>
      </c>
      <c r="R741" t="s">
        <v>102</v>
      </c>
      <c r="S741">
        <v>0</v>
      </c>
      <c r="T741" s="6">
        <f>10^-(14-Q741)</f>
        <v>9.9999999999999995E-8</v>
      </c>
      <c r="U741" s="6">
        <v>0</v>
      </c>
      <c r="V741" s="6">
        <v>0</v>
      </c>
      <c r="W741" s="6">
        <v>0</v>
      </c>
      <c r="X741" s="6">
        <v>0</v>
      </c>
      <c r="Y741" t="s">
        <v>171</v>
      </c>
      <c r="AD741">
        <f>1/6</f>
        <v>0.16666666666666666</v>
      </c>
      <c r="AE741">
        <v>1000</v>
      </c>
      <c r="AF741">
        <v>2</v>
      </c>
      <c r="AG741" s="9">
        <v>2.4E-2</v>
      </c>
      <c r="AH741" s="9">
        <v>1.4</v>
      </c>
      <c r="AI741" s="9">
        <v>0.38</v>
      </c>
      <c r="AJ741" s="9">
        <v>0.04</v>
      </c>
      <c r="AK741" s="9">
        <v>5.0000000000000001E-3</v>
      </c>
      <c r="AL741" s="9">
        <v>17.2</v>
      </c>
      <c r="AM741" s="9">
        <v>10.7</v>
      </c>
      <c r="AN741" s="9">
        <v>2.13</v>
      </c>
      <c r="AO741" s="9">
        <v>3.5000000000000003E-2</v>
      </c>
      <c r="AQ741" s="1"/>
    </row>
    <row r="742" spans="1:43" x14ac:dyDescent="0.3">
      <c r="A742" t="s">
        <v>198</v>
      </c>
      <c r="B742" s="1" t="s">
        <v>1734</v>
      </c>
      <c r="C742">
        <v>54</v>
      </c>
      <c r="D742" s="8">
        <v>1.4403999999999999</v>
      </c>
      <c r="E742">
        <v>220</v>
      </c>
      <c r="F742">
        <v>0.48</v>
      </c>
      <c r="G742" t="s">
        <v>193</v>
      </c>
      <c r="H742">
        <v>7</v>
      </c>
      <c r="I742" s="4">
        <v>-0.2</v>
      </c>
      <c r="J742" s="3">
        <v>8.3333333333333329E-2</v>
      </c>
      <c r="L742" t="s">
        <v>172</v>
      </c>
      <c r="N742" s="3">
        <v>2.8208744710860365E-2</v>
      </c>
      <c r="O742" s="3">
        <v>0</v>
      </c>
      <c r="P742">
        <v>10</v>
      </c>
      <c r="Q742">
        <v>7</v>
      </c>
      <c r="R742" t="s">
        <v>102</v>
      </c>
      <c r="S742">
        <v>0</v>
      </c>
      <c r="T742" s="6">
        <f>10^-(14-Q742)</f>
        <v>9.9999999999999995E-8</v>
      </c>
      <c r="U742" s="6">
        <v>0</v>
      </c>
      <c r="V742" s="6">
        <v>0</v>
      </c>
      <c r="W742" s="6">
        <v>0</v>
      </c>
      <c r="X742" s="6">
        <v>0</v>
      </c>
      <c r="Y742" t="s">
        <v>171</v>
      </c>
      <c r="AD742">
        <f>1/6</f>
        <v>0.16666666666666666</v>
      </c>
      <c r="AE742">
        <v>1000</v>
      </c>
      <c r="AF742">
        <v>2</v>
      </c>
      <c r="AG742" s="9">
        <v>2.4E-2</v>
      </c>
      <c r="AH742" s="9">
        <v>1.4</v>
      </c>
      <c r="AI742" s="9">
        <v>0.38</v>
      </c>
      <c r="AJ742" s="9">
        <v>0.04</v>
      </c>
      <c r="AK742" s="9">
        <v>5.0000000000000001E-3</v>
      </c>
      <c r="AL742" s="9">
        <v>17.2</v>
      </c>
      <c r="AM742" s="9">
        <v>10.7</v>
      </c>
      <c r="AN742" s="9">
        <v>2.13</v>
      </c>
      <c r="AO742" s="9">
        <v>3.5000000000000003E-2</v>
      </c>
      <c r="AQ742" s="1"/>
    </row>
    <row r="743" spans="1:43" x14ac:dyDescent="0.3">
      <c r="A743" t="s">
        <v>199</v>
      </c>
      <c r="B743" s="1" t="s">
        <v>1734</v>
      </c>
      <c r="C743">
        <v>54</v>
      </c>
      <c r="D743" s="8">
        <v>1.4403999999999999</v>
      </c>
      <c r="E743">
        <v>220</v>
      </c>
      <c r="F743">
        <v>0.48</v>
      </c>
      <c r="G743" t="s">
        <v>193</v>
      </c>
      <c r="H743">
        <v>7</v>
      </c>
      <c r="I743" s="4">
        <v>-0.2</v>
      </c>
      <c r="J743" s="3">
        <v>8.3333333333333329E-2</v>
      </c>
      <c r="L743" t="s">
        <v>172</v>
      </c>
      <c r="N743" s="3">
        <v>5.6417489421720729E-2</v>
      </c>
      <c r="O743" s="3">
        <v>0</v>
      </c>
      <c r="P743">
        <v>10</v>
      </c>
      <c r="Q743">
        <v>7</v>
      </c>
      <c r="R743" t="s">
        <v>102</v>
      </c>
      <c r="S743">
        <v>0</v>
      </c>
      <c r="T743" s="6">
        <f>10^-(14-Q743)</f>
        <v>9.9999999999999995E-8</v>
      </c>
      <c r="U743" s="6">
        <v>0</v>
      </c>
      <c r="V743" s="6">
        <v>0</v>
      </c>
      <c r="W743" s="6">
        <v>0</v>
      </c>
      <c r="X743" s="6">
        <v>0</v>
      </c>
      <c r="Y743" t="s">
        <v>171</v>
      </c>
      <c r="AD743">
        <f>1/6</f>
        <v>0.16666666666666666</v>
      </c>
      <c r="AE743">
        <v>1000</v>
      </c>
      <c r="AF743">
        <v>2</v>
      </c>
      <c r="AG743" s="9">
        <v>2.4E-2</v>
      </c>
      <c r="AH743" s="9">
        <v>1.4</v>
      </c>
      <c r="AI743" s="9">
        <v>0.38</v>
      </c>
      <c r="AJ743" s="9">
        <v>0.04</v>
      </c>
      <c r="AK743" s="9">
        <v>5.0000000000000001E-3</v>
      </c>
      <c r="AL743" s="9">
        <v>17.2</v>
      </c>
      <c r="AM743" s="9">
        <v>10.7</v>
      </c>
      <c r="AN743" s="9">
        <v>2.13</v>
      </c>
      <c r="AO743" s="9">
        <v>3.5000000000000003E-2</v>
      </c>
      <c r="AQ743" s="1"/>
    </row>
    <row r="744" spans="1:43" x14ac:dyDescent="0.3">
      <c r="A744" t="s">
        <v>200</v>
      </c>
      <c r="B744" s="1" t="s">
        <v>1734</v>
      </c>
      <c r="C744">
        <v>54</v>
      </c>
      <c r="D744" s="8">
        <v>1.4403999999999999</v>
      </c>
      <c r="E744">
        <v>220</v>
      </c>
      <c r="F744">
        <v>0.48</v>
      </c>
      <c r="G744" t="s">
        <v>193</v>
      </c>
      <c r="H744">
        <v>7</v>
      </c>
      <c r="I744" s="4">
        <v>-0.2</v>
      </c>
      <c r="J744" s="3">
        <v>8.3333333333333301E-2</v>
      </c>
      <c r="L744" t="s">
        <v>172</v>
      </c>
      <c r="N744" s="3">
        <v>0.14104372355430181</v>
      </c>
      <c r="O744" s="3">
        <v>0</v>
      </c>
      <c r="P744">
        <v>10</v>
      </c>
      <c r="Q744">
        <v>7</v>
      </c>
      <c r="R744" t="s">
        <v>102</v>
      </c>
      <c r="S744">
        <v>0</v>
      </c>
      <c r="T744" s="6">
        <f>10^-(14-Q744)</f>
        <v>9.9999999999999995E-8</v>
      </c>
      <c r="U744" s="6">
        <v>0</v>
      </c>
      <c r="V744" s="6">
        <v>0</v>
      </c>
      <c r="W744" s="6">
        <v>0</v>
      </c>
      <c r="X744" s="6">
        <v>0</v>
      </c>
      <c r="Y744" t="s">
        <v>171</v>
      </c>
      <c r="AD744">
        <f>1/6</f>
        <v>0.16666666666666666</v>
      </c>
      <c r="AE744">
        <v>1000</v>
      </c>
      <c r="AF744">
        <v>2</v>
      </c>
      <c r="AG744" s="9">
        <v>2.4E-2</v>
      </c>
      <c r="AH744" s="9">
        <v>1.4</v>
      </c>
      <c r="AI744" s="9">
        <v>0.38</v>
      </c>
      <c r="AJ744" s="9">
        <v>0.04</v>
      </c>
      <c r="AK744" s="9">
        <v>5.0000000000000001E-3</v>
      </c>
      <c r="AL744" s="9">
        <v>17.2</v>
      </c>
      <c r="AM744" s="9">
        <v>10.7</v>
      </c>
      <c r="AN744" s="9">
        <v>2.13</v>
      </c>
      <c r="AO744" s="9">
        <v>3.5000000000000003E-2</v>
      </c>
      <c r="AQ744" s="1"/>
    </row>
    <row r="745" spans="1:43" x14ac:dyDescent="0.3">
      <c r="A745" t="s">
        <v>201</v>
      </c>
      <c r="B745" s="1" t="s">
        <v>1734</v>
      </c>
      <c r="C745">
        <v>54</v>
      </c>
      <c r="D745" s="8">
        <v>1.4403999999999999</v>
      </c>
      <c r="E745">
        <v>220</v>
      </c>
      <c r="F745">
        <v>0.48</v>
      </c>
      <c r="G745" t="s">
        <v>193</v>
      </c>
      <c r="H745">
        <v>7</v>
      </c>
      <c r="I745" s="4">
        <v>-0.2</v>
      </c>
      <c r="J745" s="3">
        <v>8.3333333333333301E-2</v>
      </c>
      <c r="L745" t="s">
        <v>172</v>
      </c>
      <c r="N745" s="3">
        <v>0.28208744710860362</v>
      </c>
      <c r="O745" s="3">
        <v>0</v>
      </c>
      <c r="P745">
        <v>10</v>
      </c>
      <c r="Q745">
        <v>7</v>
      </c>
      <c r="R745" t="s">
        <v>102</v>
      </c>
      <c r="S745">
        <v>0</v>
      </c>
      <c r="T745" s="6">
        <f>10^-(14-Q745)</f>
        <v>9.9999999999999995E-8</v>
      </c>
      <c r="U745" s="6">
        <v>0</v>
      </c>
      <c r="V745" s="6">
        <v>0</v>
      </c>
      <c r="W745" s="6">
        <v>0</v>
      </c>
      <c r="X745" s="6">
        <v>0</v>
      </c>
      <c r="Y745" t="s">
        <v>171</v>
      </c>
      <c r="AD745">
        <f>1/6</f>
        <v>0.16666666666666666</v>
      </c>
      <c r="AE745">
        <v>1000</v>
      </c>
      <c r="AF745">
        <v>2</v>
      </c>
      <c r="AG745" s="9">
        <v>2.4E-2</v>
      </c>
      <c r="AH745" s="9">
        <v>1.4</v>
      </c>
      <c r="AI745" s="9">
        <v>0.38</v>
      </c>
      <c r="AJ745" s="9">
        <v>0.04</v>
      </c>
      <c r="AK745" s="9">
        <v>5.0000000000000001E-3</v>
      </c>
      <c r="AL745" s="9">
        <v>17.2</v>
      </c>
      <c r="AM745" s="9">
        <v>10.7</v>
      </c>
      <c r="AN745" s="9">
        <v>2.13</v>
      </c>
      <c r="AO745" s="9">
        <v>3.5000000000000003E-2</v>
      </c>
      <c r="AQ745" s="1"/>
    </row>
    <row r="746" spans="1:43" x14ac:dyDescent="0.3">
      <c r="A746" t="s">
        <v>202</v>
      </c>
      <c r="B746" s="1" t="s">
        <v>1734</v>
      </c>
      <c r="C746">
        <v>54</v>
      </c>
      <c r="D746" s="8">
        <v>1.4403999999999999</v>
      </c>
      <c r="E746">
        <v>220</v>
      </c>
      <c r="F746">
        <v>0.48</v>
      </c>
      <c r="G746" t="s">
        <v>193</v>
      </c>
      <c r="H746">
        <v>7</v>
      </c>
      <c r="I746" s="4">
        <v>-0.2</v>
      </c>
      <c r="J746" s="3">
        <v>8.3333333333333301E-2</v>
      </c>
      <c r="L746" t="s">
        <v>172</v>
      </c>
      <c r="N746" s="3">
        <v>0.56417489421720723</v>
      </c>
      <c r="O746" s="3">
        <v>0</v>
      </c>
      <c r="P746">
        <v>10</v>
      </c>
      <c r="Q746">
        <v>7</v>
      </c>
      <c r="R746" t="s">
        <v>102</v>
      </c>
      <c r="S746">
        <v>0</v>
      </c>
      <c r="T746" s="6">
        <f>10^-(14-Q746)</f>
        <v>9.9999999999999995E-8</v>
      </c>
      <c r="U746" s="6">
        <v>0</v>
      </c>
      <c r="V746" s="6">
        <v>0</v>
      </c>
      <c r="W746" s="6">
        <v>0</v>
      </c>
      <c r="X746" s="6">
        <v>0</v>
      </c>
      <c r="Y746" t="s">
        <v>171</v>
      </c>
      <c r="AD746">
        <f>1/6</f>
        <v>0.16666666666666666</v>
      </c>
      <c r="AE746">
        <v>1000</v>
      </c>
      <c r="AF746">
        <v>2</v>
      </c>
      <c r="AG746" s="9">
        <v>2.4E-2</v>
      </c>
      <c r="AH746" s="9">
        <v>1.4</v>
      </c>
      <c r="AI746" s="9">
        <v>0.38</v>
      </c>
      <c r="AJ746" s="9">
        <v>0.04</v>
      </c>
      <c r="AK746" s="9">
        <v>5.0000000000000001E-3</v>
      </c>
      <c r="AL746" s="9">
        <v>17.2</v>
      </c>
      <c r="AM746" s="9">
        <v>10.7</v>
      </c>
      <c r="AN746" s="9">
        <v>2.13</v>
      </c>
      <c r="AO746" s="9">
        <v>3.5000000000000003E-2</v>
      </c>
      <c r="AQ746" s="1"/>
    </row>
    <row r="747" spans="1:43" x14ac:dyDescent="0.3">
      <c r="A747" t="s">
        <v>203</v>
      </c>
      <c r="B747" s="1" t="s">
        <v>1734</v>
      </c>
      <c r="C747">
        <v>54</v>
      </c>
      <c r="D747" s="8">
        <v>1.4403999999999999</v>
      </c>
      <c r="E747">
        <v>220</v>
      </c>
      <c r="F747">
        <v>0.48</v>
      </c>
      <c r="G747" t="s">
        <v>193</v>
      </c>
      <c r="H747">
        <v>7</v>
      </c>
      <c r="I747" s="4">
        <v>-0.2</v>
      </c>
      <c r="J747" s="3">
        <v>8.3333333333333301E-2</v>
      </c>
      <c r="L747" t="s">
        <v>172</v>
      </c>
      <c r="N747" s="3">
        <v>1.4104372355430181</v>
      </c>
      <c r="O747" s="3">
        <v>0</v>
      </c>
      <c r="P747">
        <v>10</v>
      </c>
      <c r="Q747">
        <v>7</v>
      </c>
      <c r="R747" t="s">
        <v>102</v>
      </c>
      <c r="S747">
        <v>0</v>
      </c>
      <c r="T747" s="6">
        <f>10^-(14-Q747)</f>
        <v>9.9999999999999995E-8</v>
      </c>
      <c r="U747" s="6">
        <v>0</v>
      </c>
      <c r="V747" s="6">
        <v>0</v>
      </c>
      <c r="W747" s="6">
        <v>0</v>
      </c>
      <c r="X747" s="6">
        <v>0</v>
      </c>
      <c r="Y747" t="s">
        <v>171</v>
      </c>
      <c r="AD747">
        <f>1/6</f>
        <v>0.16666666666666666</v>
      </c>
      <c r="AE747">
        <v>774</v>
      </c>
      <c r="AF747">
        <v>1</v>
      </c>
      <c r="AG747" s="9">
        <v>2.4E-2</v>
      </c>
      <c r="AH747" s="9">
        <v>1.4</v>
      </c>
      <c r="AI747" s="9">
        <v>0.38</v>
      </c>
      <c r="AJ747" s="9">
        <v>0.04</v>
      </c>
      <c r="AK747" s="9">
        <v>5.0000000000000001E-3</v>
      </c>
      <c r="AL747" s="9">
        <v>17.2</v>
      </c>
      <c r="AM747" s="9">
        <v>10.7</v>
      </c>
      <c r="AN747" s="9">
        <v>2.13</v>
      </c>
      <c r="AO747" s="9">
        <v>3.5000000000000003E-2</v>
      </c>
      <c r="AQ747" s="1"/>
    </row>
    <row r="748" spans="1:43" x14ac:dyDescent="0.3">
      <c r="A748" t="s">
        <v>204</v>
      </c>
      <c r="B748" s="1" t="s">
        <v>1734</v>
      </c>
      <c r="C748">
        <v>54</v>
      </c>
      <c r="D748" s="8">
        <v>1.4403999999999999</v>
      </c>
      <c r="E748">
        <v>220</v>
      </c>
      <c r="F748">
        <v>0.48</v>
      </c>
      <c r="G748" t="s">
        <v>193</v>
      </c>
      <c r="H748">
        <v>7</v>
      </c>
      <c r="I748" s="4">
        <v>-0.2</v>
      </c>
      <c r="J748" s="3">
        <v>8.3333333333333301E-2</v>
      </c>
      <c r="L748" t="s">
        <v>172</v>
      </c>
      <c r="N748" s="3">
        <v>1.4104372355430181</v>
      </c>
      <c r="O748" s="3">
        <v>0</v>
      </c>
      <c r="P748">
        <v>10</v>
      </c>
      <c r="Q748">
        <v>7</v>
      </c>
      <c r="R748" t="s">
        <v>102</v>
      </c>
      <c r="S748">
        <v>0</v>
      </c>
      <c r="T748" s="6">
        <f>10^-(14-Q748)</f>
        <v>9.9999999999999995E-8</v>
      </c>
      <c r="U748" s="6">
        <v>0</v>
      </c>
      <c r="V748" s="6">
        <v>0</v>
      </c>
      <c r="W748" s="6">
        <v>0</v>
      </c>
      <c r="X748" s="6">
        <v>0</v>
      </c>
      <c r="Y748" t="s">
        <v>171</v>
      </c>
      <c r="AD748">
        <f>1/6</f>
        <v>0.16666666666666666</v>
      </c>
      <c r="AE748">
        <v>718</v>
      </c>
      <c r="AF748">
        <v>1</v>
      </c>
      <c r="AG748" s="9">
        <v>2.4E-2</v>
      </c>
      <c r="AH748" s="9">
        <v>1.4</v>
      </c>
      <c r="AI748" s="9">
        <v>0.38</v>
      </c>
      <c r="AJ748" s="9">
        <v>0.04</v>
      </c>
      <c r="AK748" s="9">
        <v>5.0000000000000001E-3</v>
      </c>
      <c r="AL748" s="9">
        <v>17.2</v>
      </c>
      <c r="AM748" s="9">
        <v>10.7</v>
      </c>
      <c r="AN748" s="9">
        <v>2.13</v>
      </c>
      <c r="AO748" s="9">
        <v>3.5000000000000003E-2</v>
      </c>
      <c r="AQ748" s="1"/>
    </row>
    <row r="749" spans="1:43" x14ac:dyDescent="0.3">
      <c r="A749" t="s">
        <v>205</v>
      </c>
      <c r="B749" s="1" t="s">
        <v>1734</v>
      </c>
      <c r="C749">
        <v>54</v>
      </c>
      <c r="D749" s="8">
        <v>1.4403999999999999</v>
      </c>
      <c r="E749">
        <v>220</v>
      </c>
      <c r="F749">
        <v>0.48</v>
      </c>
      <c r="G749" t="s">
        <v>193</v>
      </c>
      <c r="H749">
        <v>7</v>
      </c>
      <c r="I749" s="4">
        <v>-0.2</v>
      </c>
      <c r="J749" s="3">
        <v>8.3333333333333301E-2</v>
      </c>
      <c r="L749" t="s">
        <v>172</v>
      </c>
      <c r="N749" s="3">
        <v>0.14104372355430181</v>
      </c>
      <c r="O749" s="3">
        <v>0</v>
      </c>
      <c r="P749">
        <v>12.5</v>
      </c>
      <c r="Q749">
        <v>7</v>
      </c>
      <c r="R749" t="s">
        <v>102</v>
      </c>
      <c r="S749">
        <v>0</v>
      </c>
      <c r="T749" s="6">
        <f>10^-(14-Q749)</f>
        <v>9.9999999999999995E-8</v>
      </c>
      <c r="U749" s="6">
        <v>0</v>
      </c>
      <c r="V749" s="6">
        <v>0</v>
      </c>
      <c r="W749" s="6">
        <v>0</v>
      </c>
      <c r="X749" s="6">
        <v>0</v>
      </c>
      <c r="Y749" t="s">
        <v>171</v>
      </c>
      <c r="AD749">
        <f>1/6</f>
        <v>0.16666666666666666</v>
      </c>
      <c r="AE749">
        <v>882</v>
      </c>
      <c r="AF749">
        <v>1</v>
      </c>
      <c r="AG749" s="9">
        <v>2.4E-2</v>
      </c>
      <c r="AH749" s="9">
        <v>1.4</v>
      </c>
      <c r="AI749" s="9">
        <v>0.38</v>
      </c>
      <c r="AJ749" s="9">
        <v>0.04</v>
      </c>
      <c r="AK749" s="9">
        <v>5.0000000000000001E-3</v>
      </c>
      <c r="AL749" s="9">
        <v>17.2</v>
      </c>
      <c r="AM749" s="9">
        <v>10.7</v>
      </c>
      <c r="AN749" s="9">
        <v>2.13</v>
      </c>
      <c r="AO749" s="9">
        <v>3.5000000000000003E-2</v>
      </c>
      <c r="AQ749" s="1"/>
    </row>
    <row r="750" spans="1:43" x14ac:dyDescent="0.3">
      <c r="A750" t="s">
        <v>206</v>
      </c>
      <c r="B750" s="1" t="s">
        <v>1734</v>
      </c>
      <c r="C750">
        <v>54</v>
      </c>
      <c r="D750" s="8">
        <v>1.4403999999999999</v>
      </c>
      <c r="E750">
        <v>220</v>
      </c>
      <c r="F750">
        <v>0.48</v>
      </c>
      <c r="G750" t="s">
        <v>193</v>
      </c>
      <c r="H750">
        <v>7</v>
      </c>
      <c r="I750" s="4">
        <v>-0.2</v>
      </c>
      <c r="J750" s="3">
        <v>8.3333333333333301E-2</v>
      </c>
      <c r="L750" t="s">
        <v>172</v>
      </c>
      <c r="N750" s="3">
        <v>1.4104372355430181</v>
      </c>
      <c r="O750" s="3">
        <v>0</v>
      </c>
      <c r="P750">
        <v>12.5</v>
      </c>
      <c r="Q750">
        <v>7</v>
      </c>
      <c r="R750" t="s">
        <v>102</v>
      </c>
      <c r="S750">
        <v>0</v>
      </c>
      <c r="T750" s="6">
        <f>10^-(14-Q750)</f>
        <v>9.9999999999999995E-8</v>
      </c>
      <c r="U750" s="6">
        <v>0</v>
      </c>
      <c r="V750" s="6">
        <v>0</v>
      </c>
      <c r="W750" s="6">
        <v>0</v>
      </c>
      <c r="X750" s="6">
        <v>0</v>
      </c>
      <c r="Y750" t="s">
        <v>171</v>
      </c>
      <c r="AD750">
        <f>1/6</f>
        <v>0.16666666666666666</v>
      </c>
      <c r="AE750">
        <v>698</v>
      </c>
      <c r="AF750">
        <v>1</v>
      </c>
      <c r="AG750" s="9">
        <v>2.4E-2</v>
      </c>
      <c r="AH750" s="9">
        <v>1.4</v>
      </c>
      <c r="AI750" s="9">
        <v>0.38</v>
      </c>
      <c r="AJ750" s="9">
        <v>0.04</v>
      </c>
      <c r="AK750" s="9">
        <v>5.0000000000000001E-3</v>
      </c>
      <c r="AL750" s="9">
        <v>17.2</v>
      </c>
      <c r="AM750" s="9">
        <v>10.7</v>
      </c>
      <c r="AN750" s="9">
        <v>2.13</v>
      </c>
      <c r="AO750" s="9">
        <v>3.5000000000000003E-2</v>
      </c>
      <c r="AQ750" s="1"/>
    </row>
    <row r="751" spans="1:43" x14ac:dyDescent="0.3">
      <c r="A751" t="s">
        <v>207</v>
      </c>
      <c r="B751" s="1" t="s">
        <v>1734</v>
      </c>
      <c r="C751">
        <v>54</v>
      </c>
      <c r="D751" s="8">
        <v>1.4403999999999999</v>
      </c>
      <c r="E751">
        <v>220</v>
      </c>
      <c r="F751">
        <v>0.48</v>
      </c>
      <c r="G751" t="s">
        <v>193</v>
      </c>
      <c r="H751">
        <v>7</v>
      </c>
      <c r="I751" s="4">
        <v>-0.2</v>
      </c>
      <c r="J751" s="3">
        <v>8.3333333333333301E-2</v>
      </c>
      <c r="L751" t="s">
        <v>172</v>
      </c>
      <c r="N751" s="3">
        <v>1.4104372355430181</v>
      </c>
      <c r="O751" s="3">
        <v>0</v>
      </c>
      <c r="P751">
        <v>12.5</v>
      </c>
      <c r="Q751">
        <v>7</v>
      </c>
      <c r="R751" t="s">
        <v>102</v>
      </c>
      <c r="S751">
        <v>0</v>
      </c>
      <c r="T751" s="6">
        <f>10^-(14-Q751)</f>
        <v>9.9999999999999995E-8</v>
      </c>
      <c r="U751" s="6">
        <v>0</v>
      </c>
      <c r="V751" s="6">
        <v>0</v>
      </c>
      <c r="W751" s="6">
        <v>0</v>
      </c>
      <c r="X751" s="6">
        <v>0</v>
      </c>
      <c r="Y751" t="s">
        <v>171</v>
      </c>
      <c r="AD751">
        <f>1/6</f>
        <v>0.16666666666666666</v>
      </c>
      <c r="AE751">
        <v>583</v>
      </c>
      <c r="AF751">
        <v>1</v>
      </c>
      <c r="AG751" s="9">
        <v>2.4E-2</v>
      </c>
      <c r="AH751" s="9">
        <v>1.4</v>
      </c>
      <c r="AI751" s="9">
        <v>0.38</v>
      </c>
      <c r="AJ751" s="9">
        <v>0.04</v>
      </c>
      <c r="AK751" s="9">
        <v>5.0000000000000001E-3</v>
      </c>
      <c r="AL751" s="9">
        <v>17.2</v>
      </c>
      <c r="AM751" s="9">
        <v>10.7</v>
      </c>
      <c r="AN751" s="9">
        <v>2.13</v>
      </c>
      <c r="AO751" s="9">
        <v>3.5000000000000003E-2</v>
      </c>
      <c r="AQ751" s="1"/>
    </row>
    <row r="752" spans="1:43" x14ac:dyDescent="0.3">
      <c r="A752" t="s">
        <v>208</v>
      </c>
      <c r="B752" s="1" t="s">
        <v>1734</v>
      </c>
      <c r="C752">
        <v>54</v>
      </c>
      <c r="D752" s="8">
        <v>1.4403999999999999</v>
      </c>
      <c r="E752">
        <v>220</v>
      </c>
      <c r="F752">
        <v>0.48</v>
      </c>
      <c r="G752" t="s">
        <v>193</v>
      </c>
      <c r="H752">
        <v>7</v>
      </c>
      <c r="I752" s="4">
        <v>-0.2</v>
      </c>
      <c r="J752" s="3">
        <v>8.3333333333333301E-2</v>
      </c>
      <c r="L752" t="s">
        <v>172</v>
      </c>
      <c r="N752" s="3">
        <v>1.4104372355430182E-2</v>
      </c>
      <c r="O752" s="3">
        <v>0</v>
      </c>
      <c r="P752">
        <v>15</v>
      </c>
      <c r="Q752">
        <v>7</v>
      </c>
      <c r="R752" t="s">
        <v>102</v>
      </c>
      <c r="S752">
        <v>0</v>
      </c>
      <c r="T752" s="6">
        <f>10^-(14-Q752)</f>
        <v>9.9999999999999995E-8</v>
      </c>
      <c r="U752" s="6">
        <v>0</v>
      </c>
      <c r="V752" s="6">
        <v>0</v>
      </c>
      <c r="W752" s="6">
        <v>0</v>
      </c>
      <c r="X752" s="6">
        <v>0</v>
      </c>
      <c r="Y752" t="s">
        <v>171</v>
      </c>
      <c r="AD752">
        <f>1/6</f>
        <v>0.16666666666666666</v>
      </c>
      <c r="AE752">
        <v>980</v>
      </c>
      <c r="AF752">
        <v>1</v>
      </c>
      <c r="AG752" s="9">
        <v>2.4E-2</v>
      </c>
      <c r="AH752" s="9">
        <v>1.4</v>
      </c>
      <c r="AI752" s="9">
        <v>0.38</v>
      </c>
      <c r="AJ752" s="9">
        <v>0.04</v>
      </c>
      <c r="AK752" s="9">
        <v>5.0000000000000001E-3</v>
      </c>
      <c r="AL752" s="9">
        <v>17.2</v>
      </c>
      <c r="AM752" s="9">
        <v>10.7</v>
      </c>
      <c r="AN752" s="9">
        <v>2.13</v>
      </c>
      <c r="AO752" s="9">
        <v>3.5000000000000003E-2</v>
      </c>
      <c r="AQ752" s="1"/>
    </row>
    <row r="753" spans="1:43" x14ac:dyDescent="0.3">
      <c r="A753" t="s">
        <v>209</v>
      </c>
      <c r="B753" s="1" t="s">
        <v>1734</v>
      </c>
      <c r="C753">
        <v>54</v>
      </c>
      <c r="D753" s="8">
        <v>1.4403999999999999</v>
      </c>
      <c r="E753">
        <v>220</v>
      </c>
      <c r="F753">
        <v>0.48</v>
      </c>
      <c r="G753" t="s">
        <v>193</v>
      </c>
      <c r="H753">
        <v>7</v>
      </c>
      <c r="I753" s="4">
        <v>-0.2</v>
      </c>
      <c r="J753" s="3">
        <v>8.3333333333333301E-2</v>
      </c>
      <c r="L753" t="s">
        <v>172</v>
      </c>
      <c r="N753" s="3">
        <v>0.14104372355430181</v>
      </c>
      <c r="O753" s="3">
        <v>0</v>
      </c>
      <c r="P753">
        <v>15</v>
      </c>
      <c r="Q753">
        <v>7</v>
      </c>
      <c r="R753" t="s">
        <v>102</v>
      </c>
      <c r="S753">
        <v>0</v>
      </c>
      <c r="T753" s="6">
        <f>10^-(14-Q753)</f>
        <v>9.9999999999999995E-8</v>
      </c>
      <c r="U753" s="6">
        <v>0</v>
      </c>
      <c r="V753" s="6">
        <v>0</v>
      </c>
      <c r="W753" s="6">
        <v>0</v>
      </c>
      <c r="X753" s="6">
        <v>0</v>
      </c>
      <c r="Y753" t="s">
        <v>171</v>
      </c>
      <c r="AD753">
        <f>1/6</f>
        <v>0.16666666666666666</v>
      </c>
      <c r="AE753">
        <v>837</v>
      </c>
      <c r="AF753">
        <v>1</v>
      </c>
      <c r="AG753" s="9">
        <v>2.4E-2</v>
      </c>
      <c r="AH753" s="9">
        <v>1.4</v>
      </c>
      <c r="AI753" s="9">
        <v>0.38</v>
      </c>
      <c r="AJ753" s="9">
        <v>0.04</v>
      </c>
      <c r="AK753" s="9">
        <v>5.0000000000000001E-3</v>
      </c>
      <c r="AL753" s="9">
        <v>17.2</v>
      </c>
      <c r="AM753" s="9">
        <v>10.7</v>
      </c>
      <c r="AN753" s="9">
        <v>2.13</v>
      </c>
      <c r="AO753" s="9">
        <v>3.5000000000000003E-2</v>
      </c>
      <c r="AQ753" s="1"/>
    </row>
    <row r="754" spans="1:43" x14ac:dyDescent="0.3">
      <c r="A754" t="s">
        <v>210</v>
      </c>
      <c r="B754" s="1" t="s">
        <v>1734</v>
      </c>
      <c r="C754">
        <v>54</v>
      </c>
      <c r="D754" s="8">
        <v>1.4403999999999999</v>
      </c>
      <c r="E754">
        <v>220</v>
      </c>
      <c r="F754">
        <v>0.48</v>
      </c>
      <c r="G754" t="s">
        <v>193</v>
      </c>
      <c r="H754">
        <v>7</v>
      </c>
      <c r="I754" s="4">
        <v>-0.2</v>
      </c>
      <c r="J754" s="3">
        <v>8.3333333333333301E-2</v>
      </c>
      <c r="L754" t="s">
        <v>172</v>
      </c>
      <c r="N754" s="3">
        <v>0.28208744710860362</v>
      </c>
      <c r="O754" s="3">
        <v>0</v>
      </c>
      <c r="P754">
        <v>15</v>
      </c>
      <c r="Q754">
        <v>7</v>
      </c>
      <c r="R754" t="s">
        <v>102</v>
      </c>
      <c r="S754">
        <v>0</v>
      </c>
      <c r="T754" s="6">
        <f>10^-(14-Q754)</f>
        <v>9.9999999999999995E-8</v>
      </c>
      <c r="U754" s="6">
        <v>0</v>
      </c>
      <c r="V754" s="6">
        <v>0</v>
      </c>
      <c r="W754" s="6">
        <v>0</v>
      </c>
      <c r="X754" s="6">
        <v>0</v>
      </c>
      <c r="Y754" t="s">
        <v>171</v>
      </c>
      <c r="AD754">
        <f>1/6</f>
        <v>0.16666666666666666</v>
      </c>
      <c r="AE754">
        <v>618</v>
      </c>
      <c r="AF754">
        <v>1</v>
      </c>
      <c r="AG754" s="9">
        <v>2.4E-2</v>
      </c>
      <c r="AH754" s="9">
        <v>1.4</v>
      </c>
      <c r="AI754" s="9">
        <v>0.38</v>
      </c>
      <c r="AJ754" s="9">
        <v>0.04</v>
      </c>
      <c r="AK754" s="9">
        <v>5.0000000000000001E-3</v>
      </c>
      <c r="AL754" s="9">
        <v>17.2</v>
      </c>
      <c r="AM754" s="9">
        <v>10.7</v>
      </c>
      <c r="AN754" s="9">
        <v>2.13</v>
      </c>
      <c r="AO754" s="9">
        <v>3.5000000000000003E-2</v>
      </c>
      <c r="AQ754" s="1"/>
    </row>
    <row r="755" spans="1:43" x14ac:dyDescent="0.3">
      <c r="A755" t="s">
        <v>211</v>
      </c>
      <c r="B755" s="1" t="s">
        <v>1734</v>
      </c>
      <c r="C755">
        <v>54</v>
      </c>
      <c r="D755" s="8">
        <v>1.4403999999999999</v>
      </c>
      <c r="E755">
        <v>220</v>
      </c>
      <c r="F755">
        <v>0.48</v>
      </c>
      <c r="G755" t="s">
        <v>193</v>
      </c>
      <c r="H755">
        <v>7</v>
      </c>
      <c r="I755" s="4">
        <v>-0.2</v>
      </c>
      <c r="J755" s="3">
        <v>8.3333333333333301E-2</v>
      </c>
      <c r="L755" t="s">
        <v>172</v>
      </c>
      <c r="N755" s="3">
        <v>0.28208744710860362</v>
      </c>
      <c r="O755" s="3">
        <v>0</v>
      </c>
      <c r="P755">
        <v>15</v>
      </c>
      <c r="Q755">
        <v>7</v>
      </c>
      <c r="R755" t="s">
        <v>102</v>
      </c>
      <c r="S755">
        <v>0</v>
      </c>
      <c r="T755" s="6">
        <f>10^-(14-Q755)</f>
        <v>9.9999999999999995E-8</v>
      </c>
      <c r="U755" s="6">
        <v>0</v>
      </c>
      <c r="V755" s="6">
        <v>0</v>
      </c>
      <c r="W755" s="6">
        <v>0</v>
      </c>
      <c r="X755" s="6">
        <v>0</v>
      </c>
      <c r="Y755" t="s">
        <v>171</v>
      </c>
      <c r="AD755">
        <f>1/6</f>
        <v>0.16666666666666666</v>
      </c>
      <c r="AE755">
        <v>623</v>
      </c>
      <c r="AF755">
        <v>1</v>
      </c>
      <c r="AG755" s="9">
        <v>2.4E-2</v>
      </c>
      <c r="AH755" s="9">
        <v>1.4</v>
      </c>
      <c r="AI755" s="9">
        <v>0.38</v>
      </c>
      <c r="AJ755" s="9">
        <v>0.04</v>
      </c>
      <c r="AK755" s="9">
        <v>5.0000000000000001E-3</v>
      </c>
      <c r="AL755" s="9">
        <v>17.2</v>
      </c>
      <c r="AM755" s="9">
        <v>10.7</v>
      </c>
      <c r="AN755" s="9">
        <v>2.13</v>
      </c>
      <c r="AO755" s="9">
        <v>3.5000000000000003E-2</v>
      </c>
      <c r="AQ755" s="1"/>
    </row>
    <row r="756" spans="1:43" x14ac:dyDescent="0.3">
      <c r="A756" t="s">
        <v>212</v>
      </c>
      <c r="B756" s="1" t="s">
        <v>1734</v>
      </c>
      <c r="C756">
        <v>54</v>
      </c>
      <c r="D756" s="8">
        <v>1.4403999999999999</v>
      </c>
      <c r="E756">
        <v>220</v>
      </c>
      <c r="F756">
        <v>0.48</v>
      </c>
      <c r="G756" t="s">
        <v>193</v>
      </c>
      <c r="H756">
        <v>7</v>
      </c>
      <c r="I756" s="4">
        <v>-0.2</v>
      </c>
      <c r="J756" s="3">
        <v>8.3333333333333301E-2</v>
      </c>
      <c r="L756" t="s">
        <v>172</v>
      </c>
      <c r="N756" s="3">
        <v>0.56417489421720723</v>
      </c>
      <c r="O756" s="3">
        <v>0</v>
      </c>
      <c r="P756">
        <v>15</v>
      </c>
      <c r="Q756">
        <v>7</v>
      </c>
      <c r="R756" t="s">
        <v>102</v>
      </c>
      <c r="S756">
        <v>0</v>
      </c>
      <c r="T756" s="6">
        <f>10^-(14-Q756)</f>
        <v>9.9999999999999995E-8</v>
      </c>
      <c r="U756" s="6">
        <v>0</v>
      </c>
      <c r="V756" s="6">
        <v>0</v>
      </c>
      <c r="W756" s="6">
        <v>0</v>
      </c>
      <c r="X756" s="6">
        <v>0</v>
      </c>
      <c r="Y756" t="s">
        <v>171</v>
      </c>
      <c r="AD756">
        <f>1/6</f>
        <v>0.16666666666666666</v>
      </c>
      <c r="AE756">
        <v>714</v>
      </c>
      <c r="AF756">
        <v>1</v>
      </c>
      <c r="AG756" s="9">
        <v>2.4E-2</v>
      </c>
      <c r="AH756" s="9">
        <v>1.4</v>
      </c>
      <c r="AI756" s="9">
        <v>0.38</v>
      </c>
      <c r="AJ756" s="9">
        <v>0.04</v>
      </c>
      <c r="AK756" s="9">
        <v>5.0000000000000001E-3</v>
      </c>
      <c r="AL756" s="9">
        <v>17.2</v>
      </c>
      <c r="AM756" s="9">
        <v>10.7</v>
      </c>
      <c r="AN756" s="9">
        <v>2.13</v>
      </c>
      <c r="AO756" s="9">
        <v>3.5000000000000003E-2</v>
      </c>
      <c r="AQ756" s="1"/>
    </row>
    <row r="757" spans="1:43" x14ac:dyDescent="0.3">
      <c r="A757" t="s">
        <v>213</v>
      </c>
      <c r="B757" s="1" t="s">
        <v>1734</v>
      </c>
      <c r="C757">
        <v>54</v>
      </c>
      <c r="D757" s="8">
        <v>1.4403999999999999</v>
      </c>
      <c r="E757">
        <v>220</v>
      </c>
      <c r="F757">
        <v>0.48</v>
      </c>
      <c r="G757" t="s">
        <v>193</v>
      </c>
      <c r="H757">
        <v>7</v>
      </c>
      <c r="I757" s="4">
        <v>-0.2</v>
      </c>
      <c r="J757" s="3">
        <v>8.3333333333333301E-2</v>
      </c>
      <c r="L757" t="s">
        <v>172</v>
      </c>
      <c r="N757" s="3">
        <v>1.4104372355430182E-2</v>
      </c>
      <c r="O757" s="3">
        <v>0</v>
      </c>
      <c r="P757">
        <v>17.5</v>
      </c>
      <c r="Q757">
        <v>7</v>
      </c>
      <c r="R757" t="s">
        <v>102</v>
      </c>
      <c r="S757">
        <v>0</v>
      </c>
      <c r="T757" s="6">
        <f>10^-(14-Q757)</f>
        <v>9.9999999999999995E-8</v>
      </c>
      <c r="U757" s="6">
        <v>0</v>
      </c>
      <c r="V757" s="6">
        <v>0</v>
      </c>
      <c r="W757" s="6">
        <v>0</v>
      </c>
      <c r="X757" s="6">
        <v>0</v>
      </c>
      <c r="Y757" t="s">
        <v>171</v>
      </c>
      <c r="AD757">
        <f>1/6</f>
        <v>0.16666666666666666</v>
      </c>
      <c r="AE757">
        <v>1000</v>
      </c>
      <c r="AF757">
        <v>2</v>
      </c>
      <c r="AG757" s="9">
        <v>2.4E-2</v>
      </c>
      <c r="AH757" s="9">
        <v>1.4</v>
      </c>
      <c r="AI757" s="9">
        <v>0.38</v>
      </c>
      <c r="AJ757" s="9">
        <v>0.04</v>
      </c>
      <c r="AK757" s="9">
        <v>5.0000000000000001E-3</v>
      </c>
      <c r="AL757" s="9">
        <v>17.2</v>
      </c>
      <c r="AM757" s="9">
        <v>10.7</v>
      </c>
      <c r="AN757" s="9">
        <v>2.13</v>
      </c>
      <c r="AO757" s="9">
        <v>3.5000000000000003E-2</v>
      </c>
      <c r="AQ757" s="1"/>
    </row>
    <row r="758" spans="1:43" x14ac:dyDescent="0.3">
      <c r="A758" t="s">
        <v>214</v>
      </c>
      <c r="B758" s="1" t="s">
        <v>1734</v>
      </c>
      <c r="C758">
        <v>54</v>
      </c>
      <c r="D758" s="8">
        <v>1.4403999999999999</v>
      </c>
      <c r="E758">
        <v>220</v>
      </c>
      <c r="F758">
        <v>0.48</v>
      </c>
      <c r="G758" t="s">
        <v>193</v>
      </c>
      <c r="H758">
        <v>7</v>
      </c>
      <c r="I758" s="4">
        <v>-0.2</v>
      </c>
      <c r="J758" s="3">
        <v>8.3333333333333301E-2</v>
      </c>
      <c r="L758" t="s">
        <v>172</v>
      </c>
      <c r="N758" s="3">
        <v>0.14104372355430181</v>
      </c>
      <c r="O758" s="3">
        <v>0</v>
      </c>
      <c r="P758">
        <v>17.5</v>
      </c>
      <c r="Q758">
        <v>7</v>
      </c>
      <c r="R758" t="s">
        <v>102</v>
      </c>
      <c r="S758">
        <v>0</v>
      </c>
      <c r="T758" s="6">
        <f>10^-(14-Q758)</f>
        <v>9.9999999999999995E-8</v>
      </c>
      <c r="U758" s="6">
        <v>0</v>
      </c>
      <c r="V758" s="6">
        <v>0</v>
      </c>
      <c r="W758" s="6">
        <v>0</v>
      </c>
      <c r="X758" s="6">
        <v>0</v>
      </c>
      <c r="Y758" t="s">
        <v>171</v>
      </c>
      <c r="AD758">
        <f>1/6</f>
        <v>0.16666666666666666</v>
      </c>
      <c r="AE758">
        <v>542</v>
      </c>
      <c r="AF758">
        <v>1</v>
      </c>
      <c r="AG758" s="9">
        <v>2.4E-2</v>
      </c>
      <c r="AH758" s="9">
        <v>1.4</v>
      </c>
      <c r="AI758" s="9">
        <v>0.38</v>
      </c>
      <c r="AJ758" s="9">
        <v>0.04</v>
      </c>
      <c r="AK758" s="9">
        <v>5.0000000000000001E-3</v>
      </c>
      <c r="AL758" s="9">
        <v>17.2</v>
      </c>
      <c r="AM758" s="9">
        <v>10.7</v>
      </c>
      <c r="AN758" s="9">
        <v>2.13</v>
      </c>
      <c r="AO758" s="9">
        <v>3.5000000000000003E-2</v>
      </c>
      <c r="AQ758" s="1"/>
    </row>
    <row r="759" spans="1:43" x14ac:dyDescent="0.3">
      <c r="A759" t="s">
        <v>215</v>
      </c>
      <c r="B759" s="1" t="s">
        <v>1734</v>
      </c>
      <c r="C759">
        <v>54</v>
      </c>
      <c r="D759" s="8">
        <v>1.4403999999999999</v>
      </c>
      <c r="E759">
        <v>220</v>
      </c>
      <c r="F759">
        <v>0.48</v>
      </c>
      <c r="G759" t="s">
        <v>193</v>
      </c>
      <c r="H759">
        <v>7</v>
      </c>
      <c r="I759" s="4">
        <v>-0.2</v>
      </c>
      <c r="J759" s="3">
        <v>8.3333333333333301E-2</v>
      </c>
      <c r="L759" t="s">
        <v>172</v>
      </c>
      <c r="N759" s="3">
        <v>1.4104372355430182E-2</v>
      </c>
      <c r="O759" s="3">
        <v>0</v>
      </c>
      <c r="P759">
        <v>20</v>
      </c>
      <c r="Q759">
        <v>7</v>
      </c>
      <c r="R759" t="s">
        <v>102</v>
      </c>
      <c r="S759">
        <v>0</v>
      </c>
      <c r="T759" s="6">
        <f>10^-(14-Q759)</f>
        <v>9.9999999999999995E-8</v>
      </c>
      <c r="U759" s="6">
        <v>0</v>
      </c>
      <c r="V759" s="6">
        <v>0</v>
      </c>
      <c r="W759" s="6">
        <v>0</v>
      </c>
      <c r="X759" s="6">
        <v>0</v>
      </c>
      <c r="Y759" t="s">
        <v>171</v>
      </c>
      <c r="AD759">
        <f>1/6</f>
        <v>0.16666666666666666</v>
      </c>
      <c r="AE759">
        <v>622</v>
      </c>
      <c r="AF759">
        <v>1</v>
      </c>
      <c r="AG759" s="9">
        <v>2.4E-2</v>
      </c>
      <c r="AH759" s="9">
        <v>1.4</v>
      </c>
      <c r="AI759" s="9">
        <v>0.38</v>
      </c>
      <c r="AJ759" s="9">
        <v>0.04</v>
      </c>
      <c r="AK759" s="9">
        <v>5.0000000000000001E-3</v>
      </c>
      <c r="AL759" s="9">
        <v>17.2</v>
      </c>
      <c r="AM759" s="9">
        <v>10.7</v>
      </c>
      <c r="AN759" s="9">
        <v>2.13</v>
      </c>
      <c r="AO759" s="9">
        <v>3.5000000000000003E-2</v>
      </c>
      <c r="AQ759" s="1"/>
    </row>
    <row r="760" spans="1:43" x14ac:dyDescent="0.3">
      <c r="A760" t="s">
        <v>216</v>
      </c>
      <c r="B760" s="1" t="s">
        <v>1734</v>
      </c>
      <c r="C760">
        <v>54</v>
      </c>
      <c r="D760" s="8">
        <v>1.4403999999999999</v>
      </c>
      <c r="E760">
        <v>220</v>
      </c>
      <c r="F760">
        <v>0.48</v>
      </c>
      <c r="G760" t="s">
        <v>193</v>
      </c>
      <c r="H760">
        <v>7</v>
      </c>
      <c r="I760" s="4">
        <v>-0.2</v>
      </c>
      <c r="J760" s="3">
        <v>8.3333333333333301E-2</v>
      </c>
      <c r="L760" t="s">
        <v>172</v>
      </c>
      <c r="N760" s="3">
        <v>2.8208744710860365E-2</v>
      </c>
      <c r="O760" s="3">
        <v>0</v>
      </c>
      <c r="P760">
        <v>20</v>
      </c>
      <c r="Q760">
        <v>7</v>
      </c>
      <c r="R760" t="s">
        <v>102</v>
      </c>
      <c r="S760">
        <v>0</v>
      </c>
      <c r="T760" s="6">
        <f>10^-(14-Q760)</f>
        <v>9.9999999999999995E-8</v>
      </c>
      <c r="U760" s="6">
        <v>0</v>
      </c>
      <c r="V760" s="6">
        <v>0</v>
      </c>
      <c r="W760" s="6">
        <v>0</v>
      </c>
      <c r="X760" s="6">
        <v>0</v>
      </c>
      <c r="Y760" t="s">
        <v>171</v>
      </c>
      <c r="AD760">
        <f>1/6</f>
        <v>0.16666666666666666</v>
      </c>
      <c r="AE760">
        <v>569</v>
      </c>
      <c r="AF760">
        <v>1</v>
      </c>
      <c r="AG760" s="9">
        <v>2.4E-2</v>
      </c>
      <c r="AH760" s="9">
        <v>1.4</v>
      </c>
      <c r="AI760" s="9">
        <v>0.38</v>
      </c>
      <c r="AJ760" s="9">
        <v>0.04</v>
      </c>
      <c r="AK760" s="9">
        <v>5.0000000000000001E-3</v>
      </c>
      <c r="AL760" s="9">
        <v>17.2</v>
      </c>
      <c r="AM760" s="9">
        <v>10.7</v>
      </c>
      <c r="AN760" s="9">
        <v>2.13</v>
      </c>
      <c r="AO760" s="9">
        <v>3.5000000000000003E-2</v>
      </c>
      <c r="AQ760" s="1"/>
    </row>
    <row r="761" spans="1:43" x14ac:dyDescent="0.3">
      <c r="A761" t="s">
        <v>217</v>
      </c>
      <c r="B761" s="1" t="s">
        <v>1734</v>
      </c>
      <c r="C761">
        <v>54</v>
      </c>
      <c r="D761" s="8">
        <v>1.4403999999999999</v>
      </c>
      <c r="E761">
        <v>220</v>
      </c>
      <c r="F761">
        <v>0.48</v>
      </c>
      <c r="G761" t="s">
        <v>193</v>
      </c>
      <c r="H761">
        <v>7</v>
      </c>
      <c r="I761" s="4">
        <v>-0.2</v>
      </c>
      <c r="J761" s="3">
        <v>8.3333333333333301E-2</v>
      </c>
      <c r="L761" t="s">
        <v>172</v>
      </c>
      <c r="N761" s="3">
        <v>5.6417489421720729E-2</v>
      </c>
      <c r="O761" s="3">
        <v>0</v>
      </c>
      <c r="P761">
        <v>20</v>
      </c>
      <c r="Q761">
        <v>7</v>
      </c>
      <c r="R761" t="s">
        <v>102</v>
      </c>
      <c r="S761">
        <v>0</v>
      </c>
      <c r="T761" s="6">
        <f>10^-(14-Q761)</f>
        <v>9.9999999999999995E-8</v>
      </c>
      <c r="U761" s="6">
        <v>0</v>
      </c>
      <c r="V761" s="6">
        <v>0</v>
      </c>
      <c r="W761" s="6">
        <v>0</v>
      </c>
      <c r="X761" s="6">
        <v>0</v>
      </c>
      <c r="Y761" t="s">
        <v>171</v>
      </c>
      <c r="AD761">
        <f>1/6</f>
        <v>0.16666666666666666</v>
      </c>
      <c r="AE761">
        <v>549</v>
      </c>
      <c r="AF761">
        <v>1</v>
      </c>
      <c r="AG761" s="9">
        <v>2.4E-2</v>
      </c>
      <c r="AH761" s="9">
        <v>1.4</v>
      </c>
      <c r="AI761" s="9">
        <v>0.38</v>
      </c>
      <c r="AJ761" s="9">
        <v>0.04</v>
      </c>
      <c r="AK761" s="9">
        <v>5.0000000000000001E-3</v>
      </c>
      <c r="AL761" s="9">
        <v>17.2</v>
      </c>
      <c r="AM761" s="9">
        <v>10.7</v>
      </c>
      <c r="AN761" s="9">
        <v>2.13</v>
      </c>
      <c r="AO761" s="9">
        <v>3.5000000000000003E-2</v>
      </c>
      <c r="AQ761" s="1"/>
    </row>
    <row r="762" spans="1:43" x14ac:dyDescent="0.3">
      <c r="A762" t="s">
        <v>218</v>
      </c>
      <c r="B762" s="1" t="s">
        <v>1734</v>
      </c>
      <c r="C762">
        <v>54</v>
      </c>
      <c r="D762" s="8">
        <v>1.4403999999999999</v>
      </c>
      <c r="E762">
        <v>220</v>
      </c>
      <c r="F762">
        <v>0.48</v>
      </c>
      <c r="G762" t="s">
        <v>193</v>
      </c>
      <c r="H762">
        <v>7</v>
      </c>
      <c r="I762" s="4">
        <v>-0.2</v>
      </c>
      <c r="J762" s="3">
        <v>8.3333333333333301E-2</v>
      </c>
      <c r="L762" t="s">
        <v>172</v>
      </c>
      <c r="N762" s="3">
        <v>0.14104372355430181</v>
      </c>
      <c r="O762" s="3">
        <v>0</v>
      </c>
      <c r="P762">
        <v>20</v>
      </c>
      <c r="Q762">
        <v>7</v>
      </c>
      <c r="R762" t="s">
        <v>102</v>
      </c>
      <c r="S762">
        <v>0</v>
      </c>
      <c r="T762" s="6">
        <f>10^-(14-Q762)</f>
        <v>9.9999999999999995E-8</v>
      </c>
      <c r="U762" s="6">
        <v>0</v>
      </c>
      <c r="V762" s="6">
        <v>0</v>
      </c>
      <c r="W762" s="6">
        <v>0</v>
      </c>
      <c r="X762" s="6">
        <v>0</v>
      </c>
      <c r="Y762" t="s">
        <v>171</v>
      </c>
      <c r="AD762">
        <f>1/6</f>
        <v>0.16666666666666666</v>
      </c>
      <c r="AE762">
        <v>542</v>
      </c>
      <c r="AF762">
        <v>1</v>
      </c>
      <c r="AG762" s="9">
        <v>2.4E-2</v>
      </c>
      <c r="AH762" s="9">
        <v>1.4</v>
      </c>
      <c r="AI762" s="9">
        <v>0.38</v>
      </c>
      <c r="AJ762" s="9">
        <v>0.04</v>
      </c>
      <c r="AK762" s="9">
        <v>5.0000000000000001E-3</v>
      </c>
      <c r="AL762" s="9">
        <v>17.2</v>
      </c>
      <c r="AM762" s="9">
        <v>10.7</v>
      </c>
      <c r="AN762" s="9">
        <v>2.13</v>
      </c>
      <c r="AO762" s="9">
        <v>3.5000000000000003E-2</v>
      </c>
      <c r="AQ762" s="1"/>
    </row>
    <row r="763" spans="1:43" x14ac:dyDescent="0.3">
      <c r="A763" t="s">
        <v>219</v>
      </c>
      <c r="B763" s="1" t="s">
        <v>1734</v>
      </c>
      <c r="C763">
        <v>54</v>
      </c>
      <c r="D763" s="8">
        <v>1.4403999999999999</v>
      </c>
      <c r="E763">
        <v>220</v>
      </c>
      <c r="F763">
        <v>0.48</v>
      </c>
      <c r="G763" t="s">
        <v>193</v>
      </c>
      <c r="H763">
        <v>7</v>
      </c>
      <c r="I763" s="4">
        <v>-0.2</v>
      </c>
      <c r="J763" s="3">
        <v>8.3333333333333301E-2</v>
      </c>
      <c r="L763" t="s">
        <v>172</v>
      </c>
      <c r="N763" s="3">
        <v>0.28208744710860362</v>
      </c>
      <c r="O763" s="3">
        <v>0</v>
      </c>
      <c r="P763">
        <v>20</v>
      </c>
      <c r="Q763">
        <v>7</v>
      </c>
      <c r="R763" t="s">
        <v>102</v>
      </c>
      <c r="S763">
        <v>0</v>
      </c>
      <c r="T763" s="6">
        <f>10^-(14-Q763)</f>
        <v>9.9999999999999995E-8</v>
      </c>
      <c r="U763" s="6">
        <v>0</v>
      </c>
      <c r="V763" s="6">
        <v>0</v>
      </c>
      <c r="W763" s="6">
        <v>0</v>
      </c>
      <c r="X763" s="6">
        <v>0</v>
      </c>
      <c r="Y763" t="s">
        <v>171</v>
      </c>
      <c r="AD763">
        <f>1/6</f>
        <v>0.16666666666666666</v>
      </c>
      <c r="AE763">
        <v>429</v>
      </c>
      <c r="AF763">
        <v>1</v>
      </c>
      <c r="AG763" s="9">
        <v>2.4E-2</v>
      </c>
      <c r="AH763" s="9">
        <v>1.4</v>
      </c>
      <c r="AI763" s="9">
        <v>0.38</v>
      </c>
      <c r="AJ763" s="9">
        <v>0.04</v>
      </c>
      <c r="AK763" s="9">
        <v>5.0000000000000001E-3</v>
      </c>
      <c r="AL763" s="9">
        <v>17.2</v>
      </c>
      <c r="AM763" s="9">
        <v>10.7</v>
      </c>
      <c r="AN763" s="9">
        <v>2.13</v>
      </c>
      <c r="AO763" s="9">
        <v>3.5000000000000003E-2</v>
      </c>
      <c r="AQ763" s="1"/>
    </row>
    <row r="764" spans="1:43" x14ac:dyDescent="0.3">
      <c r="A764" t="s">
        <v>220</v>
      </c>
      <c r="B764" s="1" t="s">
        <v>1734</v>
      </c>
      <c r="C764">
        <v>54</v>
      </c>
      <c r="D764" s="8">
        <v>1.4403999999999999</v>
      </c>
      <c r="E764">
        <v>220</v>
      </c>
      <c r="F764">
        <v>0.48</v>
      </c>
      <c r="G764" t="s">
        <v>193</v>
      </c>
      <c r="H764">
        <v>7</v>
      </c>
      <c r="I764" s="4">
        <v>-0.2</v>
      </c>
      <c r="J764" s="3">
        <v>8.3333333333333301E-2</v>
      </c>
      <c r="L764" t="s">
        <v>172</v>
      </c>
      <c r="N764" s="3">
        <v>0.56417489421720723</v>
      </c>
      <c r="O764" s="3">
        <v>0</v>
      </c>
      <c r="P764">
        <v>20</v>
      </c>
      <c r="Q764">
        <v>7</v>
      </c>
      <c r="R764" t="s">
        <v>102</v>
      </c>
      <c r="S764">
        <v>0</v>
      </c>
      <c r="T764" s="6">
        <f>10^-(14-Q764)</f>
        <v>9.9999999999999995E-8</v>
      </c>
      <c r="U764" s="6">
        <v>0</v>
      </c>
      <c r="V764" s="6">
        <v>0</v>
      </c>
      <c r="W764" s="6">
        <v>0</v>
      </c>
      <c r="X764" s="6">
        <v>0</v>
      </c>
      <c r="Y764" t="s">
        <v>171</v>
      </c>
      <c r="AD764">
        <f>1/6</f>
        <v>0.16666666666666666</v>
      </c>
      <c r="AE764">
        <v>439</v>
      </c>
      <c r="AF764">
        <v>1</v>
      </c>
      <c r="AG764" s="9">
        <v>2.4E-2</v>
      </c>
      <c r="AH764" s="9">
        <v>1.4</v>
      </c>
      <c r="AI764" s="9">
        <v>0.38</v>
      </c>
      <c r="AJ764" s="9">
        <v>0.04</v>
      </c>
      <c r="AK764" s="9">
        <v>5.0000000000000001E-3</v>
      </c>
      <c r="AL764" s="9">
        <v>17.2</v>
      </c>
      <c r="AM764" s="9">
        <v>10.7</v>
      </c>
      <c r="AN764" s="9">
        <v>2.13</v>
      </c>
      <c r="AO764" s="9">
        <v>3.5000000000000003E-2</v>
      </c>
      <c r="AQ764" s="1"/>
    </row>
    <row r="765" spans="1:43" x14ac:dyDescent="0.3">
      <c r="A765" t="s">
        <v>221</v>
      </c>
      <c r="B765" s="1" t="s">
        <v>1734</v>
      </c>
      <c r="C765">
        <v>54</v>
      </c>
      <c r="D765" s="8">
        <v>1.4403999999999999</v>
      </c>
      <c r="E765">
        <v>220</v>
      </c>
      <c r="F765">
        <v>0.48</v>
      </c>
      <c r="G765" t="s">
        <v>193</v>
      </c>
      <c r="H765">
        <v>7</v>
      </c>
      <c r="I765" s="4">
        <v>-0.2</v>
      </c>
      <c r="J765" s="3">
        <v>8.3333333333333301E-2</v>
      </c>
      <c r="L765" t="s">
        <v>172</v>
      </c>
      <c r="N765" s="3">
        <v>1.4104372355430181</v>
      </c>
      <c r="O765" s="3">
        <v>0</v>
      </c>
      <c r="P765">
        <v>20</v>
      </c>
      <c r="Q765">
        <v>7</v>
      </c>
      <c r="R765" t="s">
        <v>102</v>
      </c>
      <c r="S765">
        <v>0</v>
      </c>
      <c r="T765" s="6">
        <f>10^-(14-Q765)</f>
        <v>9.9999999999999995E-8</v>
      </c>
      <c r="U765" s="6">
        <v>0</v>
      </c>
      <c r="V765" s="6">
        <v>0</v>
      </c>
      <c r="W765" s="6">
        <v>0</v>
      </c>
      <c r="X765" s="6">
        <v>0</v>
      </c>
      <c r="Y765" t="s">
        <v>171</v>
      </c>
      <c r="AD765">
        <f>1/6</f>
        <v>0.16666666666666666</v>
      </c>
      <c r="AE765">
        <v>446</v>
      </c>
      <c r="AF765">
        <v>1</v>
      </c>
      <c r="AG765" s="9">
        <v>2.4E-2</v>
      </c>
      <c r="AH765" s="9">
        <v>1.4</v>
      </c>
      <c r="AI765" s="9">
        <v>0.38</v>
      </c>
      <c r="AJ765" s="9">
        <v>0.04</v>
      </c>
      <c r="AK765" s="9">
        <v>5.0000000000000001E-3</v>
      </c>
      <c r="AL765" s="9">
        <v>17.2</v>
      </c>
      <c r="AM765" s="9">
        <v>10.7</v>
      </c>
      <c r="AN765" s="9">
        <v>2.13</v>
      </c>
      <c r="AO765" s="9">
        <v>3.5000000000000003E-2</v>
      </c>
      <c r="AQ765" s="1"/>
    </row>
    <row r="766" spans="1:43" x14ac:dyDescent="0.3">
      <c r="A766" t="s">
        <v>222</v>
      </c>
      <c r="B766" s="1" t="s">
        <v>1734</v>
      </c>
      <c r="C766">
        <v>54</v>
      </c>
      <c r="D766" s="8">
        <v>1.4403999999999999</v>
      </c>
      <c r="E766">
        <v>220</v>
      </c>
      <c r="F766">
        <v>0.48</v>
      </c>
      <c r="G766" t="s">
        <v>193</v>
      </c>
      <c r="H766">
        <v>7</v>
      </c>
      <c r="I766" s="4">
        <v>-0.2</v>
      </c>
      <c r="J766" s="3">
        <v>8.3333333333333301E-2</v>
      </c>
      <c r="L766" t="s">
        <v>172</v>
      </c>
      <c r="N766" s="3">
        <v>1.4104372355430182E-2</v>
      </c>
      <c r="O766" s="3">
        <v>0</v>
      </c>
      <c r="P766">
        <v>30</v>
      </c>
      <c r="Q766">
        <v>7</v>
      </c>
      <c r="R766" t="s">
        <v>102</v>
      </c>
      <c r="S766">
        <v>0</v>
      </c>
      <c r="T766" s="6">
        <f>10^-(14-Q766)</f>
        <v>9.9999999999999995E-8</v>
      </c>
      <c r="U766" s="6">
        <v>0</v>
      </c>
      <c r="V766" s="6">
        <v>0</v>
      </c>
      <c r="W766" s="6">
        <v>0</v>
      </c>
      <c r="X766" s="6">
        <v>0</v>
      </c>
      <c r="Y766" t="s">
        <v>171</v>
      </c>
      <c r="AD766">
        <f>1/6</f>
        <v>0.16666666666666666</v>
      </c>
      <c r="AE766">
        <v>516</v>
      </c>
      <c r="AF766">
        <v>1</v>
      </c>
      <c r="AG766" s="9">
        <v>2.4E-2</v>
      </c>
      <c r="AH766" s="9">
        <v>1.4</v>
      </c>
      <c r="AI766" s="9">
        <v>0.38</v>
      </c>
      <c r="AJ766" s="9">
        <v>0.04</v>
      </c>
      <c r="AK766" s="9">
        <v>5.0000000000000001E-3</v>
      </c>
      <c r="AL766" s="9">
        <v>17.2</v>
      </c>
      <c r="AM766" s="9">
        <v>10.7</v>
      </c>
      <c r="AN766" s="9">
        <v>2.13</v>
      </c>
      <c r="AO766" s="9">
        <v>3.5000000000000003E-2</v>
      </c>
      <c r="AQ766" s="1"/>
    </row>
    <row r="767" spans="1:43" x14ac:dyDescent="0.3">
      <c r="A767" t="s">
        <v>223</v>
      </c>
      <c r="B767" s="1" t="s">
        <v>1734</v>
      </c>
      <c r="C767">
        <v>54</v>
      </c>
      <c r="D767" s="8">
        <v>1.4403999999999999</v>
      </c>
      <c r="E767">
        <v>220</v>
      </c>
      <c r="F767">
        <v>0.48</v>
      </c>
      <c r="G767" t="s">
        <v>193</v>
      </c>
      <c r="H767">
        <v>7</v>
      </c>
      <c r="I767" s="4">
        <v>-0.2</v>
      </c>
      <c r="J767" s="3">
        <v>8.3333333333333301E-2</v>
      </c>
      <c r="L767" t="s">
        <v>172</v>
      </c>
      <c r="N767" s="3">
        <v>2.8208744710860365E-2</v>
      </c>
      <c r="O767" s="3">
        <v>0</v>
      </c>
      <c r="P767">
        <v>30</v>
      </c>
      <c r="Q767">
        <v>7</v>
      </c>
      <c r="R767" t="s">
        <v>102</v>
      </c>
      <c r="S767">
        <v>0</v>
      </c>
      <c r="T767" s="6">
        <f>10^-(14-Q767)</f>
        <v>9.9999999999999995E-8</v>
      </c>
      <c r="U767" s="6">
        <v>0</v>
      </c>
      <c r="V767" s="6">
        <v>0</v>
      </c>
      <c r="W767" s="6">
        <v>0</v>
      </c>
      <c r="X767" s="6">
        <v>0</v>
      </c>
      <c r="Y767" t="s">
        <v>171</v>
      </c>
      <c r="AD767">
        <f>1/6</f>
        <v>0.16666666666666666</v>
      </c>
      <c r="AE767">
        <v>398</v>
      </c>
      <c r="AF767">
        <v>1</v>
      </c>
      <c r="AG767" s="9">
        <v>2.4E-2</v>
      </c>
      <c r="AH767" s="9">
        <v>1.4</v>
      </c>
      <c r="AI767" s="9">
        <v>0.38</v>
      </c>
      <c r="AJ767" s="9">
        <v>0.04</v>
      </c>
      <c r="AK767" s="9">
        <v>5.0000000000000001E-3</v>
      </c>
      <c r="AL767" s="9">
        <v>17.2</v>
      </c>
      <c r="AM767" s="9">
        <v>10.7</v>
      </c>
      <c r="AN767" s="9">
        <v>2.13</v>
      </c>
      <c r="AO767" s="9">
        <v>3.5000000000000003E-2</v>
      </c>
      <c r="AQ767" s="1"/>
    </row>
    <row r="768" spans="1:43" x14ac:dyDescent="0.3">
      <c r="A768" t="s">
        <v>224</v>
      </c>
      <c r="B768" s="1" t="s">
        <v>1734</v>
      </c>
      <c r="C768">
        <v>54</v>
      </c>
      <c r="D768" s="8">
        <v>1.4403999999999999</v>
      </c>
      <c r="E768">
        <v>220</v>
      </c>
      <c r="F768">
        <v>0.48</v>
      </c>
      <c r="G768" t="s">
        <v>193</v>
      </c>
      <c r="H768">
        <v>7</v>
      </c>
      <c r="I768" s="4">
        <v>-0.2</v>
      </c>
      <c r="J768" s="3">
        <v>8.3333333333333301E-2</v>
      </c>
      <c r="L768" t="s">
        <v>172</v>
      </c>
      <c r="N768" s="3">
        <v>5.6417489421720729E-2</v>
      </c>
      <c r="O768" s="3">
        <v>0</v>
      </c>
      <c r="P768">
        <v>30</v>
      </c>
      <c r="Q768">
        <v>7</v>
      </c>
      <c r="R768" t="s">
        <v>102</v>
      </c>
      <c r="S768">
        <v>0</v>
      </c>
      <c r="T768" s="6">
        <f>10^-(14-Q768)</f>
        <v>9.9999999999999995E-8</v>
      </c>
      <c r="U768" s="6">
        <v>0</v>
      </c>
      <c r="V768" s="6">
        <v>0</v>
      </c>
      <c r="W768" s="6">
        <v>0</v>
      </c>
      <c r="X768" s="6">
        <v>0</v>
      </c>
      <c r="Y768" t="s">
        <v>171</v>
      </c>
      <c r="AD768">
        <f>1/6</f>
        <v>0.16666666666666666</v>
      </c>
      <c r="AE768">
        <v>416</v>
      </c>
      <c r="AF768">
        <v>1</v>
      </c>
      <c r="AG768" s="9">
        <v>2.4E-2</v>
      </c>
      <c r="AH768" s="9">
        <v>1.4</v>
      </c>
      <c r="AI768" s="9">
        <v>0.38</v>
      </c>
      <c r="AJ768" s="9">
        <v>0.04</v>
      </c>
      <c r="AK768" s="9">
        <v>5.0000000000000001E-3</v>
      </c>
      <c r="AL768" s="9">
        <v>17.2</v>
      </c>
      <c r="AM768" s="9">
        <v>10.7</v>
      </c>
      <c r="AN768" s="9">
        <v>2.13</v>
      </c>
      <c r="AO768" s="9">
        <v>3.5000000000000003E-2</v>
      </c>
      <c r="AQ768" s="1"/>
    </row>
    <row r="769" spans="1:43" x14ac:dyDescent="0.3">
      <c r="A769" t="s">
        <v>225</v>
      </c>
      <c r="B769" s="1" t="s">
        <v>1734</v>
      </c>
      <c r="C769">
        <v>54</v>
      </c>
      <c r="D769" s="8">
        <v>1.4403999999999999</v>
      </c>
      <c r="E769">
        <v>220</v>
      </c>
      <c r="F769">
        <v>0.48</v>
      </c>
      <c r="G769" t="s">
        <v>193</v>
      </c>
      <c r="H769">
        <v>7</v>
      </c>
      <c r="I769" s="4">
        <v>-0.2</v>
      </c>
      <c r="J769" s="3">
        <v>8.3333333333333301E-2</v>
      </c>
      <c r="L769" t="s">
        <v>172</v>
      </c>
      <c r="N769" s="3">
        <v>0.14104372355430181</v>
      </c>
      <c r="O769" s="3">
        <v>0</v>
      </c>
      <c r="P769">
        <v>30</v>
      </c>
      <c r="Q769">
        <v>7</v>
      </c>
      <c r="R769" t="s">
        <v>102</v>
      </c>
      <c r="S769">
        <v>0</v>
      </c>
      <c r="T769" s="6">
        <f>10^-(14-Q769)</f>
        <v>9.9999999999999995E-8</v>
      </c>
      <c r="U769" s="6">
        <v>0</v>
      </c>
      <c r="V769" s="6">
        <v>0</v>
      </c>
      <c r="W769" s="6">
        <v>0</v>
      </c>
      <c r="X769" s="6">
        <v>0</v>
      </c>
      <c r="Y769" t="s">
        <v>171</v>
      </c>
      <c r="AD769">
        <f>1/6</f>
        <v>0.16666666666666666</v>
      </c>
      <c r="AE769">
        <v>365</v>
      </c>
      <c r="AF769">
        <v>1</v>
      </c>
      <c r="AG769" s="9">
        <v>2.4E-2</v>
      </c>
      <c r="AH769" s="9">
        <v>1.4</v>
      </c>
      <c r="AI769" s="9">
        <v>0.38</v>
      </c>
      <c r="AJ769" s="9">
        <v>0.04</v>
      </c>
      <c r="AK769" s="9">
        <v>5.0000000000000001E-3</v>
      </c>
      <c r="AL769" s="9">
        <v>17.2</v>
      </c>
      <c r="AM769" s="9">
        <v>10.7</v>
      </c>
      <c r="AN769" s="9">
        <v>2.13</v>
      </c>
      <c r="AO769" s="9">
        <v>3.5000000000000003E-2</v>
      </c>
      <c r="AQ769" s="1"/>
    </row>
    <row r="770" spans="1:43" x14ac:dyDescent="0.3">
      <c r="A770" t="s">
        <v>226</v>
      </c>
      <c r="B770" s="1" t="s">
        <v>1734</v>
      </c>
      <c r="C770">
        <v>54</v>
      </c>
      <c r="D770" s="8">
        <v>1.4403999999999999</v>
      </c>
      <c r="E770">
        <v>220</v>
      </c>
      <c r="F770">
        <v>0.48</v>
      </c>
      <c r="G770" t="s">
        <v>193</v>
      </c>
      <c r="H770">
        <v>7</v>
      </c>
      <c r="I770" s="4">
        <v>-0.2</v>
      </c>
      <c r="J770" s="3">
        <v>8.3333333333333301E-2</v>
      </c>
      <c r="L770" t="s">
        <v>172</v>
      </c>
      <c r="N770" s="3">
        <v>0.28208744710860362</v>
      </c>
      <c r="O770" s="3">
        <v>0</v>
      </c>
      <c r="P770">
        <v>30</v>
      </c>
      <c r="Q770">
        <v>7</v>
      </c>
      <c r="R770" t="s">
        <v>102</v>
      </c>
      <c r="S770">
        <v>0</v>
      </c>
      <c r="T770" s="6">
        <f>10^-(14-Q770)</f>
        <v>9.9999999999999995E-8</v>
      </c>
      <c r="U770" s="6">
        <v>0</v>
      </c>
      <c r="V770" s="6">
        <v>0</v>
      </c>
      <c r="W770" s="6">
        <v>0</v>
      </c>
      <c r="X770" s="6">
        <v>0</v>
      </c>
      <c r="Y770" t="s">
        <v>171</v>
      </c>
      <c r="AD770">
        <f>1/6</f>
        <v>0.16666666666666666</v>
      </c>
      <c r="AE770">
        <v>289</v>
      </c>
      <c r="AF770">
        <v>1</v>
      </c>
      <c r="AG770" s="9">
        <v>2.4E-2</v>
      </c>
      <c r="AH770" s="9">
        <v>1.4</v>
      </c>
      <c r="AI770" s="9">
        <v>0.38</v>
      </c>
      <c r="AJ770" s="9">
        <v>0.04</v>
      </c>
      <c r="AK770" s="9">
        <v>5.0000000000000001E-3</v>
      </c>
      <c r="AL770" s="9">
        <v>17.2</v>
      </c>
      <c r="AM770" s="9">
        <v>10.7</v>
      </c>
      <c r="AN770" s="9">
        <v>2.13</v>
      </c>
      <c r="AO770" s="9">
        <v>3.5000000000000003E-2</v>
      </c>
      <c r="AQ770" s="1"/>
    </row>
    <row r="771" spans="1:43" x14ac:dyDescent="0.3">
      <c r="A771" t="s">
        <v>227</v>
      </c>
      <c r="B771" s="1" t="s">
        <v>1734</v>
      </c>
      <c r="C771">
        <v>54</v>
      </c>
      <c r="D771" s="8">
        <v>1.4403999999999999</v>
      </c>
      <c r="E771">
        <v>220</v>
      </c>
      <c r="F771">
        <v>0.48</v>
      </c>
      <c r="G771" t="s">
        <v>193</v>
      </c>
      <c r="H771">
        <v>7</v>
      </c>
      <c r="I771" s="4">
        <v>-0.2</v>
      </c>
      <c r="J771" s="3">
        <v>8.3333333333333301E-2</v>
      </c>
      <c r="L771" t="s">
        <v>172</v>
      </c>
      <c r="N771" s="3">
        <v>0.56417489421720723</v>
      </c>
      <c r="O771" s="3">
        <v>0</v>
      </c>
      <c r="P771">
        <v>30</v>
      </c>
      <c r="Q771">
        <v>7</v>
      </c>
      <c r="R771" t="s">
        <v>102</v>
      </c>
      <c r="S771">
        <v>0</v>
      </c>
      <c r="T771" s="6">
        <f>10^-(14-Q771)</f>
        <v>9.9999999999999995E-8</v>
      </c>
      <c r="U771" s="6">
        <v>0</v>
      </c>
      <c r="V771" s="6">
        <v>0</v>
      </c>
      <c r="W771" s="6">
        <v>0</v>
      </c>
      <c r="X771" s="6">
        <v>0</v>
      </c>
      <c r="Y771" t="s">
        <v>171</v>
      </c>
      <c r="AD771">
        <f>1/6</f>
        <v>0.16666666666666666</v>
      </c>
      <c r="AE771">
        <v>196</v>
      </c>
      <c r="AF771">
        <v>1</v>
      </c>
      <c r="AG771" s="9">
        <v>2.4E-2</v>
      </c>
      <c r="AH771" s="9">
        <v>1.4</v>
      </c>
      <c r="AI771" s="9">
        <v>0.38</v>
      </c>
      <c r="AJ771" s="9">
        <v>0.04</v>
      </c>
      <c r="AK771" s="9">
        <v>5.0000000000000001E-3</v>
      </c>
      <c r="AL771" s="9">
        <v>17.2</v>
      </c>
      <c r="AM771" s="9">
        <v>10.7</v>
      </c>
      <c r="AN771" s="9">
        <v>2.13</v>
      </c>
      <c r="AO771" s="9">
        <v>3.5000000000000003E-2</v>
      </c>
      <c r="AQ771" s="1"/>
    </row>
    <row r="772" spans="1:43" x14ac:dyDescent="0.3">
      <c r="A772" t="s">
        <v>228</v>
      </c>
      <c r="B772" s="1" t="s">
        <v>1734</v>
      </c>
      <c r="C772">
        <v>54</v>
      </c>
      <c r="D772" s="8">
        <v>1.4403999999999999</v>
      </c>
      <c r="E772">
        <v>220</v>
      </c>
      <c r="F772">
        <v>0.48</v>
      </c>
      <c r="G772" t="s">
        <v>193</v>
      </c>
      <c r="H772">
        <v>7</v>
      </c>
      <c r="I772" s="4">
        <v>-0.2</v>
      </c>
      <c r="J772" s="3">
        <v>8.3333333333333301E-2</v>
      </c>
      <c r="L772" t="s">
        <v>172</v>
      </c>
      <c r="N772" s="3">
        <v>1.4104372355430181</v>
      </c>
      <c r="O772" s="3">
        <v>0</v>
      </c>
      <c r="P772">
        <v>30</v>
      </c>
      <c r="Q772">
        <v>7</v>
      </c>
      <c r="R772" t="s">
        <v>102</v>
      </c>
      <c r="S772">
        <v>0</v>
      </c>
      <c r="T772" s="6">
        <f>10^-(14-Q772)</f>
        <v>9.9999999999999995E-8</v>
      </c>
      <c r="U772" s="6">
        <v>0</v>
      </c>
      <c r="V772" s="6">
        <v>0</v>
      </c>
      <c r="W772" s="6">
        <v>0</v>
      </c>
      <c r="X772" s="6">
        <v>0</v>
      </c>
      <c r="Y772" t="s">
        <v>171</v>
      </c>
      <c r="AD772">
        <f>1/6</f>
        <v>0.16666666666666666</v>
      </c>
      <c r="AE772">
        <v>184</v>
      </c>
      <c r="AF772">
        <v>1</v>
      </c>
      <c r="AG772" s="9">
        <v>2.4E-2</v>
      </c>
      <c r="AH772" s="9">
        <v>1.4</v>
      </c>
      <c r="AI772" s="9">
        <v>0.38</v>
      </c>
      <c r="AJ772" s="9">
        <v>0.04</v>
      </c>
      <c r="AK772" s="9">
        <v>5.0000000000000001E-3</v>
      </c>
      <c r="AL772" s="9">
        <v>17.2</v>
      </c>
      <c r="AM772" s="9">
        <v>10.7</v>
      </c>
      <c r="AN772" s="9">
        <v>2.13</v>
      </c>
      <c r="AO772" s="9">
        <v>3.5000000000000003E-2</v>
      </c>
      <c r="AQ772" s="1"/>
    </row>
    <row r="773" spans="1:43" x14ac:dyDescent="0.3">
      <c r="A773" t="s">
        <v>229</v>
      </c>
      <c r="B773" s="1" t="s">
        <v>1734</v>
      </c>
      <c r="C773">
        <v>54</v>
      </c>
      <c r="D773" s="8">
        <v>1.4403999999999999</v>
      </c>
      <c r="E773">
        <v>220</v>
      </c>
      <c r="F773">
        <v>0.48</v>
      </c>
      <c r="G773" t="s">
        <v>193</v>
      </c>
      <c r="H773">
        <v>7</v>
      </c>
      <c r="I773" s="4">
        <v>-0.2</v>
      </c>
      <c r="J773" s="3">
        <v>8.3333333333333301E-2</v>
      </c>
      <c r="L773" t="s">
        <v>172</v>
      </c>
      <c r="N773" s="3">
        <v>1.4104372355430182E-2</v>
      </c>
      <c r="O773" s="3">
        <v>0</v>
      </c>
      <c r="P773">
        <v>40</v>
      </c>
      <c r="Q773">
        <v>7</v>
      </c>
      <c r="R773" t="s">
        <v>102</v>
      </c>
      <c r="S773">
        <v>0</v>
      </c>
      <c r="T773" s="6">
        <f>10^-(14-Q773)</f>
        <v>9.9999999999999995E-8</v>
      </c>
      <c r="U773" s="6">
        <v>0</v>
      </c>
      <c r="V773" s="6">
        <v>0</v>
      </c>
      <c r="W773" s="6">
        <v>0</v>
      </c>
      <c r="X773" s="6">
        <v>0</v>
      </c>
      <c r="Y773" t="s">
        <v>171</v>
      </c>
      <c r="AD773">
        <f>1/6</f>
        <v>0.16666666666666666</v>
      </c>
      <c r="AE773">
        <v>448</v>
      </c>
      <c r="AF773">
        <v>1</v>
      </c>
      <c r="AG773" s="9">
        <v>2.4E-2</v>
      </c>
      <c r="AH773" s="9">
        <v>1.4</v>
      </c>
      <c r="AI773" s="9">
        <v>0.38</v>
      </c>
      <c r="AJ773" s="9">
        <v>0.04</v>
      </c>
      <c r="AK773" s="9">
        <v>5.0000000000000001E-3</v>
      </c>
      <c r="AL773" s="9">
        <v>17.2</v>
      </c>
      <c r="AM773" s="9">
        <v>10.7</v>
      </c>
      <c r="AN773" s="9">
        <v>2.13</v>
      </c>
      <c r="AO773" s="9">
        <v>3.5000000000000003E-2</v>
      </c>
      <c r="AQ773" s="1"/>
    </row>
    <row r="774" spans="1:43" x14ac:dyDescent="0.3">
      <c r="A774" t="s">
        <v>230</v>
      </c>
      <c r="B774" s="1" t="s">
        <v>1734</v>
      </c>
      <c r="C774">
        <v>54</v>
      </c>
      <c r="D774" s="8">
        <v>1.4403999999999999</v>
      </c>
      <c r="E774">
        <v>220</v>
      </c>
      <c r="F774">
        <v>0.48</v>
      </c>
      <c r="G774" t="s">
        <v>193</v>
      </c>
      <c r="H774">
        <v>7</v>
      </c>
      <c r="I774" s="4">
        <v>-0.2</v>
      </c>
      <c r="J774" s="3">
        <v>8.3333333333333301E-2</v>
      </c>
      <c r="L774" t="s">
        <v>172</v>
      </c>
      <c r="N774" s="3">
        <v>2.8208744710860365E-2</v>
      </c>
      <c r="O774" s="3">
        <v>0</v>
      </c>
      <c r="P774">
        <v>40</v>
      </c>
      <c r="Q774">
        <v>7</v>
      </c>
      <c r="R774" t="s">
        <v>102</v>
      </c>
      <c r="S774">
        <v>0</v>
      </c>
      <c r="T774" s="6">
        <f>10^-(14-Q774)</f>
        <v>9.9999999999999995E-8</v>
      </c>
      <c r="U774" s="6">
        <v>0</v>
      </c>
      <c r="V774" s="6">
        <v>0</v>
      </c>
      <c r="W774" s="6">
        <v>0</v>
      </c>
      <c r="X774" s="6">
        <v>0</v>
      </c>
      <c r="Y774" t="s">
        <v>171</v>
      </c>
      <c r="AD774">
        <f>1/6</f>
        <v>0.16666666666666666</v>
      </c>
      <c r="AE774">
        <v>381</v>
      </c>
      <c r="AF774">
        <v>1</v>
      </c>
      <c r="AG774" s="9">
        <v>2.4E-2</v>
      </c>
      <c r="AH774" s="9">
        <v>1.4</v>
      </c>
      <c r="AI774" s="9">
        <v>0.38</v>
      </c>
      <c r="AJ774" s="9">
        <v>0.04</v>
      </c>
      <c r="AK774" s="9">
        <v>5.0000000000000001E-3</v>
      </c>
      <c r="AL774" s="9">
        <v>17.2</v>
      </c>
      <c r="AM774" s="9">
        <v>10.7</v>
      </c>
      <c r="AN774" s="9">
        <v>2.13</v>
      </c>
      <c r="AO774" s="9">
        <v>3.5000000000000003E-2</v>
      </c>
      <c r="AQ774" s="1"/>
    </row>
    <row r="775" spans="1:43" x14ac:dyDescent="0.3">
      <c r="A775" t="s">
        <v>231</v>
      </c>
      <c r="B775" s="1" t="s">
        <v>1734</v>
      </c>
      <c r="C775">
        <v>54</v>
      </c>
      <c r="D775" s="8">
        <v>1.4403999999999999</v>
      </c>
      <c r="E775">
        <v>220</v>
      </c>
      <c r="F775">
        <v>0.48</v>
      </c>
      <c r="G775" t="s">
        <v>193</v>
      </c>
      <c r="H775">
        <v>7</v>
      </c>
      <c r="I775" s="4">
        <v>-0.2</v>
      </c>
      <c r="J775" s="3">
        <v>8.3333333333333301E-2</v>
      </c>
      <c r="L775" t="s">
        <v>172</v>
      </c>
      <c r="N775" s="3">
        <v>5.6417489421720729E-2</v>
      </c>
      <c r="O775" s="3">
        <v>0</v>
      </c>
      <c r="P775">
        <v>40</v>
      </c>
      <c r="Q775">
        <v>7</v>
      </c>
      <c r="R775" t="s">
        <v>102</v>
      </c>
      <c r="S775">
        <v>0</v>
      </c>
      <c r="T775" s="6">
        <f>10^-(14-Q775)</f>
        <v>9.9999999999999995E-8</v>
      </c>
      <c r="U775" s="6">
        <v>0</v>
      </c>
      <c r="V775" s="6">
        <v>0</v>
      </c>
      <c r="W775" s="6">
        <v>0</v>
      </c>
      <c r="X775" s="6">
        <v>0</v>
      </c>
      <c r="Y775" t="s">
        <v>171</v>
      </c>
      <c r="AD775">
        <f>1/6</f>
        <v>0.16666666666666666</v>
      </c>
      <c r="AE775">
        <v>355</v>
      </c>
      <c r="AF775">
        <v>1</v>
      </c>
      <c r="AG775" s="9">
        <v>2.4E-2</v>
      </c>
      <c r="AH775" s="9">
        <v>1.4</v>
      </c>
      <c r="AI775" s="9">
        <v>0.38</v>
      </c>
      <c r="AJ775" s="9">
        <v>0.04</v>
      </c>
      <c r="AK775" s="9">
        <v>5.0000000000000001E-3</v>
      </c>
      <c r="AL775" s="9">
        <v>17.2</v>
      </c>
      <c r="AM775" s="9">
        <v>10.7</v>
      </c>
      <c r="AN775" s="9">
        <v>2.13</v>
      </c>
      <c r="AO775" s="9">
        <v>3.5000000000000003E-2</v>
      </c>
      <c r="AQ775" s="1"/>
    </row>
    <row r="776" spans="1:43" x14ac:dyDescent="0.3">
      <c r="A776" t="s">
        <v>232</v>
      </c>
      <c r="B776" s="1" t="s">
        <v>1734</v>
      </c>
      <c r="C776">
        <v>54</v>
      </c>
      <c r="D776" s="8">
        <v>1.4403999999999999</v>
      </c>
      <c r="E776">
        <v>220</v>
      </c>
      <c r="F776">
        <v>0.48</v>
      </c>
      <c r="G776" t="s">
        <v>193</v>
      </c>
      <c r="H776">
        <v>7</v>
      </c>
      <c r="I776" s="4">
        <v>-0.2</v>
      </c>
      <c r="J776" s="3">
        <v>8.3333333333333301E-2</v>
      </c>
      <c r="L776" t="s">
        <v>172</v>
      </c>
      <c r="N776" s="3">
        <v>0.14104372355430181</v>
      </c>
      <c r="O776" s="3">
        <v>0</v>
      </c>
      <c r="P776">
        <v>40</v>
      </c>
      <c r="Q776">
        <v>7</v>
      </c>
      <c r="R776" t="s">
        <v>102</v>
      </c>
      <c r="S776">
        <v>0</v>
      </c>
      <c r="T776" s="6">
        <f>10^-(14-Q776)</f>
        <v>9.9999999999999995E-8</v>
      </c>
      <c r="U776" s="6">
        <v>0</v>
      </c>
      <c r="V776" s="6">
        <v>0</v>
      </c>
      <c r="W776" s="6">
        <v>0</v>
      </c>
      <c r="X776" s="6">
        <v>0</v>
      </c>
      <c r="Y776" t="s">
        <v>171</v>
      </c>
      <c r="AD776">
        <f>1/6</f>
        <v>0.16666666666666666</v>
      </c>
      <c r="AE776">
        <v>294</v>
      </c>
      <c r="AF776">
        <v>1</v>
      </c>
      <c r="AG776" s="9">
        <v>2.4E-2</v>
      </c>
      <c r="AH776" s="9">
        <v>1.4</v>
      </c>
      <c r="AI776" s="9">
        <v>0.38</v>
      </c>
      <c r="AJ776" s="9">
        <v>0.04</v>
      </c>
      <c r="AK776" s="9">
        <v>5.0000000000000001E-3</v>
      </c>
      <c r="AL776" s="9">
        <v>17.2</v>
      </c>
      <c r="AM776" s="9">
        <v>10.7</v>
      </c>
      <c r="AN776" s="9">
        <v>2.13</v>
      </c>
      <c r="AO776" s="9">
        <v>3.5000000000000003E-2</v>
      </c>
      <c r="AQ776" s="1"/>
    </row>
    <row r="777" spans="1:43" x14ac:dyDescent="0.3">
      <c r="A777" t="s">
        <v>233</v>
      </c>
      <c r="B777" s="1" t="s">
        <v>1734</v>
      </c>
      <c r="C777">
        <v>54</v>
      </c>
      <c r="D777" s="8">
        <v>1.4403999999999999</v>
      </c>
      <c r="E777">
        <v>220</v>
      </c>
      <c r="F777">
        <v>0.48</v>
      </c>
      <c r="G777" t="s">
        <v>193</v>
      </c>
      <c r="H777">
        <v>7</v>
      </c>
      <c r="I777" s="4">
        <v>-0.2</v>
      </c>
      <c r="J777" s="3">
        <v>8.3333333333333301E-2</v>
      </c>
      <c r="L777" t="s">
        <v>172</v>
      </c>
      <c r="N777" s="3">
        <v>0.28208744710860362</v>
      </c>
      <c r="O777" s="3">
        <v>0</v>
      </c>
      <c r="P777">
        <v>40</v>
      </c>
      <c r="Q777">
        <v>7</v>
      </c>
      <c r="R777" t="s">
        <v>102</v>
      </c>
      <c r="S777">
        <v>0</v>
      </c>
      <c r="T777" s="6">
        <f>10^-(14-Q777)</f>
        <v>9.9999999999999995E-8</v>
      </c>
      <c r="U777" s="6">
        <v>0</v>
      </c>
      <c r="V777" s="6">
        <v>0</v>
      </c>
      <c r="W777" s="6">
        <v>0</v>
      </c>
      <c r="X777" s="6">
        <v>0</v>
      </c>
      <c r="Y777" t="s">
        <v>171</v>
      </c>
      <c r="AD777">
        <f>1/6</f>
        <v>0.16666666666666666</v>
      </c>
      <c r="AE777">
        <v>202</v>
      </c>
      <c r="AF777">
        <v>1</v>
      </c>
      <c r="AG777" s="9">
        <v>2.4E-2</v>
      </c>
      <c r="AH777" s="9">
        <v>1.4</v>
      </c>
      <c r="AI777" s="9">
        <v>0.38</v>
      </c>
      <c r="AJ777" s="9">
        <v>0.04</v>
      </c>
      <c r="AK777" s="9">
        <v>5.0000000000000001E-3</v>
      </c>
      <c r="AL777" s="9">
        <v>17.2</v>
      </c>
      <c r="AM777" s="9">
        <v>10.7</v>
      </c>
      <c r="AN777" s="9">
        <v>2.13</v>
      </c>
      <c r="AO777" s="9">
        <v>3.5000000000000003E-2</v>
      </c>
      <c r="AQ777" s="1"/>
    </row>
    <row r="778" spans="1:43" x14ac:dyDescent="0.3">
      <c r="A778" t="s">
        <v>234</v>
      </c>
      <c r="B778" s="1" t="s">
        <v>1734</v>
      </c>
      <c r="C778">
        <v>54</v>
      </c>
      <c r="D778" s="8">
        <v>1.4403999999999999</v>
      </c>
      <c r="E778">
        <v>220</v>
      </c>
      <c r="F778">
        <v>0.48</v>
      </c>
      <c r="G778" t="s">
        <v>193</v>
      </c>
      <c r="H778">
        <v>7</v>
      </c>
      <c r="I778" s="4">
        <v>-0.2</v>
      </c>
      <c r="J778" s="3">
        <v>8.3333333333333301E-2</v>
      </c>
      <c r="L778" t="s">
        <v>172</v>
      </c>
      <c r="N778" s="3">
        <v>0.56417489421720723</v>
      </c>
      <c r="O778" s="3">
        <v>0</v>
      </c>
      <c r="P778">
        <v>40</v>
      </c>
      <c r="Q778">
        <v>7</v>
      </c>
      <c r="R778" t="s">
        <v>102</v>
      </c>
      <c r="S778">
        <v>0</v>
      </c>
      <c r="T778" s="6">
        <f>10^-(14-Q778)</f>
        <v>9.9999999999999995E-8</v>
      </c>
      <c r="U778" s="6">
        <v>0</v>
      </c>
      <c r="V778" s="6">
        <v>0</v>
      </c>
      <c r="W778" s="6">
        <v>0</v>
      </c>
      <c r="X778" s="6">
        <v>0</v>
      </c>
      <c r="Y778" t="s">
        <v>171</v>
      </c>
      <c r="AD778">
        <f>1/6</f>
        <v>0.16666666666666666</v>
      </c>
      <c r="AE778">
        <v>174</v>
      </c>
      <c r="AF778">
        <v>1</v>
      </c>
      <c r="AG778" s="9">
        <v>2.4E-2</v>
      </c>
      <c r="AH778" s="9">
        <v>1.4</v>
      </c>
      <c r="AI778" s="9">
        <v>0.38</v>
      </c>
      <c r="AJ778" s="9">
        <v>0.04</v>
      </c>
      <c r="AK778" s="9">
        <v>5.0000000000000001E-3</v>
      </c>
      <c r="AL778" s="9">
        <v>17.2</v>
      </c>
      <c r="AM778" s="9">
        <v>10.7</v>
      </c>
      <c r="AN778" s="9">
        <v>2.13</v>
      </c>
      <c r="AO778" s="9">
        <v>3.5000000000000003E-2</v>
      </c>
      <c r="AQ778" s="1"/>
    </row>
    <row r="779" spans="1:43" x14ac:dyDescent="0.3">
      <c r="A779" t="s">
        <v>235</v>
      </c>
      <c r="B779" s="1" t="s">
        <v>1734</v>
      </c>
      <c r="C779">
        <v>54</v>
      </c>
      <c r="D779" s="8">
        <v>1.4403999999999999</v>
      </c>
      <c r="E779">
        <v>220</v>
      </c>
      <c r="F779">
        <v>0.48</v>
      </c>
      <c r="G779" t="s">
        <v>193</v>
      </c>
      <c r="H779">
        <v>7</v>
      </c>
      <c r="I779" s="4">
        <v>-0.2</v>
      </c>
      <c r="J779" s="3">
        <v>8.3333333333333301E-2</v>
      </c>
      <c r="L779" t="s">
        <v>172</v>
      </c>
      <c r="N779" s="3">
        <v>1.4104372355430182E-2</v>
      </c>
      <c r="O779" s="3">
        <v>0</v>
      </c>
      <c r="P779">
        <v>50</v>
      </c>
      <c r="Q779">
        <v>7</v>
      </c>
      <c r="R779" t="s">
        <v>102</v>
      </c>
      <c r="S779">
        <v>0</v>
      </c>
      <c r="T779" s="6">
        <f>10^-(14-Q779)</f>
        <v>9.9999999999999995E-8</v>
      </c>
      <c r="U779" s="6">
        <v>0</v>
      </c>
      <c r="V779" s="6">
        <v>0</v>
      </c>
      <c r="W779" s="6">
        <v>0</v>
      </c>
      <c r="X779" s="6">
        <v>0</v>
      </c>
      <c r="Y779" t="s">
        <v>171</v>
      </c>
      <c r="AD779">
        <f>1/6</f>
        <v>0.16666666666666666</v>
      </c>
      <c r="AE779">
        <v>395</v>
      </c>
      <c r="AF779">
        <v>1</v>
      </c>
      <c r="AG779" s="9">
        <v>2.4E-2</v>
      </c>
      <c r="AH779" s="9">
        <v>1.4</v>
      </c>
      <c r="AI779" s="9">
        <v>0.38</v>
      </c>
      <c r="AJ779" s="9">
        <v>0.04</v>
      </c>
      <c r="AK779" s="9">
        <v>5.0000000000000001E-3</v>
      </c>
      <c r="AL779" s="9">
        <v>17.2</v>
      </c>
      <c r="AM779" s="9">
        <v>10.7</v>
      </c>
      <c r="AN779" s="9">
        <v>2.13</v>
      </c>
      <c r="AO779" s="9">
        <v>3.5000000000000003E-2</v>
      </c>
      <c r="AQ779" s="1"/>
    </row>
    <row r="780" spans="1:43" x14ac:dyDescent="0.3">
      <c r="A780" t="s">
        <v>236</v>
      </c>
      <c r="B780" s="1" t="s">
        <v>1734</v>
      </c>
      <c r="C780">
        <v>54</v>
      </c>
      <c r="D780" s="8">
        <v>1.4403999999999999</v>
      </c>
      <c r="E780">
        <v>220</v>
      </c>
      <c r="F780">
        <v>0.48</v>
      </c>
      <c r="G780" t="s">
        <v>193</v>
      </c>
      <c r="H780">
        <v>7</v>
      </c>
      <c r="I780" s="4">
        <v>-0.2</v>
      </c>
      <c r="J780" s="3">
        <v>8.3333333333333301E-2</v>
      </c>
      <c r="L780" t="s">
        <v>172</v>
      </c>
      <c r="N780" s="3">
        <v>2.8208744710860365E-2</v>
      </c>
      <c r="O780" s="3">
        <v>0</v>
      </c>
      <c r="P780">
        <v>50</v>
      </c>
      <c r="Q780">
        <v>7</v>
      </c>
      <c r="R780" t="s">
        <v>102</v>
      </c>
      <c r="S780">
        <v>0</v>
      </c>
      <c r="T780" s="6">
        <f>10^-(14-Q780)</f>
        <v>9.9999999999999995E-8</v>
      </c>
      <c r="U780" s="6">
        <v>0</v>
      </c>
      <c r="V780" s="6">
        <v>0</v>
      </c>
      <c r="W780" s="6">
        <v>0</v>
      </c>
      <c r="X780" s="6">
        <v>0</v>
      </c>
      <c r="Y780" t="s">
        <v>171</v>
      </c>
      <c r="AD780">
        <f>1/6</f>
        <v>0.16666666666666666</v>
      </c>
      <c r="AE780">
        <v>378</v>
      </c>
      <c r="AF780">
        <v>1</v>
      </c>
      <c r="AG780" s="9">
        <v>2.4E-2</v>
      </c>
      <c r="AH780" s="9">
        <v>1.4</v>
      </c>
      <c r="AI780" s="9">
        <v>0.38</v>
      </c>
      <c r="AJ780" s="9">
        <v>0.04</v>
      </c>
      <c r="AK780" s="9">
        <v>5.0000000000000001E-3</v>
      </c>
      <c r="AL780" s="9">
        <v>17.2</v>
      </c>
      <c r="AM780" s="9">
        <v>10.7</v>
      </c>
      <c r="AN780" s="9">
        <v>2.13</v>
      </c>
      <c r="AO780" s="9">
        <v>3.5000000000000003E-2</v>
      </c>
      <c r="AQ780" s="1"/>
    </row>
    <row r="781" spans="1:43" x14ac:dyDescent="0.3">
      <c r="A781" t="s">
        <v>237</v>
      </c>
      <c r="B781" s="1" t="s">
        <v>1734</v>
      </c>
      <c r="C781">
        <v>54</v>
      </c>
      <c r="D781" s="8">
        <v>1.4403999999999999</v>
      </c>
      <c r="E781">
        <v>220</v>
      </c>
      <c r="F781">
        <v>0.48</v>
      </c>
      <c r="G781" t="s">
        <v>193</v>
      </c>
      <c r="H781">
        <v>7</v>
      </c>
      <c r="I781" s="4">
        <v>-0.2</v>
      </c>
      <c r="J781" s="3">
        <v>8.3333333333333301E-2</v>
      </c>
      <c r="L781" t="s">
        <v>172</v>
      </c>
      <c r="N781" s="3">
        <v>5.6417489421720729E-2</v>
      </c>
      <c r="O781" s="3">
        <v>0</v>
      </c>
      <c r="P781">
        <v>50</v>
      </c>
      <c r="Q781">
        <v>7</v>
      </c>
      <c r="R781" t="s">
        <v>102</v>
      </c>
      <c r="S781">
        <v>0</v>
      </c>
      <c r="T781" s="6">
        <f>10^-(14-Q781)</f>
        <v>9.9999999999999995E-8</v>
      </c>
      <c r="U781" s="6">
        <v>0</v>
      </c>
      <c r="V781" s="6">
        <v>0</v>
      </c>
      <c r="W781" s="6">
        <v>0</v>
      </c>
      <c r="X781" s="6">
        <v>0</v>
      </c>
      <c r="Y781" t="s">
        <v>171</v>
      </c>
      <c r="AD781">
        <f>1/6</f>
        <v>0.16666666666666666</v>
      </c>
      <c r="AE781">
        <v>297</v>
      </c>
      <c r="AF781">
        <v>1</v>
      </c>
      <c r="AG781" s="9">
        <v>2.4E-2</v>
      </c>
      <c r="AH781" s="9">
        <v>1.4</v>
      </c>
      <c r="AI781" s="9">
        <v>0.38</v>
      </c>
      <c r="AJ781" s="9">
        <v>0.04</v>
      </c>
      <c r="AK781" s="9">
        <v>5.0000000000000001E-3</v>
      </c>
      <c r="AL781" s="9">
        <v>17.2</v>
      </c>
      <c r="AM781" s="9">
        <v>10.7</v>
      </c>
      <c r="AN781" s="9">
        <v>2.13</v>
      </c>
      <c r="AO781" s="9">
        <v>3.5000000000000003E-2</v>
      </c>
      <c r="AQ781" s="1"/>
    </row>
    <row r="782" spans="1:43" x14ac:dyDescent="0.3">
      <c r="A782" t="s">
        <v>238</v>
      </c>
      <c r="B782" s="1" t="s">
        <v>1734</v>
      </c>
      <c r="C782">
        <v>54</v>
      </c>
      <c r="D782" s="8">
        <v>1.4403999999999999</v>
      </c>
      <c r="E782">
        <v>220</v>
      </c>
      <c r="F782">
        <v>0.48</v>
      </c>
      <c r="G782" t="s">
        <v>193</v>
      </c>
      <c r="H782">
        <v>7</v>
      </c>
      <c r="I782" s="4">
        <v>-0.2</v>
      </c>
      <c r="J782" s="3">
        <v>8.3333333333333301E-2</v>
      </c>
      <c r="L782" t="s">
        <v>172</v>
      </c>
      <c r="N782" s="3">
        <v>0.14104372355430181</v>
      </c>
      <c r="O782" s="3">
        <v>0</v>
      </c>
      <c r="P782">
        <v>50</v>
      </c>
      <c r="Q782">
        <v>7</v>
      </c>
      <c r="R782" t="s">
        <v>102</v>
      </c>
      <c r="S782">
        <v>0</v>
      </c>
      <c r="T782" s="6">
        <f>10^-(14-Q782)</f>
        <v>9.9999999999999995E-8</v>
      </c>
      <c r="U782" s="6">
        <v>0</v>
      </c>
      <c r="V782" s="6">
        <v>0</v>
      </c>
      <c r="W782" s="6">
        <v>0</v>
      </c>
      <c r="X782" s="6">
        <v>0</v>
      </c>
      <c r="Y782" t="s">
        <v>171</v>
      </c>
      <c r="AD782">
        <f>1/6</f>
        <v>0.16666666666666666</v>
      </c>
      <c r="AE782">
        <v>259</v>
      </c>
      <c r="AF782">
        <v>1</v>
      </c>
      <c r="AG782" s="9">
        <v>2.4E-2</v>
      </c>
      <c r="AH782" s="9">
        <v>1.4</v>
      </c>
      <c r="AI782" s="9">
        <v>0.38</v>
      </c>
      <c r="AJ782" s="9">
        <v>0.04</v>
      </c>
      <c r="AK782" s="9">
        <v>5.0000000000000001E-3</v>
      </c>
      <c r="AL782" s="9">
        <v>17.2</v>
      </c>
      <c r="AM782" s="9">
        <v>10.7</v>
      </c>
      <c r="AN782" s="9">
        <v>2.13</v>
      </c>
      <c r="AO782" s="9">
        <v>3.5000000000000003E-2</v>
      </c>
      <c r="AQ782" s="1"/>
    </row>
    <row r="783" spans="1:43" x14ac:dyDescent="0.3">
      <c r="A783" t="s">
        <v>239</v>
      </c>
      <c r="B783" s="1" t="s">
        <v>1734</v>
      </c>
      <c r="C783">
        <v>54</v>
      </c>
      <c r="D783" s="8">
        <v>1.4403999999999999</v>
      </c>
      <c r="E783">
        <v>220</v>
      </c>
      <c r="F783">
        <v>0.48</v>
      </c>
      <c r="G783" t="s">
        <v>193</v>
      </c>
      <c r="H783">
        <v>7</v>
      </c>
      <c r="I783" s="4">
        <v>-0.2</v>
      </c>
      <c r="J783" s="3">
        <v>8.3333333333333301E-2</v>
      </c>
      <c r="L783" t="s">
        <v>172</v>
      </c>
      <c r="N783" s="3">
        <v>0.28208744710860362</v>
      </c>
      <c r="O783" s="3">
        <v>0</v>
      </c>
      <c r="P783">
        <v>50</v>
      </c>
      <c r="Q783">
        <v>7</v>
      </c>
      <c r="R783" t="s">
        <v>102</v>
      </c>
      <c r="S783">
        <v>0</v>
      </c>
      <c r="T783" s="6">
        <f>10^-(14-Q783)</f>
        <v>9.9999999999999995E-8</v>
      </c>
      <c r="U783" s="6">
        <v>0</v>
      </c>
      <c r="V783" s="6">
        <v>0</v>
      </c>
      <c r="W783" s="6">
        <v>0</v>
      </c>
      <c r="X783" s="6">
        <v>0</v>
      </c>
      <c r="Y783" t="s">
        <v>171</v>
      </c>
      <c r="AD783">
        <f>1/6</f>
        <v>0.16666666666666666</v>
      </c>
      <c r="AE783">
        <v>186</v>
      </c>
      <c r="AF783">
        <v>1</v>
      </c>
      <c r="AG783" s="9">
        <v>2.4E-2</v>
      </c>
      <c r="AH783" s="9">
        <v>1.4</v>
      </c>
      <c r="AI783" s="9">
        <v>0.38</v>
      </c>
      <c r="AJ783" s="9">
        <v>0.04</v>
      </c>
      <c r="AK783" s="9">
        <v>5.0000000000000001E-3</v>
      </c>
      <c r="AL783" s="9">
        <v>17.2</v>
      </c>
      <c r="AM783" s="9">
        <v>10.7</v>
      </c>
      <c r="AN783" s="9">
        <v>2.13</v>
      </c>
      <c r="AO783" s="9">
        <v>3.5000000000000003E-2</v>
      </c>
      <c r="AQ783" s="1"/>
    </row>
    <row r="784" spans="1:43" x14ac:dyDescent="0.3">
      <c r="A784" t="s">
        <v>240</v>
      </c>
      <c r="B784" s="1" t="s">
        <v>1734</v>
      </c>
      <c r="C784">
        <v>54</v>
      </c>
      <c r="D784" s="8">
        <v>1.4403999999999999</v>
      </c>
      <c r="E784">
        <v>220</v>
      </c>
      <c r="F784">
        <v>0.48</v>
      </c>
      <c r="G784" t="s">
        <v>193</v>
      </c>
      <c r="H784">
        <v>7</v>
      </c>
      <c r="I784" s="4">
        <v>-0.2</v>
      </c>
      <c r="J784" s="3">
        <v>8.3333333333333301E-2</v>
      </c>
      <c r="L784" t="s">
        <v>172</v>
      </c>
      <c r="N784" s="3">
        <v>0.56417489421720723</v>
      </c>
      <c r="O784" s="3">
        <v>0</v>
      </c>
      <c r="P784">
        <v>50</v>
      </c>
      <c r="Q784">
        <v>7</v>
      </c>
      <c r="R784" t="s">
        <v>102</v>
      </c>
      <c r="S784">
        <v>0</v>
      </c>
      <c r="T784" s="6">
        <f>10^-(14-Q784)</f>
        <v>9.9999999999999995E-8</v>
      </c>
      <c r="U784" s="6">
        <v>0</v>
      </c>
      <c r="V784" s="6">
        <v>0</v>
      </c>
      <c r="W784" s="6">
        <v>0</v>
      </c>
      <c r="X784" s="6">
        <v>0</v>
      </c>
      <c r="Y784" t="s">
        <v>171</v>
      </c>
      <c r="AD784">
        <f>1/6</f>
        <v>0.16666666666666666</v>
      </c>
      <c r="AE784">
        <v>166</v>
      </c>
      <c r="AF784">
        <v>1</v>
      </c>
      <c r="AG784" s="9">
        <v>2.4E-2</v>
      </c>
      <c r="AH784" s="9">
        <v>1.4</v>
      </c>
      <c r="AI784" s="9">
        <v>0.38</v>
      </c>
      <c r="AJ784" s="9">
        <v>0.04</v>
      </c>
      <c r="AK784" s="9">
        <v>5.0000000000000001E-3</v>
      </c>
      <c r="AL784" s="9">
        <v>17.2</v>
      </c>
      <c r="AM784" s="9">
        <v>10.7</v>
      </c>
      <c r="AN784" s="9">
        <v>2.13</v>
      </c>
      <c r="AO784" s="9">
        <v>3.5000000000000003E-2</v>
      </c>
      <c r="AQ784" s="1"/>
    </row>
    <row r="785" spans="1:43" x14ac:dyDescent="0.3">
      <c r="A785" t="s">
        <v>241</v>
      </c>
      <c r="B785" s="1" t="s">
        <v>1734</v>
      </c>
      <c r="C785">
        <v>54</v>
      </c>
      <c r="D785" s="8">
        <v>1.4403999999999999</v>
      </c>
      <c r="E785">
        <v>220</v>
      </c>
      <c r="F785">
        <v>0.48</v>
      </c>
      <c r="G785" t="s">
        <v>193</v>
      </c>
      <c r="H785">
        <v>7</v>
      </c>
      <c r="I785" s="4">
        <v>-0.2</v>
      </c>
      <c r="J785" s="3">
        <v>8.3333333333333301E-2</v>
      </c>
      <c r="L785" t="s">
        <v>172</v>
      </c>
      <c r="N785" s="3">
        <v>1.4104372355430182E-2</v>
      </c>
      <c r="O785" s="3">
        <v>0</v>
      </c>
      <c r="P785">
        <v>60</v>
      </c>
      <c r="Q785">
        <v>7</v>
      </c>
      <c r="R785" t="s">
        <v>102</v>
      </c>
      <c r="S785">
        <v>0</v>
      </c>
      <c r="T785" s="6">
        <f>10^-(14-Q785)</f>
        <v>9.9999999999999995E-8</v>
      </c>
      <c r="U785" s="6">
        <v>0</v>
      </c>
      <c r="V785" s="6">
        <v>0</v>
      </c>
      <c r="W785" s="6">
        <v>0</v>
      </c>
      <c r="X785" s="6">
        <v>0</v>
      </c>
      <c r="Y785" t="s">
        <v>171</v>
      </c>
      <c r="AD785">
        <f>1/6</f>
        <v>0.16666666666666666</v>
      </c>
      <c r="AE785">
        <v>318</v>
      </c>
      <c r="AF785">
        <v>1</v>
      </c>
      <c r="AG785" s="9">
        <v>2.4E-2</v>
      </c>
      <c r="AH785" s="9">
        <v>1.4</v>
      </c>
      <c r="AI785" s="9">
        <v>0.38</v>
      </c>
      <c r="AJ785" s="9">
        <v>0.04</v>
      </c>
      <c r="AK785" s="9">
        <v>5.0000000000000001E-3</v>
      </c>
      <c r="AL785" s="9">
        <v>17.2</v>
      </c>
      <c r="AM785" s="9">
        <v>10.7</v>
      </c>
      <c r="AN785" s="9">
        <v>2.13</v>
      </c>
      <c r="AO785" s="9">
        <v>3.5000000000000003E-2</v>
      </c>
      <c r="AQ785" s="1"/>
    </row>
    <row r="786" spans="1:43" x14ac:dyDescent="0.3">
      <c r="A786" t="s">
        <v>242</v>
      </c>
      <c r="B786" s="1" t="s">
        <v>1734</v>
      </c>
      <c r="C786">
        <v>54</v>
      </c>
      <c r="D786" s="8">
        <v>1.4403999999999999</v>
      </c>
      <c r="E786">
        <v>220</v>
      </c>
      <c r="F786">
        <v>0.48</v>
      </c>
      <c r="G786" t="s">
        <v>193</v>
      </c>
      <c r="H786">
        <v>7</v>
      </c>
      <c r="I786" s="4">
        <v>-0.2</v>
      </c>
      <c r="J786" s="3">
        <v>8.3333333333333301E-2</v>
      </c>
      <c r="L786" t="s">
        <v>172</v>
      </c>
      <c r="N786" s="3">
        <v>2.8208744710860365E-2</v>
      </c>
      <c r="O786" s="3">
        <v>0</v>
      </c>
      <c r="P786">
        <v>60</v>
      </c>
      <c r="Q786">
        <v>7</v>
      </c>
      <c r="R786" t="s">
        <v>102</v>
      </c>
      <c r="S786">
        <v>0</v>
      </c>
      <c r="T786" s="6">
        <f>10^-(14-Q786)</f>
        <v>9.9999999999999995E-8</v>
      </c>
      <c r="U786" s="6">
        <v>0</v>
      </c>
      <c r="V786" s="6">
        <v>0</v>
      </c>
      <c r="W786" s="6">
        <v>0</v>
      </c>
      <c r="X786" s="6">
        <v>0</v>
      </c>
      <c r="Y786" t="s">
        <v>171</v>
      </c>
      <c r="AD786">
        <f>1/6</f>
        <v>0.16666666666666666</v>
      </c>
      <c r="AE786">
        <v>312</v>
      </c>
      <c r="AF786">
        <v>1</v>
      </c>
      <c r="AG786" s="9">
        <v>2.4E-2</v>
      </c>
      <c r="AH786" s="9">
        <v>1.4</v>
      </c>
      <c r="AI786" s="9">
        <v>0.38</v>
      </c>
      <c r="AJ786" s="9">
        <v>0.04</v>
      </c>
      <c r="AK786" s="9">
        <v>5.0000000000000001E-3</v>
      </c>
      <c r="AL786" s="9">
        <v>17.2</v>
      </c>
      <c r="AM786" s="9">
        <v>10.7</v>
      </c>
      <c r="AN786" s="9">
        <v>2.13</v>
      </c>
      <c r="AO786" s="9">
        <v>3.5000000000000003E-2</v>
      </c>
      <c r="AQ786" s="1"/>
    </row>
    <row r="787" spans="1:43" x14ac:dyDescent="0.3">
      <c r="A787" t="s">
        <v>243</v>
      </c>
      <c r="B787" s="1" t="s">
        <v>1734</v>
      </c>
      <c r="C787">
        <v>54</v>
      </c>
      <c r="D787" s="8">
        <v>1.4403999999999999</v>
      </c>
      <c r="E787">
        <v>220</v>
      </c>
      <c r="F787">
        <v>0.48</v>
      </c>
      <c r="G787" t="s">
        <v>193</v>
      </c>
      <c r="H787">
        <v>7</v>
      </c>
      <c r="I787" s="4">
        <v>-0.2</v>
      </c>
      <c r="J787" s="3">
        <v>8.3333333333333301E-2</v>
      </c>
      <c r="L787" t="s">
        <v>172</v>
      </c>
      <c r="N787" s="3">
        <v>0.14104372355430181</v>
      </c>
      <c r="O787" s="3">
        <v>0</v>
      </c>
      <c r="P787">
        <v>60</v>
      </c>
      <c r="Q787">
        <v>7</v>
      </c>
      <c r="R787" t="s">
        <v>102</v>
      </c>
      <c r="S787">
        <v>0</v>
      </c>
      <c r="T787" s="6">
        <f>10^-(14-Q787)</f>
        <v>9.9999999999999995E-8</v>
      </c>
      <c r="U787" s="6">
        <v>0</v>
      </c>
      <c r="V787" s="6">
        <v>0</v>
      </c>
      <c r="W787" s="6">
        <v>0</v>
      </c>
      <c r="X787" s="6">
        <v>0</v>
      </c>
      <c r="Y787" t="s">
        <v>171</v>
      </c>
      <c r="AD787">
        <f>1/6</f>
        <v>0.16666666666666666</v>
      </c>
      <c r="AE787">
        <v>259</v>
      </c>
      <c r="AF787">
        <v>1</v>
      </c>
      <c r="AG787" s="9">
        <v>2.4E-2</v>
      </c>
      <c r="AH787" s="9">
        <v>1.4</v>
      </c>
      <c r="AI787" s="9">
        <v>0.38</v>
      </c>
      <c r="AJ787" s="9">
        <v>0.04</v>
      </c>
      <c r="AK787" s="9">
        <v>5.0000000000000001E-3</v>
      </c>
      <c r="AL787" s="9">
        <v>17.2</v>
      </c>
      <c r="AM787" s="9">
        <v>10.7</v>
      </c>
      <c r="AN787" s="9">
        <v>2.13</v>
      </c>
      <c r="AO787" s="9">
        <v>3.5000000000000003E-2</v>
      </c>
      <c r="AQ787" s="1"/>
    </row>
    <row r="788" spans="1:43" x14ac:dyDescent="0.3">
      <c r="A788" t="s">
        <v>244</v>
      </c>
      <c r="B788" s="1" t="s">
        <v>1734</v>
      </c>
      <c r="C788">
        <v>54</v>
      </c>
      <c r="D788" s="8">
        <v>1.4403999999999999</v>
      </c>
      <c r="E788">
        <v>220</v>
      </c>
      <c r="F788">
        <v>0.48</v>
      </c>
      <c r="G788" t="s">
        <v>193</v>
      </c>
      <c r="H788">
        <v>7</v>
      </c>
      <c r="I788" s="4">
        <v>-0.2</v>
      </c>
      <c r="J788" s="3">
        <v>8.3333333333333301E-2</v>
      </c>
      <c r="L788" t="s">
        <v>172</v>
      </c>
      <c r="N788" s="3">
        <v>1.4104372355430181</v>
      </c>
      <c r="O788" s="3">
        <v>0</v>
      </c>
      <c r="P788">
        <v>60</v>
      </c>
      <c r="Q788">
        <v>7</v>
      </c>
      <c r="R788" t="s">
        <v>102</v>
      </c>
      <c r="S788">
        <v>0</v>
      </c>
      <c r="T788" s="6">
        <f>10^-(14-Q788)</f>
        <v>9.9999999999999995E-8</v>
      </c>
      <c r="U788" s="6">
        <v>0</v>
      </c>
      <c r="V788" s="6">
        <v>0</v>
      </c>
      <c r="W788" s="6">
        <v>0</v>
      </c>
      <c r="X788" s="6">
        <v>0</v>
      </c>
      <c r="Y788" t="s">
        <v>171</v>
      </c>
      <c r="AD788">
        <f>1/6</f>
        <v>0.16666666666666666</v>
      </c>
      <c r="AE788">
        <v>70</v>
      </c>
      <c r="AF788">
        <v>1</v>
      </c>
      <c r="AG788" s="9">
        <v>2.4E-2</v>
      </c>
      <c r="AH788" s="9">
        <v>1.4</v>
      </c>
      <c r="AI788" s="9">
        <v>0.38</v>
      </c>
      <c r="AJ788" s="9">
        <v>0.04</v>
      </c>
      <c r="AK788" s="9">
        <v>5.0000000000000001E-3</v>
      </c>
      <c r="AL788" s="9">
        <v>17.2</v>
      </c>
      <c r="AM788" s="9">
        <v>10.7</v>
      </c>
      <c r="AN788" s="9">
        <v>2.13</v>
      </c>
      <c r="AO788" s="9">
        <v>3.5000000000000003E-2</v>
      </c>
      <c r="AQ788" s="1"/>
    </row>
    <row r="789" spans="1:43" x14ac:dyDescent="0.3">
      <c r="A789" t="s">
        <v>245</v>
      </c>
      <c r="B789" s="1" t="s">
        <v>1734</v>
      </c>
      <c r="C789">
        <v>54</v>
      </c>
      <c r="D789" s="8">
        <v>1.4403999999999999</v>
      </c>
      <c r="E789">
        <v>220</v>
      </c>
      <c r="F789">
        <v>0.48</v>
      </c>
      <c r="G789" t="s">
        <v>193</v>
      </c>
      <c r="H789">
        <v>7</v>
      </c>
      <c r="I789" s="4">
        <v>-0.2</v>
      </c>
      <c r="J789" s="3">
        <v>8.3333333333333301E-2</v>
      </c>
      <c r="L789" t="s">
        <v>172</v>
      </c>
      <c r="N789" s="3">
        <v>2.8208744710860365E-2</v>
      </c>
      <c r="O789" s="3">
        <v>0</v>
      </c>
      <c r="P789">
        <v>70</v>
      </c>
      <c r="Q789">
        <v>7</v>
      </c>
      <c r="R789" t="s">
        <v>102</v>
      </c>
      <c r="S789">
        <v>0</v>
      </c>
      <c r="T789" s="6">
        <f>10^-(14-Q789)</f>
        <v>9.9999999999999995E-8</v>
      </c>
      <c r="U789" s="6">
        <v>0</v>
      </c>
      <c r="V789" s="6">
        <v>0</v>
      </c>
      <c r="W789" s="6">
        <v>0</v>
      </c>
      <c r="X789" s="6">
        <v>0</v>
      </c>
      <c r="Y789" t="s">
        <v>171</v>
      </c>
      <c r="AD789">
        <f>1/6</f>
        <v>0.16666666666666666</v>
      </c>
      <c r="AE789">
        <v>294</v>
      </c>
      <c r="AF789">
        <v>1</v>
      </c>
      <c r="AG789" s="9">
        <v>2.4E-2</v>
      </c>
      <c r="AH789" s="9">
        <v>1.4</v>
      </c>
      <c r="AI789" s="9">
        <v>0.38</v>
      </c>
      <c r="AJ789" s="9">
        <v>0.04</v>
      </c>
      <c r="AK789" s="9">
        <v>5.0000000000000001E-3</v>
      </c>
      <c r="AL789" s="9">
        <v>17.2</v>
      </c>
      <c r="AM789" s="9">
        <v>10.7</v>
      </c>
      <c r="AN789" s="9">
        <v>2.13</v>
      </c>
      <c r="AO789" s="9">
        <v>3.5000000000000003E-2</v>
      </c>
      <c r="AQ789" s="1"/>
    </row>
    <row r="790" spans="1:43" x14ac:dyDescent="0.3">
      <c r="A790" t="s">
        <v>246</v>
      </c>
      <c r="B790" s="1" t="s">
        <v>1734</v>
      </c>
      <c r="C790">
        <v>54</v>
      </c>
      <c r="D790" s="8">
        <v>1.4403999999999999</v>
      </c>
      <c r="E790">
        <v>220</v>
      </c>
      <c r="F790">
        <v>0.48</v>
      </c>
      <c r="G790" t="s">
        <v>193</v>
      </c>
      <c r="H790">
        <v>7</v>
      </c>
      <c r="I790" s="4">
        <v>-0.2</v>
      </c>
      <c r="J790" s="3">
        <v>8.3333333333333301E-2</v>
      </c>
      <c r="L790" t="s">
        <v>172</v>
      </c>
      <c r="N790" s="3">
        <v>1.4104372355430182E-2</v>
      </c>
      <c r="O790" s="3">
        <v>0</v>
      </c>
      <c r="P790">
        <v>80</v>
      </c>
      <c r="Q790">
        <v>7</v>
      </c>
      <c r="R790" t="s">
        <v>102</v>
      </c>
      <c r="S790">
        <v>0</v>
      </c>
      <c r="T790" s="6">
        <f>10^-(14-Q790)</f>
        <v>9.9999999999999995E-8</v>
      </c>
      <c r="U790" s="6">
        <v>0</v>
      </c>
      <c r="V790" s="6">
        <v>0</v>
      </c>
      <c r="W790" s="6">
        <v>0</v>
      </c>
      <c r="X790" s="6">
        <v>0</v>
      </c>
      <c r="Y790" t="s">
        <v>171</v>
      </c>
      <c r="AD790">
        <f>1/6</f>
        <v>0.16666666666666666</v>
      </c>
      <c r="AE790">
        <v>284</v>
      </c>
      <c r="AF790">
        <v>1</v>
      </c>
      <c r="AG790" s="9">
        <v>2.4E-2</v>
      </c>
      <c r="AH790" s="9">
        <v>1.4</v>
      </c>
      <c r="AI790" s="9">
        <v>0.38</v>
      </c>
      <c r="AJ790" s="9">
        <v>0.04</v>
      </c>
      <c r="AK790" s="9">
        <v>5.0000000000000001E-3</v>
      </c>
      <c r="AL790" s="9">
        <v>17.2</v>
      </c>
      <c r="AM790" s="9">
        <v>10.7</v>
      </c>
      <c r="AN790" s="9">
        <v>2.13</v>
      </c>
      <c r="AO790" s="9">
        <v>3.5000000000000003E-2</v>
      </c>
      <c r="AQ790" s="1"/>
    </row>
    <row r="791" spans="1:43" x14ac:dyDescent="0.3">
      <c r="A791" t="s">
        <v>247</v>
      </c>
      <c r="B791" s="1" t="s">
        <v>1734</v>
      </c>
      <c r="C791">
        <v>54</v>
      </c>
      <c r="D791" s="8">
        <v>1.4403999999999999</v>
      </c>
      <c r="E791">
        <v>220</v>
      </c>
      <c r="F791">
        <v>0.48</v>
      </c>
      <c r="G791" t="s">
        <v>193</v>
      </c>
      <c r="H791">
        <v>7</v>
      </c>
      <c r="I791" s="4">
        <v>-0.2</v>
      </c>
      <c r="J791" s="3">
        <v>8.3333333333333301E-2</v>
      </c>
      <c r="L791" t="s">
        <v>172</v>
      </c>
      <c r="N791" s="3">
        <v>2.8208744710860365E-2</v>
      </c>
      <c r="O791" s="3">
        <v>0</v>
      </c>
      <c r="P791">
        <v>80</v>
      </c>
      <c r="Q791">
        <v>7</v>
      </c>
      <c r="R791" t="s">
        <v>102</v>
      </c>
      <c r="S791">
        <v>0</v>
      </c>
      <c r="T791" s="6">
        <f>10^-(14-Q791)</f>
        <v>9.9999999999999995E-8</v>
      </c>
      <c r="U791" s="6">
        <v>0</v>
      </c>
      <c r="V791" s="6">
        <v>0</v>
      </c>
      <c r="W791" s="6">
        <v>0</v>
      </c>
      <c r="X791" s="6">
        <v>0</v>
      </c>
      <c r="Y791" t="s">
        <v>171</v>
      </c>
      <c r="AD791">
        <f>1/6</f>
        <v>0.16666666666666666</v>
      </c>
      <c r="AE791">
        <v>255</v>
      </c>
      <c r="AF791">
        <v>1</v>
      </c>
      <c r="AG791" s="9">
        <v>2.4E-2</v>
      </c>
      <c r="AH791" s="9">
        <v>1.4</v>
      </c>
      <c r="AI791" s="9">
        <v>0.38</v>
      </c>
      <c r="AJ791" s="9">
        <v>0.04</v>
      </c>
      <c r="AK791" s="9">
        <v>5.0000000000000001E-3</v>
      </c>
      <c r="AL791" s="9">
        <v>17.2</v>
      </c>
      <c r="AM791" s="9">
        <v>10.7</v>
      </c>
      <c r="AN791" s="9">
        <v>2.13</v>
      </c>
      <c r="AO791" s="9">
        <v>3.5000000000000003E-2</v>
      </c>
      <c r="AQ791" s="1"/>
    </row>
    <row r="792" spans="1:43" x14ac:dyDescent="0.3">
      <c r="A792" t="s">
        <v>248</v>
      </c>
      <c r="B792" s="1" t="s">
        <v>1734</v>
      </c>
      <c r="C792">
        <v>54</v>
      </c>
      <c r="D792" s="8">
        <v>1.4403999999999999</v>
      </c>
      <c r="E792">
        <v>220</v>
      </c>
      <c r="F792">
        <v>0.48</v>
      </c>
      <c r="G792" t="s">
        <v>193</v>
      </c>
      <c r="H792">
        <v>7</v>
      </c>
      <c r="I792" s="4">
        <v>-0.2</v>
      </c>
      <c r="J792" s="3">
        <v>8.3333333333333301E-2</v>
      </c>
      <c r="L792" t="s">
        <v>172</v>
      </c>
      <c r="N792" s="3">
        <v>0.14104372355430181</v>
      </c>
      <c r="O792" s="3">
        <v>0</v>
      </c>
      <c r="P792">
        <v>80</v>
      </c>
      <c r="Q792">
        <v>7</v>
      </c>
      <c r="R792" t="s">
        <v>102</v>
      </c>
      <c r="S792">
        <v>0</v>
      </c>
      <c r="T792" s="6">
        <f>10^-(14-Q792)</f>
        <v>9.9999999999999995E-8</v>
      </c>
      <c r="U792" s="6">
        <v>0</v>
      </c>
      <c r="V792" s="6">
        <v>0</v>
      </c>
      <c r="W792" s="6">
        <v>0</v>
      </c>
      <c r="X792" s="6">
        <v>0</v>
      </c>
      <c r="Y792" t="s">
        <v>171</v>
      </c>
      <c r="AD792">
        <f>1/6</f>
        <v>0.16666666666666666</v>
      </c>
      <c r="AE792">
        <v>183</v>
      </c>
      <c r="AF792">
        <v>1</v>
      </c>
      <c r="AG792" s="9">
        <v>2.4E-2</v>
      </c>
      <c r="AH792" s="9">
        <v>1.4</v>
      </c>
      <c r="AI792" s="9">
        <v>0.38</v>
      </c>
      <c r="AJ792" s="9">
        <v>0.04</v>
      </c>
      <c r="AK792" s="9">
        <v>5.0000000000000001E-3</v>
      </c>
      <c r="AL792" s="9">
        <v>17.2</v>
      </c>
      <c r="AM792" s="9">
        <v>10.7</v>
      </c>
      <c r="AN792" s="9">
        <v>2.13</v>
      </c>
      <c r="AO792" s="9">
        <v>3.5000000000000003E-2</v>
      </c>
      <c r="AQ792" s="1"/>
    </row>
    <row r="793" spans="1:43" x14ac:dyDescent="0.3">
      <c r="A793" t="s">
        <v>249</v>
      </c>
      <c r="B793" s="1" t="s">
        <v>1734</v>
      </c>
      <c r="C793">
        <v>54</v>
      </c>
      <c r="D793" s="8">
        <v>1.4403999999999999</v>
      </c>
      <c r="E793">
        <v>220</v>
      </c>
      <c r="F793">
        <v>0.48</v>
      </c>
      <c r="G793" t="s">
        <v>193</v>
      </c>
      <c r="H793">
        <v>7</v>
      </c>
      <c r="I793" s="4">
        <v>-0.2</v>
      </c>
      <c r="J793" s="3">
        <v>8.3333333333333301E-2</v>
      </c>
      <c r="L793" t="s">
        <v>172</v>
      </c>
      <c r="N793" s="3">
        <v>1.4104372355430181</v>
      </c>
      <c r="O793" s="3">
        <v>0</v>
      </c>
      <c r="P793">
        <v>80</v>
      </c>
      <c r="Q793">
        <v>7</v>
      </c>
      <c r="R793" t="s">
        <v>102</v>
      </c>
      <c r="S793">
        <v>0</v>
      </c>
      <c r="T793" s="6">
        <f>10^-(14-Q793)</f>
        <v>9.9999999999999995E-8</v>
      </c>
      <c r="U793" s="6">
        <v>0</v>
      </c>
      <c r="V793" s="6">
        <v>0</v>
      </c>
      <c r="W793" s="6">
        <v>0</v>
      </c>
      <c r="X793" s="6">
        <v>0</v>
      </c>
      <c r="Y793" t="s">
        <v>171</v>
      </c>
      <c r="AD793">
        <f>1/6</f>
        <v>0.16666666666666666</v>
      </c>
      <c r="AE793">
        <v>2</v>
      </c>
      <c r="AF793">
        <v>1</v>
      </c>
      <c r="AG793" s="9">
        <v>2.4E-2</v>
      </c>
      <c r="AH793" s="9">
        <v>1.4</v>
      </c>
      <c r="AI793" s="9">
        <v>0.38</v>
      </c>
      <c r="AJ793" s="9">
        <v>0.04</v>
      </c>
      <c r="AK793" s="9">
        <v>5.0000000000000001E-3</v>
      </c>
      <c r="AL793" s="9">
        <v>17.2</v>
      </c>
      <c r="AM793" s="9">
        <v>10.7</v>
      </c>
      <c r="AN793" s="9">
        <v>2.13</v>
      </c>
      <c r="AO793" s="9">
        <v>3.5000000000000003E-2</v>
      </c>
      <c r="AQ793" s="1"/>
    </row>
    <row r="794" spans="1:43" x14ac:dyDescent="0.3">
      <c r="A794" t="s">
        <v>250</v>
      </c>
      <c r="B794" s="1" t="s">
        <v>1734</v>
      </c>
      <c r="C794">
        <v>54</v>
      </c>
      <c r="D794" s="8">
        <v>1.4403999999999999</v>
      </c>
      <c r="E794">
        <v>220</v>
      </c>
      <c r="F794">
        <v>0.48</v>
      </c>
      <c r="G794" t="s">
        <v>193</v>
      </c>
      <c r="H794">
        <v>7</v>
      </c>
      <c r="I794" s="4">
        <v>-0.2</v>
      </c>
      <c r="J794" s="3">
        <v>8.3333333333333301E-2</v>
      </c>
      <c r="L794" t="s">
        <v>172</v>
      </c>
      <c r="N794" s="3">
        <v>1.4104372355430182E-2</v>
      </c>
      <c r="O794" s="3">
        <v>0</v>
      </c>
      <c r="P794">
        <v>95</v>
      </c>
      <c r="Q794">
        <v>7</v>
      </c>
      <c r="R794" t="s">
        <v>102</v>
      </c>
      <c r="S794">
        <v>0</v>
      </c>
      <c r="T794" s="6">
        <f>10^-(14-Q794)</f>
        <v>9.9999999999999995E-8</v>
      </c>
      <c r="U794" s="6">
        <v>0</v>
      </c>
      <c r="V794" s="6">
        <v>0</v>
      </c>
      <c r="W794" s="6">
        <v>0</v>
      </c>
      <c r="X794" s="6">
        <v>0</v>
      </c>
      <c r="Y794" t="s">
        <v>171</v>
      </c>
      <c r="AD794">
        <f>1/6</f>
        <v>0.16666666666666666</v>
      </c>
      <c r="AE794">
        <v>252</v>
      </c>
      <c r="AF794">
        <v>1</v>
      </c>
      <c r="AG794" s="9">
        <v>2.4E-2</v>
      </c>
      <c r="AH794" s="9">
        <v>1.4</v>
      </c>
      <c r="AI794" s="9">
        <v>0.38</v>
      </c>
      <c r="AJ794" s="9">
        <v>0.04</v>
      </c>
      <c r="AK794" s="9">
        <v>5.0000000000000001E-3</v>
      </c>
      <c r="AL794" s="9">
        <v>17.2</v>
      </c>
      <c r="AM794" s="9">
        <v>10.7</v>
      </c>
      <c r="AN794" s="9">
        <v>2.13</v>
      </c>
      <c r="AO794" s="9">
        <v>3.5000000000000003E-2</v>
      </c>
      <c r="AQ794" s="1"/>
    </row>
    <row r="795" spans="1:43" x14ac:dyDescent="0.3">
      <c r="A795" t="s">
        <v>251</v>
      </c>
      <c r="B795" s="1" t="s">
        <v>1734</v>
      </c>
      <c r="C795">
        <v>54</v>
      </c>
      <c r="D795" s="8">
        <v>1.4403999999999999</v>
      </c>
      <c r="E795">
        <v>220</v>
      </c>
      <c r="F795">
        <v>0.48</v>
      </c>
      <c r="G795" t="s">
        <v>193</v>
      </c>
      <c r="H795">
        <v>7</v>
      </c>
      <c r="I795" s="4">
        <v>-0.2</v>
      </c>
      <c r="J795" s="3">
        <v>8.3333333333333301E-2</v>
      </c>
      <c r="L795" t="s">
        <v>172</v>
      </c>
      <c r="N795" s="3">
        <v>0.14104372355430181</v>
      </c>
      <c r="O795" s="3">
        <v>0</v>
      </c>
      <c r="P795">
        <v>95</v>
      </c>
      <c r="Q795">
        <v>7</v>
      </c>
      <c r="R795" t="s">
        <v>102</v>
      </c>
      <c r="S795">
        <v>0</v>
      </c>
      <c r="T795" s="6">
        <f>10^-(14-Q795)</f>
        <v>9.9999999999999995E-8</v>
      </c>
      <c r="U795" s="6">
        <v>0</v>
      </c>
      <c r="V795" s="6">
        <v>0</v>
      </c>
      <c r="W795" s="6">
        <v>0</v>
      </c>
      <c r="X795" s="6">
        <v>0</v>
      </c>
      <c r="Y795" t="s">
        <v>171</v>
      </c>
      <c r="AD795">
        <f>1/6</f>
        <v>0.16666666666666666</v>
      </c>
      <c r="AE795">
        <v>133</v>
      </c>
      <c r="AF795">
        <v>1</v>
      </c>
      <c r="AG795" s="9">
        <v>2.4E-2</v>
      </c>
      <c r="AH795" s="9">
        <v>1.4</v>
      </c>
      <c r="AI795" s="9">
        <v>0.38</v>
      </c>
      <c r="AJ795" s="9">
        <v>0.04</v>
      </c>
      <c r="AK795" s="9">
        <v>5.0000000000000001E-3</v>
      </c>
      <c r="AL795" s="9">
        <v>17.2</v>
      </c>
      <c r="AM795" s="9">
        <v>10.7</v>
      </c>
      <c r="AN795" s="9">
        <v>2.13</v>
      </c>
      <c r="AO795" s="9">
        <v>3.5000000000000003E-2</v>
      </c>
      <c r="AQ795" s="1"/>
    </row>
    <row r="796" spans="1:43" x14ac:dyDescent="0.3">
      <c r="A796" t="s">
        <v>252</v>
      </c>
      <c r="B796" s="1" t="s">
        <v>1734</v>
      </c>
      <c r="C796">
        <v>54</v>
      </c>
      <c r="D796" s="8">
        <v>1.4403999999999999</v>
      </c>
      <c r="E796">
        <v>220</v>
      </c>
      <c r="F796">
        <v>0.48</v>
      </c>
      <c r="G796" t="s">
        <v>193</v>
      </c>
      <c r="H796">
        <v>7</v>
      </c>
      <c r="I796" s="4">
        <v>-0.2</v>
      </c>
      <c r="J796" s="3">
        <v>8.3333333333333301E-2</v>
      </c>
      <c r="L796" t="s">
        <v>172</v>
      </c>
      <c r="N796" s="3">
        <v>1.4104372355430181</v>
      </c>
      <c r="O796" s="3">
        <v>0</v>
      </c>
      <c r="P796">
        <v>95</v>
      </c>
      <c r="Q796">
        <v>7</v>
      </c>
      <c r="R796" t="s">
        <v>102</v>
      </c>
      <c r="S796">
        <v>0</v>
      </c>
      <c r="T796" s="6">
        <f>10^-(14-Q796)</f>
        <v>9.9999999999999995E-8</v>
      </c>
      <c r="U796" s="6">
        <v>0</v>
      </c>
      <c r="V796" s="6">
        <v>0</v>
      </c>
      <c r="W796" s="6">
        <v>0</v>
      </c>
      <c r="X796" s="6">
        <v>0</v>
      </c>
      <c r="Y796" t="s">
        <v>171</v>
      </c>
      <c r="AD796">
        <f>1/6</f>
        <v>0.16666666666666666</v>
      </c>
      <c r="AE796">
        <v>-39</v>
      </c>
      <c r="AF796">
        <v>1</v>
      </c>
      <c r="AG796" s="9">
        <v>2.4E-2</v>
      </c>
      <c r="AH796" s="9">
        <v>1.4</v>
      </c>
      <c r="AI796" s="9">
        <v>0.38</v>
      </c>
      <c r="AJ796" s="9">
        <v>0.04</v>
      </c>
      <c r="AK796" s="9">
        <v>5.0000000000000001E-3</v>
      </c>
      <c r="AL796" s="9">
        <v>17.2</v>
      </c>
      <c r="AM796" s="9">
        <v>10.7</v>
      </c>
      <c r="AN796" s="9">
        <v>2.13</v>
      </c>
      <c r="AO796" s="9">
        <v>3.5000000000000003E-2</v>
      </c>
      <c r="AQ796" s="1"/>
    </row>
    <row r="797" spans="1:43" x14ac:dyDescent="0.3">
      <c r="A797" t="s">
        <v>303</v>
      </c>
      <c r="B797" s="1" t="s">
        <v>1599</v>
      </c>
      <c r="C797">
        <v>55</v>
      </c>
      <c r="D797" s="8">
        <v>1.4403999999999999</v>
      </c>
      <c r="E797">
        <v>32</v>
      </c>
      <c r="F797">
        <v>5.4</v>
      </c>
      <c r="G797" t="s">
        <v>193</v>
      </c>
      <c r="H797">
        <v>6.5</v>
      </c>
      <c r="I797" s="4">
        <v>-0.2</v>
      </c>
      <c r="J797" s="3">
        <v>8.3333333333333329E-2</v>
      </c>
      <c r="K797"/>
      <c r="L797" t="s">
        <v>172</v>
      </c>
      <c r="N797" s="3">
        <v>1.4104372355430182E-2</v>
      </c>
      <c r="O797" s="3">
        <v>0</v>
      </c>
      <c r="P797">
        <v>10</v>
      </c>
      <c r="Q797">
        <v>6.5</v>
      </c>
      <c r="R797" t="s">
        <v>102</v>
      </c>
      <c r="S797">
        <v>0</v>
      </c>
      <c r="T797" s="6">
        <f>10^-(14-Q797)</f>
        <v>3.1622776601683699E-8</v>
      </c>
      <c r="U797" s="6">
        <v>0</v>
      </c>
      <c r="V797" s="6">
        <v>0</v>
      </c>
      <c r="W797" s="6">
        <v>0</v>
      </c>
      <c r="X797" s="6">
        <v>0</v>
      </c>
      <c r="Y797" t="s">
        <v>171</v>
      </c>
      <c r="AD797">
        <f>1/6</f>
        <v>0.16666666666666666</v>
      </c>
      <c r="AE797">
        <v>1000</v>
      </c>
      <c r="AF797">
        <v>2</v>
      </c>
      <c r="AG797" s="9">
        <v>1.7000000000000001E-2</v>
      </c>
      <c r="AH797" s="9">
        <v>1.79</v>
      </c>
      <c r="AI797" s="9">
        <v>0.35</v>
      </c>
      <c r="AJ797" s="9">
        <v>3.4000000000000002E-2</v>
      </c>
      <c r="AK797" s="9">
        <v>8.9999999999999993E-3</v>
      </c>
      <c r="AL797" s="9">
        <v>16.3</v>
      </c>
      <c r="AM797" s="9">
        <v>11.3</v>
      </c>
      <c r="AN797" s="9">
        <v>2.0099999999999998</v>
      </c>
      <c r="AO797" s="9">
        <v>5.7000000000000002E-2</v>
      </c>
      <c r="AQ797" s="1"/>
    </row>
    <row r="798" spans="1:43" x14ac:dyDescent="0.3">
      <c r="A798" t="s">
        <v>304</v>
      </c>
      <c r="B798" s="1" t="s">
        <v>1599</v>
      </c>
      <c r="C798">
        <v>55</v>
      </c>
      <c r="D798" s="8">
        <v>1.4403999999999999</v>
      </c>
      <c r="E798">
        <v>32</v>
      </c>
      <c r="F798">
        <v>5.4</v>
      </c>
      <c r="G798" t="s">
        <v>193</v>
      </c>
      <c r="H798">
        <v>6.5</v>
      </c>
      <c r="I798" s="4">
        <v>-0.2</v>
      </c>
      <c r="J798" s="3">
        <v>8.3333333333333329E-2</v>
      </c>
      <c r="K798"/>
      <c r="L798" t="s">
        <v>172</v>
      </c>
      <c r="N798" s="3">
        <v>1.4104372355430182E-2</v>
      </c>
      <c r="O798" s="3">
        <v>0</v>
      </c>
      <c r="P798">
        <v>15</v>
      </c>
      <c r="Q798">
        <v>6.5</v>
      </c>
      <c r="R798" t="s">
        <v>102</v>
      </c>
      <c r="S798">
        <v>0</v>
      </c>
      <c r="T798" s="6">
        <f>10^-(14-Q798)</f>
        <v>3.1622776601683699E-8</v>
      </c>
      <c r="U798" s="6">
        <v>0</v>
      </c>
      <c r="V798" s="6">
        <v>0</v>
      </c>
      <c r="W798" s="6">
        <v>0</v>
      </c>
      <c r="X798" s="6">
        <v>0</v>
      </c>
      <c r="Y798" t="s">
        <v>171</v>
      </c>
      <c r="AD798">
        <f>1/6</f>
        <v>0.16666666666666666</v>
      </c>
      <c r="AE798">
        <v>693</v>
      </c>
      <c r="AF798">
        <v>1</v>
      </c>
      <c r="AG798" s="9">
        <v>1.7000000000000001E-2</v>
      </c>
      <c r="AH798" s="9">
        <v>1.79</v>
      </c>
      <c r="AI798" s="9">
        <v>0.35</v>
      </c>
      <c r="AJ798" s="9">
        <v>3.4000000000000002E-2</v>
      </c>
      <c r="AK798" s="9">
        <v>8.9999999999999993E-3</v>
      </c>
      <c r="AL798" s="9">
        <v>16.3</v>
      </c>
      <c r="AM798" s="9">
        <v>11.3</v>
      </c>
      <c r="AN798" s="9">
        <v>2.0099999999999998</v>
      </c>
      <c r="AO798" s="9">
        <v>5.7000000000000002E-2</v>
      </c>
      <c r="AQ798" s="1"/>
    </row>
    <row r="799" spans="1:43" x14ac:dyDescent="0.3">
      <c r="A799" t="s">
        <v>305</v>
      </c>
      <c r="B799" s="1" t="s">
        <v>1599</v>
      </c>
      <c r="C799">
        <v>55</v>
      </c>
      <c r="D799" s="8">
        <v>1.4403999999999999</v>
      </c>
      <c r="E799">
        <v>32</v>
      </c>
      <c r="F799">
        <v>5.4</v>
      </c>
      <c r="G799" t="s">
        <v>193</v>
      </c>
      <c r="H799">
        <v>6.5</v>
      </c>
      <c r="I799" s="4">
        <v>-0.2</v>
      </c>
      <c r="J799" s="3">
        <v>8.3333333333333329E-2</v>
      </c>
      <c r="K799"/>
      <c r="L799" t="s">
        <v>172</v>
      </c>
      <c r="N799" s="3">
        <v>1.4104372355430182E-2</v>
      </c>
      <c r="O799" s="3">
        <v>0</v>
      </c>
      <c r="P799">
        <v>20</v>
      </c>
      <c r="Q799">
        <v>6.5</v>
      </c>
      <c r="R799" t="s">
        <v>102</v>
      </c>
      <c r="S799">
        <v>0</v>
      </c>
      <c r="T799" s="6">
        <f>10^-(14-Q799)</f>
        <v>3.1622776601683699E-8</v>
      </c>
      <c r="U799" s="6">
        <v>0</v>
      </c>
      <c r="V799" s="6">
        <v>0</v>
      </c>
      <c r="W799" s="6">
        <v>0</v>
      </c>
      <c r="X799" s="6">
        <v>0</v>
      </c>
      <c r="Y799" t="s">
        <v>171</v>
      </c>
      <c r="AD799">
        <f>1/6</f>
        <v>0.16666666666666666</v>
      </c>
      <c r="AE799">
        <v>580</v>
      </c>
      <c r="AF799">
        <v>1</v>
      </c>
      <c r="AG799" s="9">
        <v>1.7000000000000001E-2</v>
      </c>
      <c r="AH799" s="9">
        <v>1.79</v>
      </c>
      <c r="AI799" s="9">
        <v>0.35</v>
      </c>
      <c r="AJ799" s="9">
        <v>3.4000000000000002E-2</v>
      </c>
      <c r="AK799" s="9">
        <v>8.9999999999999993E-3</v>
      </c>
      <c r="AL799" s="9">
        <v>16.3</v>
      </c>
      <c r="AM799" s="9">
        <v>11.3</v>
      </c>
      <c r="AN799" s="9">
        <v>2.0099999999999998</v>
      </c>
      <c r="AO799" s="9">
        <v>5.7000000000000002E-2</v>
      </c>
      <c r="AQ799" s="1"/>
    </row>
    <row r="800" spans="1:43" x14ac:dyDescent="0.3">
      <c r="A800" t="s">
        <v>306</v>
      </c>
      <c r="B800" s="1" t="s">
        <v>1599</v>
      </c>
      <c r="C800">
        <v>55</v>
      </c>
      <c r="D800" s="8">
        <v>1.4403999999999999</v>
      </c>
      <c r="E800">
        <v>32</v>
      </c>
      <c r="F800">
        <v>5.4</v>
      </c>
      <c r="G800" t="s">
        <v>193</v>
      </c>
      <c r="H800">
        <v>6.5</v>
      </c>
      <c r="I800" s="4">
        <v>-0.2</v>
      </c>
      <c r="J800" s="3">
        <v>8.3333333333333329E-2</v>
      </c>
      <c r="K800"/>
      <c r="L800" t="s">
        <v>172</v>
      </c>
      <c r="N800" s="3">
        <v>1.4104372355430182E-2</v>
      </c>
      <c r="O800" s="3">
        <v>0</v>
      </c>
      <c r="P800">
        <v>40</v>
      </c>
      <c r="Q800">
        <v>6.5</v>
      </c>
      <c r="R800" t="s">
        <v>102</v>
      </c>
      <c r="S800">
        <v>0</v>
      </c>
      <c r="T800" s="6">
        <f>10^-(14-Q800)</f>
        <v>3.1622776601683699E-8</v>
      </c>
      <c r="U800" s="6">
        <v>0</v>
      </c>
      <c r="V800" s="6">
        <v>0</v>
      </c>
      <c r="W800" s="6">
        <v>0</v>
      </c>
      <c r="X800" s="6">
        <v>0</v>
      </c>
      <c r="Y800" t="s">
        <v>171</v>
      </c>
      <c r="AD800">
        <f>1/6</f>
        <v>0.16666666666666666</v>
      </c>
      <c r="AE800">
        <v>463</v>
      </c>
      <c r="AF800">
        <v>1</v>
      </c>
      <c r="AG800" s="9">
        <v>1.7000000000000001E-2</v>
      </c>
      <c r="AH800" s="9">
        <v>1.79</v>
      </c>
      <c r="AI800" s="9">
        <v>0.35</v>
      </c>
      <c r="AJ800" s="9">
        <v>3.4000000000000002E-2</v>
      </c>
      <c r="AK800" s="9">
        <v>8.9999999999999993E-3</v>
      </c>
      <c r="AL800" s="9">
        <v>16.3</v>
      </c>
      <c r="AM800" s="9">
        <v>11.3</v>
      </c>
      <c r="AN800" s="9">
        <v>2.0099999999999998</v>
      </c>
      <c r="AO800" s="9">
        <v>5.7000000000000002E-2</v>
      </c>
      <c r="AQ800" s="1"/>
    </row>
    <row r="801" spans="1:43" x14ac:dyDescent="0.3">
      <c r="A801" t="s">
        <v>307</v>
      </c>
      <c r="B801" s="1" t="s">
        <v>1599</v>
      </c>
      <c r="C801">
        <v>55</v>
      </c>
      <c r="D801" s="8">
        <v>1.4403999999999999</v>
      </c>
      <c r="E801">
        <v>32</v>
      </c>
      <c r="F801">
        <v>5.4</v>
      </c>
      <c r="G801" t="s">
        <v>193</v>
      </c>
      <c r="H801">
        <v>6.5</v>
      </c>
      <c r="I801" s="4">
        <v>-0.2</v>
      </c>
      <c r="J801" s="3">
        <v>8.3333333333333329E-2</v>
      </c>
      <c r="K801"/>
      <c r="L801" t="s">
        <v>172</v>
      </c>
      <c r="N801" s="3">
        <v>1.4104372355430182E-2</v>
      </c>
      <c r="O801" s="3">
        <v>0</v>
      </c>
      <c r="P801">
        <v>60</v>
      </c>
      <c r="Q801">
        <v>6.5</v>
      </c>
      <c r="R801" t="s">
        <v>102</v>
      </c>
      <c r="S801">
        <v>0</v>
      </c>
      <c r="T801" s="6">
        <f>10^-(14-Q801)</f>
        <v>3.1622776601683699E-8</v>
      </c>
      <c r="U801" s="6">
        <v>0</v>
      </c>
      <c r="V801" s="6">
        <v>0</v>
      </c>
      <c r="W801" s="6">
        <v>0</v>
      </c>
      <c r="X801" s="6">
        <v>0</v>
      </c>
      <c r="Y801" t="s">
        <v>171</v>
      </c>
      <c r="AD801">
        <f>1/6</f>
        <v>0.16666666666666666</v>
      </c>
      <c r="AE801">
        <v>377</v>
      </c>
      <c r="AF801">
        <v>1</v>
      </c>
      <c r="AG801" s="9">
        <v>1.7000000000000001E-2</v>
      </c>
      <c r="AH801" s="9">
        <v>1.79</v>
      </c>
      <c r="AI801" s="9">
        <v>0.35</v>
      </c>
      <c r="AJ801" s="9">
        <v>3.4000000000000002E-2</v>
      </c>
      <c r="AK801" s="9">
        <v>8.9999999999999993E-3</v>
      </c>
      <c r="AL801" s="9">
        <v>16.3</v>
      </c>
      <c r="AM801" s="9">
        <v>11.3</v>
      </c>
      <c r="AN801" s="9">
        <v>2.0099999999999998</v>
      </c>
      <c r="AO801" s="9">
        <v>5.7000000000000002E-2</v>
      </c>
      <c r="AQ801" s="1"/>
    </row>
    <row r="802" spans="1:43" x14ac:dyDescent="0.3">
      <c r="A802" t="s">
        <v>308</v>
      </c>
      <c r="B802" s="1" t="s">
        <v>1599</v>
      </c>
      <c r="C802">
        <v>55</v>
      </c>
      <c r="D802" s="8">
        <v>1.4403999999999999</v>
      </c>
      <c r="E802">
        <v>32</v>
      </c>
      <c r="F802">
        <v>5.4</v>
      </c>
      <c r="G802" t="s">
        <v>193</v>
      </c>
      <c r="H802">
        <v>6.5</v>
      </c>
      <c r="I802" s="4">
        <v>-0.2</v>
      </c>
      <c r="J802" s="3">
        <v>8.3333333333333329E-2</v>
      </c>
      <c r="K802"/>
      <c r="L802" t="s">
        <v>172</v>
      </c>
      <c r="N802" s="3">
        <v>1.4104372355430182E-2</v>
      </c>
      <c r="O802" s="3">
        <v>0</v>
      </c>
      <c r="P802">
        <v>80</v>
      </c>
      <c r="Q802">
        <v>6.5</v>
      </c>
      <c r="R802" t="s">
        <v>102</v>
      </c>
      <c r="S802">
        <v>0</v>
      </c>
      <c r="T802" s="6">
        <f>10^-(14-Q802)</f>
        <v>3.1622776601683699E-8</v>
      </c>
      <c r="U802" s="6">
        <v>0</v>
      </c>
      <c r="V802" s="6">
        <v>0</v>
      </c>
      <c r="W802" s="6">
        <v>0</v>
      </c>
      <c r="X802" s="6">
        <v>0</v>
      </c>
      <c r="Y802" t="s">
        <v>171</v>
      </c>
      <c r="AD802">
        <f>1/6</f>
        <v>0.16666666666666666</v>
      </c>
      <c r="AE802">
        <v>387</v>
      </c>
      <c r="AF802">
        <v>1</v>
      </c>
      <c r="AG802" s="9">
        <v>1.7000000000000001E-2</v>
      </c>
      <c r="AH802" s="9">
        <v>1.79</v>
      </c>
      <c r="AI802" s="9">
        <v>0.35</v>
      </c>
      <c r="AJ802" s="9">
        <v>3.4000000000000002E-2</v>
      </c>
      <c r="AK802" s="9">
        <v>8.9999999999999993E-3</v>
      </c>
      <c r="AL802" s="9">
        <v>16.3</v>
      </c>
      <c r="AM802" s="9">
        <v>11.3</v>
      </c>
      <c r="AN802" s="9">
        <v>2.0099999999999998</v>
      </c>
      <c r="AO802" s="9">
        <v>5.7000000000000002E-2</v>
      </c>
      <c r="AQ802" s="1"/>
    </row>
    <row r="803" spans="1:43" x14ac:dyDescent="0.3">
      <c r="A803" t="s">
        <v>309</v>
      </c>
      <c r="B803" s="1" t="s">
        <v>1599</v>
      </c>
      <c r="C803">
        <v>55</v>
      </c>
      <c r="D803" s="8">
        <v>1.4403999999999999</v>
      </c>
      <c r="E803">
        <v>32</v>
      </c>
      <c r="F803">
        <v>5.4</v>
      </c>
      <c r="G803" t="s">
        <v>193</v>
      </c>
      <c r="H803">
        <v>6.5</v>
      </c>
      <c r="I803" s="4">
        <v>-0.2</v>
      </c>
      <c r="J803" s="3">
        <v>8.3333333333333329E-2</v>
      </c>
      <c r="K803"/>
      <c r="L803" t="s">
        <v>172</v>
      </c>
      <c r="N803" s="3">
        <v>1.4104372355430182E-2</v>
      </c>
      <c r="O803" s="3">
        <v>0</v>
      </c>
      <c r="P803">
        <v>95</v>
      </c>
      <c r="Q803">
        <v>6.5</v>
      </c>
      <c r="R803" t="s">
        <v>102</v>
      </c>
      <c r="S803">
        <v>0</v>
      </c>
      <c r="T803" s="6">
        <f>10^-(14-Q803)</f>
        <v>3.1622776601683699E-8</v>
      </c>
      <c r="U803" s="6">
        <v>0</v>
      </c>
      <c r="V803" s="6">
        <v>0</v>
      </c>
      <c r="W803" s="6">
        <v>0</v>
      </c>
      <c r="X803" s="6">
        <v>0</v>
      </c>
      <c r="Y803" t="s">
        <v>171</v>
      </c>
      <c r="AD803">
        <f>1/6</f>
        <v>0.16666666666666666</v>
      </c>
      <c r="AE803">
        <v>216</v>
      </c>
      <c r="AF803">
        <v>1</v>
      </c>
      <c r="AG803" s="9">
        <v>1.7000000000000001E-2</v>
      </c>
      <c r="AH803" s="9">
        <v>1.79</v>
      </c>
      <c r="AI803" s="9">
        <v>0.35</v>
      </c>
      <c r="AJ803" s="9">
        <v>3.4000000000000002E-2</v>
      </c>
      <c r="AK803" s="9">
        <v>8.9999999999999993E-3</v>
      </c>
      <c r="AL803" s="9">
        <v>16.3</v>
      </c>
      <c r="AM803" s="9">
        <v>11.3</v>
      </c>
      <c r="AN803" s="9">
        <v>2.0099999999999998</v>
      </c>
      <c r="AO803" s="9">
        <v>5.7000000000000002E-2</v>
      </c>
      <c r="AQ803" s="1"/>
    </row>
    <row r="804" spans="1:43" x14ac:dyDescent="0.3">
      <c r="A804" t="s">
        <v>310</v>
      </c>
      <c r="B804" s="1" t="s">
        <v>1599</v>
      </c>
      <c r="C804">
        <v>55</v>
      </c>
      <c r="D804" s="8">
        <v>1.4403999999999999</v>
      </c>
      <c r="E804">
        <v>100000</v>
      </c>
      <c r="F804">
        <v>6.6</v>
      </c>
      <c r="G804" t="s">
        <v>193</v>
      </c>
      <c r="H804">
        <v>6.5</v>
      </c>
      <c r="I804" s="4">
        <v>-0.2</v>
      </c>
      <c r="J804" s="3">
        <v>8.3333333333333329E-2</v>
      </c>
      <c r="K804"/>
      <c r="L804" t="s">
        <v>172</v>
      </c>
      <c r="N804" s="3">
        <v>1.4104372355430182E-2</v>
      </c>
      <c r="O804" s="3">
        <v>0</v>
      </c>
      <c r="P804">
        <v>10</v>
      </c>
      <c r="Q804">
        <v>6.5</v>
      </c>
      <c r="R804" t="s">
        <v>102</v>
      </c>
      <c r="S804">
        <v>0</v>
      </c>
      <c r="T804" s="6">
        <f>10^-(14-Q804)</f>
        <v>3.1622776601683699E-8</v>
      </c>
      <c r="U804" s="6">
        <v>0</v>
      </c>
      <c r="V804" s="6">
        <v>0</v>
      </c>
      <c r="W804" s="6">
        <v>0</v>
      </c>
      <c r="X804" s="6">
        <v>0</v>
      </c>
      <c r="Y804" t="s">
        <v>171</v>
      </c>
      <c r="AD804">
        <f>1/6</f>
        <v>0.16666666666666666</v>
      </c>
      <c r="AE804">
        <v>965</v>
      </c>
      <c r="AF804">
        <v>1</v>
      </c>
      <c r="AG804" s="9">
        <v>1.7000000000000001E-2</v>
      </c>
      <c r="AH804" s="9">
        <v>1.79</v>
      </c>
      <c r="AI804" s="9">
        <v>0.35</v>
      </c>
      <c r="AJ804" s="9">
        <v>3.4000000000000002E-2</v>
      </c>
      <c r="AK804" s="9">
        <v>8.9999999999999993E-3</v>
      </c>
      <c r="AL804" s="9">
        <v>16.3</v>
      </c>
      <c r="AM804" s="9">
        <v>11.3</v>
      </c>
      <c r="AN804" s="9">
        <v>2.0099999999999998</v>
      </c>
      <c r="AO804" s="9">
        <v>5.7000000000000002E-2</v>
      </c>
      <c r="AQ804" s="1"/>
    </row>
    <row r="805" spans="1:43" x14ac:dyDescent="0.3">
      <c r="A805" t="s">
        <v>311</v>
      </c>
      <c r="B805" s="1" t="s">
        <v>1599</v>
      </c>
      <c r="C805">
        <v>55</v>
      </c>
      <c r="D805" s="8">
        <v>1.4403999999999999</v>
      </c>
      <c r="E805">
        <v>100000</v>
      </c>
      <c r="F805">
        <v>6.6</v>
      </c>
      <c r="G805" t="s">
        <v>193</v>
      </c>
      <c r="H805">
        <v>6.5</v>
      </c>
      <c r="I805" s="4">
        <v>-0.2</v>
      </c>
      <c r="J805" s="3">
        <v>8.3333333333333329E-2</v>
      </c>
      <c r="K805"/>
      <c r="L805" t="s">
        <v>172</v>
      </c>
      <c r="N805" s="3">
        <v>1.4104372355430182E-2</v>
      </c>
      <c r="O805" s="3">
        <v>0</v>
      </c>
      <c r="P805">
        <v>15</v>
      </c>
      <c r="Q805">
        <v>6.5</v>
      </c>
      <c r="R805" t="s">
        <v>102</v>
      </c>
      <c r="S805">
        <v>0</v>
      </c>
      <c r="T805" s="6">
        <f>10^-(14-Q805)</f>
        <v>3.1622776601683699E-8</v>
      </c>
      <c r="U805" s="6">
        <v>0</v>
      </c>
      <c r="V805" s="6">
        <v>0</v>
      </c>
      <c r="W805" s="6">
        <v>0</v>
      </c>
      <c r="X805" s="6">
        <v>0</v>
      </c>
      <c r="Y805" t="s">
        <v>171</v>
      </c>
      <c r="AD805">
        <f>1/6</f>
        <v>0.16666666666666666</v>
      </c>
      <c r="AE805">
        <v>633</v>
      </c>
      <c r="AF805">
        <v>1</v>
      </c>
      <c r="AG805" s="9">
        <v>1.7000000000000001E-2</v>
      </c>
      <c r="AH805" s="9">
        <v>1.79</v>
      </c>
      <c r="AI805" s="9">
        <v>0.35</v>
      </c>
      <c r="AJ805" s="9">
        <v>3.4000000000000002E-2</v>
      </c>
      <c r="AK805" s="9">
        <v>8.9999999999999993E-3</v>
      </c>
      <c r="AL805" s="9">
        <v>16.3</v>
      </c>
      <c r="AM805" s="9">
        <v>11.3</v>
      </c>
      <c r="AN805" s="9">
        <v>2.0099999999999998</v>
      </c>
      <c r="AO805" s="9">
        <v>5.7000000000000002E-2</v>
      </c>
      <c r="AQ805" s="1"/>
    </row>
    <row r="806" spans="1:43" x14ac:dyDescent="0.3">
      <c r="A806" t="s">
        <v>312</v>
      </c>
      <c r="B806" s="1" t="s">
        <v>1599</v>
      </c>
      <c r="C806">
        <v>55</v>
      </c>
      <c r="D806" s="8">
        <v>1.4403999999999999</v>
      </c>
      <c r="E806">
        <v>100000</v>
      </c>
      <c r="F806">
        <v>6.6</v>
      </c>
      <c r="G806" t="s">
        <v>193</v>
      </c>
      <c r="H806">
        <v>6.5</v>
      </c>
      <c r="I806" s="4">
        <v>-0.2</v>
      </c>
      <c r="J806" s="3">
        <v>8.3333333333333329E-2</v>
      </c>
      <c r="K806"/>
      <c r="L806" t="s">
        <v>172</v>
      </c>
      <c r="N806" s="3">
        <v>1.4104372355430182E-2</v>
      </c>
      <c r="O806" s="3">
        <v>0</v>
      </c>
      <c r="P806">
        <v>20</v>
      </c>
      <c r="Q806">
        <v>6.5</v>
      </c>
      <c r="R806" t="s">
        <v>102</v>
      </c>
      <c r="S806">
        <v>0</v>
      </c>
      <c r="T806" s="6">
        <f>10^-(14-Q806)</f>
        <v>3.1622776601683699E-8</v>
      </c>
      <c r="U806" s="6">
        <v>0</v>
      </c>
      <c r="V806" s="6">
        <v>0</v>
      </c>
      <c r="W806" s="6">
        <v>0</v>
      </c>
      <c r="X806" s="6">
        <v>0</v>
      </c>
      <c r="Y806" t="s">
        <v>171</v>
      </c>
      <c r="AD806">
        <f>1/6</f>
        <v>0.16666666666666666</v>
      </c>
      <c r="AE806">
        <v>661</v>
      </c>
      <c r="AF806">
        <v>1</v>
      </c>
      <c r="AG806" s="9">
        <v>1.7000000000000001E-2</v>
      </c>
      <c r="AH806" s="9">
        <v>1.79</v>
      </c>
      <c r="AI806" s="9">
        <v>0.35</v>
      </c>
      <c r="AJ806" s="9">
        <v>3.4000000000000002E-2</v>
      </c>
      <c r="AK806" s="9">
        <v>8.9999999999999993E-3</v>
      </c>
      <c r="AL806" s="9">
        <v>16.3</v>
      </c>
      <c r="AM806" s="9">
        <v>11.3</v>
      </c>
      <c r="AN806" s="9">
        <v>2.0099999999999998</v>
      </c>
      <c r="AO806" s="9">
        <v>5.7000000000000002E-2</v>
      </c>
      <c r="AQ806" s="1"/>
    </row>
    <row r="807" spans="1:43" x14ac:dyDescent="0.3">
      <c r="A807" t="s">
        <v>313</v>
      </c>
      <c r="B807" s="1" t="s">
        <v>1599</v>
      </c>
      <c r="C807">
        <v>55</v>
      </c>
      <c r="D807" s="8">
        <v>1.4403999999999999</v>
      </c>
      <c r="E807">
        <v>100000</v>
      </c>
      <c r="F807">
        <v>6.6</v>
      </c>
      <c r="G807" t="s">
        <v>193</v>
      </c>
      <c r="H807">
        <v>6.5</v>
      </c>
      <c r="I807" s="4">
        <v>-0.2</v>
      </c>
      <c r="J807" s="3">
        <v>8.3333333333333329E-2</v>
      </c>
      <c r="K807"/>
      <c r="L807" t="s">
        <v>172</v>
      </c>
      <c r="N807" s="3">
        <v>1.4104372355430182E-2</v>
      </c>
      <c r="O807" s="3">
        <v>0</v>
      </c>
      <c r="P807">
        <v>40</v>
      </c>
      <c r="Q807">
        <v>6.5</v>
      </c>
      <c r="R807" t="s">
        <v>102</v>
      </c>
      <c r="S807">
        <v>0</v>
      </c>
      <c r="T807" s="6">
        <f>10^-(14-Q807)</f>
        <v>3.1622776601683699E-8</v>
      </c>
      <c r="U807" s="6">
        <v>0</v>
      </c>
      <c r="V807" s="6">
        <v>0</v>
      </c>
      <c r="W807" s="6">
        <v>0</v>
      </c>
      <c r="X807" s="6">
        <v>0</v>
      </c>
      <c r="Y807" t="s">
        <v>171</v>
      </c>
      <c r="AD807">
        <f>1/6</f>
        <v>0.16666666666666666</v>
      </c>
      <c r="AE807">
        <v>491</v>
      </c>
      <c r="AF807">
        <v>1</v>
      </c>
      <c r="AG807" s="9">
        <v>1.7000000000000001E-2</v>
      </c>
      <c r="AH807" s="9">
        <v>1.79</v>
      </c>
      <c r="AI807" s="9">
        <v>0.35</v>
      </c>
      <c r="AJ807" s="9">
        <v>3.4000000000000002E-2</v>
      </c>
      <c r="AK807" s="9">
        <v>8.9999999999999993E-3</v>
      </c>
      <c r="AL807" s="9">
        <v>16.3</v>
      </c>
      <c r="AM807" s="9">
        <v>11.3</v>
      </c>
      <c r="AN807" s="9">
        <v>2.0099999999999998</v>
      </c>
      <c r="AO807" s="9">
        <v>5.7000000000000002E-2</v>
      </c>
      <c r="AQ807" s="1"/>
    </row>
    <row r="808" spans="1:43" x14ac:dyDescent="0.3">
      <c r="A808" t="s">
        <v>314</v>
      </c>
      <c r="B808" s="1" t="s">
        <v>1599</v>
      </c>
      <c r="C808">
        <v>55</v>
      </c>
      <c r="D808" s="8">
        <v>1.4403999999999999</v>
      </c>
      <c r="E808">
        <v>100000</v>
      </c>
      <c r="F808">
        <v>6.6</v>
      </c>
      <c r="G808" t="s">
        <v>193</v>
      </c>
      <c r="H808">
        <v>6.5</v>
      </c>
      <c r="I808" s="4">
        <v>-0.2</v>
      </c>
      <c r="J808" s="3">
        <v>8.3333333333333329E-2</v>
      </c>
      <c r="K808"/>
      <c r="L808" t="s">
        <v>172</v>
      </c>
      <c r="N808" s="3">
        <v>1.4104372355430182E-2</v>
      </c>
      <c r="O808" s="3">
        <v>0</v>
      </c>
      <c r="P808">
        <v>60</v>
      </c>
      <c r="Q808">
        <v>6.5</v>
      </c>
      <c r="R808" t="s">
        <v>102</v>
      </c>
      <c r="S808">
        <v>0</v>
      </c>
      <c r="T808" s="6">
        <f>10^-(14-Q808)</f>
        <v>3.1622776601683699E-8</v>
      </c>
      <c r="U808" s="6">
        <v>0</v>
      </c>
      <c r="V808" s="6">
        <v>0</v>
      </c>
      <c r="W808" s="6">
        <v>0</v>
      </c>
      <c r="X808" s="6">
        <v>0</v>
      </c>
      <c r="Y808" t="s">
        <v>171</v>
      </c>
      <c r="AD808">
        <f>1/6</f>
        <v>0.16666666666666666</v>
      </c>
      <c r="AE808">
        <v>435</v>
      </c>
      <c r="AF808">
        <v>1</v>
      </c>
      <c r="AG808" s="9">
        <v>1.7000000000000001E-2</v>
      </c>
      <c r="AH808" s="9">
        <v>1.79</v>
      </c>
      <c r="AI808" s="9">
        <v>0.35</v>
      </c>
      <c r="AJ808" s="9">
        <v>3.4000000000000002E-2</v>
      </c>
      <c r="AK808" s="9">
        <v>8.9999999999999993E-3</v>
      </c>
      <c r="AL808" s="9">
        <v>16.3</v>
      </c>
      <c r="AM808" s="9">
        <v>11.3</v>
      </c>
      <c r="AN808" s="9">
        <v>2.0099999999999998</v>
      </c>
      <c r="AO808" s="9">
        <v>5.7000000000000002E-2</v>
      </c>
      <c r="AQ808" s="1"/>
    </row>
    <row r="809" spans="1:43" x14ac:dyDescent="0.3">
      <c r="A809" t="s">
        <v>315</v>
      </c>
      <c r="B809" s="1" t="s">
        <v>1599</v>
      </c>
      <c r="C809">
        <v>55</v>
      </c>
      <c r="D809" s="8">
        <v>1.4403999999999999</v>
      </c>
      <c r="E809">
        <v>100000</v>
      </c>
      <c r="F809">
        <v>6.6</v>
      </c>
      <c r="G809" t="s">
        <v>193</v>
      </c>
      <c r="H809">
        <v>6.5</v>
      </c>
      <c r="I809" s="4">
        <v>-0.2</v>
      </c>
      <c r="J809" s="3">
        <v>8.3333333333333329E-2</v>
      </c>
      <c r="K809"/>
      <c r="L809" t="s">
        <v>172</v>
      </c>
      <c r="N809" s="3">
        <v>1.4104372355430182E-2</v>
      </c>
      <c r="O809" s="3">
        <v>0</v>
      </c>
      <c r="P809">
        <v>80</v>
      </c>
      <c r="Q809">
        <v>6.5</v>
      </c>
      <c r="R809" t="s">
        <v>102</v>
      </c>
      <c r="S809">
        <v>0</v>
      </c>
      <c r="T809" s="6">
        <f>10^-(14-Q809)</f>
        <v>3.1622776601683699E-8</v>
      </c>
      <c r="U809" s="6">
        <v>0</v>
      </c>
      <c r="V809" s="6">
        <v>0</v>
      </c>
      <c r="W809" s="6">
        <v>0</v>
      </c>
      <c r="X809" s="6">
        <v>0</v>
      </c>
      <c r="Y809" t="s">
        <v>171</v>
      </c>
      <c r="AD809">
        <f>1/6</f>
        <v>0.16666666666666666</v>
      </c>
      <c r="AE809">
        <v>315</v>
      </c>
      <c r="AF809">
        <v>1</v>
      </c>
      <c r="AG809" s="9">
        <v>1.7000000000000001E-2</v>
      </c>
      <c r="AH809" s="9">
        <v>1.79</v>
      </c>
      <c r="AI809" s="9">
        <v>0.35</v>
      </c>
      <c r="AJ809" s="9">
        <v>3.4000000000000002E-2</v>
      </c>
      <c r="AK809" s="9">
        <v>8.9999999999999993E-3</v>
      </c>
      <c r="AL809" s="9">
        <v>16.3</v>
      </c>
      <c r="AM809" s="9">
        <v>11.3</v>
      </c>
      <c r="AN809" s="9">
        <v>2.0099999999999998</v>
      </c>
      <c r="AO809" s="9">
        <v>5.7000000000000002E-2</v>
      </c>
      <c r="AQ809" s="1"/>
    </row>
    <row r="810" spans="1:43" x14ac:dyDescent="0.3">
      <c r="A810" t="s">
        <v>316</v>
      </c>
      <c r="B810" s="1" t="s">
        <v>1599</v>
      </c>
      <c r="C810">
        <v>55</v>
      </c>
      <c r="D810" s="8">
        <v>1.4403999999999999</v>
      </c>
      <c r="E810">
        <v>100000</v>
      </c>
      <c r="F810">
        <v>6.6</v>
      </c>
      <c r="G810" t="s">
        <v>193</v>
      </c>
      <c r="H810">
        <v>6.5</v>
      </c>
      <c r="I810" s="4">
        <v>-0.2</v>
      </c>
      <c r="J810" s="3">
        <v>8.3333333333333329E-2</v>
      </c>
      <c r="K810"/>
      <c r="L810" t="s">
        <v>172</v>
      </c>
      <c r="N810" s="3">
        <v>1.4104372355430182E-2</v>
      </c>
      <c r="O810" s="3">
        <v>0</v>
      </c>
      <c r="P810">
        <v>95</v>
      </c>
      <c r="Q810">
        <v>6.5</v>
      </c>
      <c r="R810" t="s">
        <v>102</v>
      </c>
      <c r="S810">
        <v>0</v>
      </c>
      <c r="T810" s="6">
        <f>10^-(14-Q810)</f>
        <v>3.1622776601683699E-8</v>
      </c>
      <c r="U810" s="6">
        <v>0</v>
      </c>
      <c r="V810" s="6">
        <v>0</v>
      </c>
      <c r="W810" s="6">
        <v>0</v>
      </c>
      <c r="X810" s="6">
        <v>0</v>
      </c>
      <c r="Y810" t="s">
        <v>171</v>
      </c>
      <c r="AD810">
        <f>1/6</f>
        <v>0.16666666666666666</v>
      </c>
      <c r="AE810">
        <v>262</v>
      </c>
      <c r="AF810">
        <v>1</v>
      </c>
      <c r="AG810" s="9">
        <v>1.7000000000000001E-2</v>
      </c>
      <c r="AH810" s="9">
        <v>1.79</v>
      </c>
      <c r="AI810" s="9">
        <v>0.35</v>
      </c>
      <c r="AJ810" s="9">
        <v>3.4000000000000002E-2</v>
      </c>
      <c r="AK810" s="9">
        <v>8.9999999999999993E-3</v>
      </c>
      <c r="AL810" s="9">
        <v>16.3</v>
      </c>
      <c r="AM810" s="9">
        <v>11.3</v>
      </c>
      <c r="AN810" s="9">
        <v>2.0099999999999998</v>
      </c>
      <c r="AO810" s="9">
        <v>5.7000000000000002E-2</v>
      </c>
      <c r="AQ810" s="1"/>
    </row>
    <row r="811" spans="1:43" x14ac:dyDescent="0.3">
      <c r="A811" t="s">
        <v>317</v>
      </c>
      <c r="B811" s="1" t="s">
        <v>1599</v>
      </c>
      <c r="C811">
        <v>55</v>
      </c>
      <c r="D811" s="8">
        <v>1.4403999999999999</v>
      </c>
      <c r="E811">
        <v>100000</v>
      </c>
      <c r="F811">
        <v>6.5</v>
      </c>
      <c r="G811" t="s">
        <v>193</v>
      </c>
      <c r="H811">
        <v>6.5</v>
      </c>
      <c r="I811" s="4">
        <v>-0.2</v>
      </c>
      <c r="J811" s="3">
        <v>8.3333333333333329E-2</v>
      </c>
      <c r="K811"/>
      <c r="L811" t="s">
        <v>172</v>
      </c>
      <c r="N811" s="3">
        <v>1.4104372355430182E-2</v>
      </c>
      <c r="O811" s="3">
        <v>0</v>
      </c>
      <c r="P811">
        <v>10</v>
      </c>
      <c r="Q811">
        <v>6.5</v>
      </c>
      <c r="R811" t="s">
        <v>102</v>
      </c>
      <c r="S811">
        <v>0</v>
      </c>
      <c r="T811" s="6">
        <f>10^-(14-Q811)</f>
        <v>3.1622776601683699E-8</v>
      </c>
      <c r="U811" s="6">
        <v>0</v>
      </c>
      <c r="V811" s="6">
        <v>0</v>
      </c>
      <c r="W811" s="6">
        <v>0</v>
      </c>
      <c r="X811" s="6">
        <v>0</v>
      </c>
      <c r="Y811" t="s">
        <v>171</v>
      </c>
      <c r="AD811">
        <f>1/6</f>
        <v>0.16666666666666666</v>
      </c>
      <c r="AE811">
        <v>1000</v>
      </c>
      <c r="AF811">
        <v>2</v>
      </c>
      <c r="AG811" s="9">
        <v>1.7000000000000001E-2</v>
      </c>
      <c r="AH811" s="9">
        <v>1.79</v>
      </c>
      <c r="AI811" s="9">
        <v>0.35</v>
      </c>
      <c r="AJ811" s="9">
        <v>3.4000000000000002E-2</v>
      </c>
      <c r="AK811" s="9">
        <v>8.9999999999999993E-3</v>
      </c>
      <c r="AL811" s="9">
        <v>16.3</v>
      </c>
      <c r="AM811" s="9">
        <v>11.3</v>
      </c>
      <c r="AN811" s="9">
        <v>2.0099999999999998</v>
      </c>
      <c r="AO811" s="9">
        <v>5.7000000000000002E-2</v>
      </c>
      <c r="AQ811" s="1"/>
    </row>
    <row r="812" spans="1:43" x14ac:dyDescent="0.3">
      <c r="A812" t="s">
        <v>318</v>
      </c>
      <c r="B812" s="1" t="s">
        <v>1599</v>
      </c>
      <c r="C812">
        <v>55</v>
      </c>
      <c r="D812" s="8">
        <v>1.4403999999999999</v>
      </c>
      <c r="E812">
        <v>100000</v>
      </c>
      <c r="F812">
        <v>6.5</v>
      </c>
      <c r="G812" t="s">
        <v>193</v>
      </c>
      <c r="H812">
        <v>6.5</v>
      </c>
      <c r="I812" s="4">
        <v>-0.2</v>
      </c>
      <c r="J812" s="3">
        <v>8.3333333333333329E-2</v>
      </c>
      <c r="K812"/>
      <c r="L812" t="s">
        <v>172</v>
      </c>
      <c r="N812" s="3">
        <v>1.4104372355430182E-2</v>
      </c>
      <c r="O812" s="3">
        <v>0</v>
      </c>
      <c r="P812">
        <v>20</v>
      </c>
      <c r="Q812">
        <v>6.5</v>
      </c>
      <c r="R812" t="s">
        <v>102</v>
      </c>
      <c r="S812">
        <v>0</v>
      </c>
      <c r="T812" s="6">
        <f>10^-(14-Q812)</f>
        <v>3.1622776601683699E-8</v>
      </c>
      <c r="U812" s="6">
        <v>0</v>
      </c>
      <c r="V812" s="6">
        <v>0</v>
      </c>
      <c r="W812" s="6">
        <v>0</v>
      </c>
      <c r="X812" s="6">
        <v>0</v>
      </c>
      <c r="Y812" t="s">
        <v>171</v>
      </c>
      <c r="AD812">
        <f>1/6</f>
        <v>0.16666666666666666</v>
      </c>
      <c r="AE812">
        <v>478</v>
      </c>
      <c r="AF812">
        <v>1</v>
      </c>
      <c r="AG812" s="9">
        <v>1.7000000000000001E-2</v>
      </c>
      <c r="AH812" s="9">
        <v>1.79</v>
      </c>
      <c r="AI812" s="9">
        <v>0.35</v>
      </c>
      <c r="AJ812" s="9">
        <v>3.4000000000000002E-2</v>
      </c>
      <c r="AK812" s="9">
        <v>8.9999999999999993E-3</v>
      </c>
      <c r="AL812" s="9">
        <v>16.3</v>
      </c>
      <c r="AM812" s="9">
        <v>11.3</v>
      </c>
      <c r="AN812" s="9">
        <v>2.0099999999999998</v>
      </c>
      <c r="AO812" s="9">
        <v>5.7000000000000002E-2</v>
      </c>
      <c r="AQ812" s="1"/>
    </row>
    <row r="813" spans="1:43" x14ac:dyDescent="0.3">
      <c r="A813" t="s">
        <v>319</v>
      </c>
      <c r="B813" s="1" t="s">
        <v>1599</v>
      </c>
      <c r="C813">
        <v>55</v>
      </c>
      <c r="D813" s="8">
        <v>1.4403999999999999</v>
      </c>
      <c r="E813">
        <v>100000</v>
      </c>
      <c r="F813">
        <v>6.5</v>
      </c>
      <c r="G813" t="s">
        <v>193</v>
      </c>
      <c r="H813">
        <v>6.5</v>
      </c>
      <c r="I813" s="4">
        <v>-0.2</v>
      </c>
      <c r="J813" s="3">
        <v>8.3333333333333329E-2</v>
      </c>
      <c r="K813"/>
      <c r="L813" t="s">
        <v>172</v>
      </c>
      <c r="N813" s="3">
        <v>1.4104372355430182E-2</v>
      </c>
      <c r="O813" s="3">
        <v>0</v>
      </c>
      <c r="P813">
        <v>40</v>
      </c>
      <c r="Q813">
        <v>6.5</v>
      </c>
      <c r="R813" t="s">
        <v>102</v>
      </c>
      <c r="S813">
        <v>0</v>
      </c>
      <c r="T813" s="6">
        <f>10^-(14-Q813)</f>
        <v>3.1622776601683699E-8</v>
      </c>
      <c r="U813" s="6">
        <v>0</v>
      </c>
      <c r="V813" s="6">
        <v>0</v>
      </c>
      <c r="W813" s="6">
        <v>0</v>
      </c>
      <c r="X813" s="6">
        <v>0</v>
      </c>
      <c r="Y813" t="s">
        <v>171</v>
      </c>
      <c r="AD813">
        <f>1/6</f>
        <v>0.16666666666666666</v>
      </c>
      <c r="AE813">
        <v>984</v>
      </c>
      <c r="AF813">
        <v>1</v>
      </c>
      <c r="AG813" s="9">
        <v>1.7000000000000001E-2</v>
      </c>
      <c r="AH813" s="9">
        <v>1.79</v>
      </c>
      <c r="AI813" s="9">
        <v>0.35</v>
      </c>
      <c r="AJ813" s="9">
        <v>3.4000000000000002E-2</v>
      </c>
      <c r="AK813" s="9">
        <v>8.9999999999999993E-3</v>
      </c>
      <c r="AL813" s="9">
        <v>16.3</v>
      </c>
      <c r="AM813" s="9">
        <v>11.3</v>
      </c>
      <c r="AN813" s="9">
        <v>2.0099999999999998</v>
      </c>
      <c r="AO813" s="9">
        <v>5.7000000000000002E-2</v>
      </c>
      <c r="AQ813" s="1"/>
    </row>
    <row r="814" spans="1:43" x14ac:dyDescent="0.3">
      <c r="A814" t="s">
        <v>320</v>
      </c>
      <c r="B814" s="1" t="s">
        <v>1599</v>
      </c>
      <c r="C814">
        <v>55</v>
      </c>
      <c r="D814" s="8">
        <v>1.4403999999999999</v>
      </c>
      <c r="E814">
        <v>100000</v>
      </c>
      <c r="F814">
        <v>6.5</v>
      </c>
      <c r="G814" t="s">
        <v>193</v>
      </c>
      <c r="H814">
        <v>6.5</v>
      </c>
      <c r="I814" s="4">
        <v>-0.2</v>
      </c>
      <c r="J814" s="3">
        <v>8.3333333333333329E-2</v>
      </c>
      <c r="K814"/>
      <c r="L814" t="s">
        <v>172</v>
      </c>
      <c r="N814" s="3">
        <v>1.4104372355430182E-2</v>
      </c>
      <c r="O814" s="3">
        <v>0</v>
      </c>
      <c r="P814">
        <v>60</v>
      </c>
      <c r="Q814">
        <v>6.5</v>
      </c>
      <c r="R814" t="s">
        <v>102</v>
      </c>
      <c r="S814">
        <v>0</v>
      </c>
      <c r="T814" s="6">
        <f>10^-(14-Q814)</f>
        <v>3.1622776601683699E-8</v>
      </c>
      <c r="U814" s="6">
        <v>0</v>
      </c>
      <c r="V814" s="6">
        <v>0</v>
      </c>
      <c r="W814" s="6">
        <v>0</v>
      </c>
      <c r="X814" s="6">
        <v>0</v>
      </c>
      <c r="Y814" t="s">
        <v>171</v>
      </c>
      <c r="AD814">
        <f>1/6</f>
        <v>0.16666666666666666</v>
      </c>
      <c r="AE814">
        <v>383</v>
      </c>
      <c r="AF814">
        <v>1</v>
      </c>
      <c r="AG814" s="9">
        <v>1.7000000000000001E-2</v>
      </c>
      <c r="AH814" s="9">
        <v>1.79</v>
      </c>
      <c r="AI814" s="9">
        <v>0.35</v>
      </c>
      <c r="AJ814" s="9">
        <v>3.4000000000000002E-2</v>
      </c>
      <c r="AK814" s="9">
        <v>8.9999999999999993E-3</v>
      </c>
      <c r="AL814" s="9">
        <v>16.3</v>
      </c>
      <c r="AM814" s="9">
        <v>11.3</v>
      </c>
      <c r="AN814" s="9">
        <v>2.0099999999999998</v>
      </c>
      <c r="AO814" s="9">
        <v>5.7000000000000002E-2</v>
      </c>
      <c r="AQ814" s="1"/>
    </row>
    <row r="815" spans="1:43" x14ac:dyDescent="0.3">
      <c r="A815" t="s">
        <v>321</v>
      </c>
      <c r="B815" s="1" t="s">
        <v>1599</v>
      </c>
      <c r="C815">
        <v>55</v>
      </c>
      <c r="D815" s="8">
        <v>1.4403999999999999</v>
      </c>
      <c r="E815">
        <v>100000</v>
      </c>
      <c r="F815">
        <v>6.5</v>
      </c>
      <c r="G815" t="s">
        <v>193</v>
      </c>
      <c r="H815">
        <v>6.5</v>
      </c>
      <c r="I815" s="4">
        <v>-0.2</v>
      </c>
      <c r="J815" s="3">
        <v>8.3333333333333329E-2</v>
      </c>
      <c r="K815"/>
      <c r="L815" t="s">
        <v>172</v>
      </c>
      <c r="N815" s="3">
        <v>1.4104372355430182E-2</v>
      </c>
      <c r="O815" s="3">
        <v>0</v>
      </c>
      <c r="P815">
        <v>80</v>
      </c>
      <c r="Q815">
        <v>6.5</v>
      </c>
      <c r="R815" t="s">
        <v>102</v>
      </c>
      <c r="S815">
        <v>0</v>
      </c>
      <c r="T815" s="6">
        <f>10^-(14-Q815)</f>
        <v>3.1622776601683699E-8</v>
      </c>
      <c r="U815" s="6">
        <v>0</v>
      </c>
      <c r="V815" s="6">
        <v>0</v>
      </c>
      <c r="W815" s="6">
        <v>0</v>
      </c>
      <c r="X815" s="6">
        <v>0</v>
      </c>
      <c r="Y815" t="s">
        <v>171</v>
      </c>
      <c r="AD815">
        <f>1/6</f>
        <v>0.16666666666666666</v>
      </c>
      <c r="AE815">
        <v>315</v>
      </c>
      <c r="AF815">
        <v>1</v>
      </c>
      <c r="AG815" s="9">
        <v>1.7000000000000001E-2</v>
      </c>
      <c r="AH815" s="9">
        <v>1.79</v>
      </c>
      <c r="AI815" s="9">
        <v>0.35</v>
      </c>
      <c r="AJ815" s="9">
        <v>3.4000000000000002E-2</v>
      </c>
      <c r="AK815" s="9">
        <v>8.9999999999999993E-3</v>
      </c>
      <c r="AL815" s="9">
        <v>16.3</v>
      </c>
      <c r="AM815" s="9">
        <v>11.3</v>
      </c>
      <c r="AN815" s="9">
        <v>2.0099999999999998</v>
      </c>
      <c r="AO815" s="9">
        <v>5.7000000000000002E-2</v>
      </c>
      <c r="AQ815" s="1"/>
    </row>
    <row r="816" spans="1:43" x14ac:dyDescent="0.3">
      <c r="A816" t="s">
        <v>322</v>
      </c>
      <c r="B816" s="1" t="s">
        <v>1599</v>
      </c>
      <c r="C816">
        <v>55</v>
      </c>
      <c r="D816" s="8">
        <v>1.4403999999999999</v>
      </c>
      <c r="E816">
        <v>100000</v>
      </c>
      <c r="F816">
        <v>6.5</v>
      </c>
      <c r="G816" t="s">
        <v>193</v>
      </c>
      <c r="H816">
        <v>6.5</v>
      </c>
      <c r="I816" s="4">
        <v>-0.2</v>
      </c>
      <c r="J816" s="3">
        <v>8.3333333333333329E-2</v>
      </c>
      <c r="K816"/>
      <c r="L816" t="s">
        <v>172</v>
      </c>
      <c r="N816" s="3">
        <v>1.4104372355430182E-2</v>
      </c>
      <c r="O816" s="3">
        <v>0</v>
      </c>
      <c r="P816">
        <v>95</v>
      </c>
      <c r="Q816">
        <v>6.5</v>
      </c>
      <c r="R816" t="s">
        <v>102</v>
      </c>
      <c r="S816">
        <v>0</v>
      </c>
      <c r="T816" s="6">
        <f>10^-(14-Q816)</f>
        <v>3.1622776601683699E-8</v>
      </c>
      <c r="U816" s="6">
        <v>0</v>
      </c>
      <c r="V816" s="6">
        <v>0</v>
      </c>
      <c r="W816" s="6">
        <v>0</v>
      </c>
      <c r="X816" s="6">
        <v>0</v>
      </c>
      <c r="Y816" t="s">
        <v>171</v>
      </c>
      <c r="AD816">
        <f>1/6</f>
        <v>0.16666666666666666</v>
      </c>
      <c r="AE816">
        <v>765</v>
      </c>
      <c r="AF816">
        <v>1</v>
      </c>
      <c r="AG816" s="9">
        <v>1.7000000000000001E-2</v>
      </c>
      <c r="AH816" s="9">
        <v>1.79</v>
      </c>
      <c r="AI816" s="9">
        <v>0.35</v>
      </c>
      <c r="AJ816" s="9">
        <v>3.4000000000000002E-2</v>
      </c>
      <c r="AK816" s="9">
        <v>8.9999999999999993E-3</v>
      </c>
      <c r="AL816" s="9">
        <v>16.3</v>
      </c>
      <c r="AM816" s="9">
        <v>11.3</v>
      </c>
      <c r="AN816" s="9">
        <v>2.0099999999999998</v>
      </c>
      <c r="AO816" s="9">
        <v>5.7000000000000002E-2</v>
      </c>
      <c r="AQ816" s="1"/>
    </row>
    <row r="817" spans="1:43" x14ac:dyDescent="0.3">
      <c r="A817" t="s">
        <v>323</v>
      </c>
      <c r="B817" s="1" t="s">
        <v>1599</v>
      </c>
      <c r="C817">
        <v>55</v>
      </c>
      <c r="D817" s="8">
        <v>1.4403999999999999</v>
      </c>
      <c r="E817">
        <v>32</v>
      </c>
      <c r="F817">
        <v>5.4</v>
      </c>
      <c r="G817" t="s">
        <v>193</v>
      </c>
      <c r="H817">
        <v>6.5</v>
      </c>
      <c r="I817" s="4">
        <v>-0.2</v>
      </c>
      <c r="J817" s="3">
        <v>8.3333333333333329E-2</v>
      </c>
      <c r="K817"/>
      <c r="L817" t="s">
        <v>172</v>
      </c>
      <c r="N817" s="3">
        <v>0.14104372355430181</v>
      </c>
      <c r="O817" s="3">
        <v>0</v>
      </c>
      <c r="P817">
        <v>10</v>
      </c>
      <c r="Q817">
        <v>6.5</v>
      </c>
      <c r="R817" t="s">
        <v>102</v>
      </c>
      <c r="S817">
        <v>0</v>
      </c>
      <c r="T817" s="6">
        <f>10^-(14-Q817)</f>
        <v>3.1622776601683699E-8</v>
      </c>
      <c r="U817" s="6">
        <v>0</v>
      </c>
      <c r="V817" s="6">
        <v>0</v>
      </c>
      <c r="W817" s="6">
        <v>0</v>
      </c>
      <c r="X817" s="6">
        <v>0</v>
      </c>
      <c r="Y817" t="s">
        <v>171</v>
      </c>
      <c r="AD817">
        <f>1/6</f>
        <v>0.16666666666666666</v>
      </c>
      <c r="AE817">
        <v>726</v>
      </c>
      <c r="AF817">
        <v>1</v>
      </c>
      <c r="AG817" s="9">
        <v>1.7000000000000001E-2</v>
      </c>
      <c r="AH817" s="9">
        <v>1.79</v>
      </c>
      <c r="AI817" s="9">
        <v>0.35</v>
      </c>
      <c r="AJ817" s="9">
        <v>3.4000000000000002E-2</v>
      </c>
      <c r="AK817" s="9">
        <v>8.9999999999999993E-3</v>
      </c>
      <c r="AL817" s="9">
        <v>16.3</v>
      </c>
      <c r="AM817" s="9">
        <v>11.3</v>
      </c>
      <c r="AN817" s="9">
        <v>2.0099999999999998</v>
      </c>
      <c r="AO817" s="9">
        <v>5.7000000000000002E-2</v>
      </c>
      <c r="AQ817" s="1"/>
    </row>
    <row r="818" spans="1:43" x14ac:dyDescent="0.3">
      <c r="A818" t="s">
        <v>324</v>
      </c>
      <c r="B818" s="1" t="s">
        <v>1599</v>
      </c>
      <c r="C818">
        <v>55</v>
      </c>
      <c r="D818" s="8">
        <v>1.4403999999999999</v>
      </c>
      <c r="E818">
        <v>32</v>
      </c>
      <c r="F818">
        <v>5.4</v>
      </c>
      <c r="G818" t="s">
        <v>193</v>
      </c>
      <c r="H818">
        <v>6.5</v>
      </c>
      <c r="I818" s="4">
        <v>-0.2</v>
      </c>
      <c r="J818" s="3">
        <v>8.3333333333333329E-2</v>
      </c>
      <c r="K818"/>
      <c r="L818" t="s">
        <v>172</v>
      </c>
      <c r="N818" s="3">
        <v>0.14104372355430181</v>
      </c>
      <c r="O818" s="3">
        <v>0</v>
      </c>
      <c r="P818">
        <v>20</v>
      </c>
      <c r="Q818">
        <v>6.5</v>
      </c>
      <c r="R818" t="s">
        <v>102</v>
      </c>
      <c r="S818">
        <v>0</v>
      </c>
      <c r="T818" s="6">
        <f>10^-(14-Q818)</f>
        <v>3.1622776601683699E-8</v>
      </c>
      <c r="U818" s="6">
        <v>0</v>
      </c>
      <c r="V818" s="6">
        <v>0</v>
      </c>
      <c r="W818" s="6">
        <v>0</v>
      </c>
      <c r="X818" s="6">
        <v>0</v>
      </c>
      <c r="Y818" t="s">
        <v>171</v>
      </c>
      <c r="AD818">
        <f>1/6</f>
        <v>0.16666666666666666</v>
      </c>
      <c r="AE818">
        <v>476</v>
      </c>
      <c r="AF818">
        <v>1</v>
      </c>
      <c r="AG818" s="9">
        <v>1.7000000000000001E-2</v>
      </c>
      <c r="AH818" s="9">
        <v>1.79</v>
      </c>
      <c r="AI818" s="9">
        <v>0.35</v>
      </c>
      <c r="AJ818" s="9">
        <v>3.4000000000000002E-2</v>
      </c>
      <c r="AK818" s="9">
        <v>8.9999999999999993E-3</v>
      </c>
      <c r="AL818" s="9">
        <v>16.3</v>
      </c>
      <c r="AM818" s="9">
        <v>11.3</v>
      </c>
      <c r="AN818" s="9">
        <v>2.0099999999999998</v>
      </c>
      <c r="AO818" s="9">
        <v>5.7000000000000002E-2</v>
      </c>
      <c r="AQ818" s="1"/>
    </row>
    <row r="819" spans="1:43" x14ac:dyDescent="0.3">
      <c r="A819" t="s">
        <v>325</v>
      </c>
      <c r="B819" s="1" t="s">
        <v>1599</v>
      </c>
      <c r="C819">
        <v>55</v>
      </c>
      <c r="D819" s="8">
        <v>1.4403999999999999</v>
      </c>
      <c r="E819">
        <v>32</v>
      </c>
      <c r="F819">
        <v>5.4</v>
      </c>
      <c r="G819" t="s">
        <v>193</v>
      </c>
      <c r="H819">
        <v>6.5</v>
      </c>
      <c r="I819" s="4">
        <v>-0.2</v>
      </c>
      <c r="J819" s="3">
        <v>8.3333333333333329E-2</v>
      </c>
      <c r="K819"/>
      <c r="L819" t="s">
        <v>172</v>
      </c>
      <c r="N819" s="3">
        <v>0.14104372355430181</v>
      </c>
      <c r="O819" s="3">
        <v>0</v>
      </c>
      <c r="P819">
        <v>40</v>
      </c>
      <c r="Q819">
        <v>6.5</v>
      </c>
      <c r="R819" t="s">
        <v>102</v>
      </c>
      <c r="S819">
        <v>0</v>
      </c>
      <c r="T819" s="6">
        <f>10^-(14-Q819)</f>
        <v>3.1622776601683699E-8</v>
      </c>
      <c r="U819" s="6">
        <v>0</v>
      </c>
      <c r="V819" s="6">
        <v>0</v>
      </c>
      <c r="W819" s="6">
        <v>0</v>
      </c>
      <c r="X819" s="6">
        <v>0</v>
      </c>
      <c r="Y819" t="s">
        <v>171</v>
      </c>
      <c r="AD819">
        <f>1/6</f>
        <v>0.16666666666666666</v>
      </c>
      <c r="AE819">
        <v>270</v>
      </c>
      <c r="AF819">
        <v>1</v>
      </c>
      <c r="AG819" s="9">
        <v>1.7000000000000001E-2</v>
      </c>
      <c r="AH819" s="9">
        <v>1.79</v>
      </c>
      <c r="AI819" s="9">
        <v>0.35</v>
      </c>
      <c r="AJ819" s="9">
        <v>3.4000000000000002E-2</v>
      </c>
      <c r="AK819" s="9">
        <v>8.9999999999999993E-3</v>
      </c>
      <c r="AL819" s="9">
        <v>16.3</v>
      </c>
      <c r="AM819" s="9">
        <v>11.3</v>
      </c>
      <c r="AN819" s="9">
        <v>2.0099999999999998</v>
      </c>
      <c r="AO819" s="9">
        <v>5.7000000000000002E-2</v>
      </c>
      <c r="AQ819" s="1"/>
    </row>
    <row r="820" spans="1:43" x14ac:dyDescent="0.3">
      <c r="A820" t="s">
        <v>326</v>
      </c>
      <c r="B820" s="1" t="s">
        <v>1599</v>
      </c>
      <c r="C820">
        <v>55</v>
      </c>
      <c r="D820" s="8">
        <v>1.4403999999999999</v>
      </c>
      <c r="E820">
        <v>32</v>
      </c>
      <c r="F820">
        <v>5.4</v>
      </c>
      <c r="G820" t="s">
        <v>193</v>
      </c>
      <c r="H820">
        <v>6.5</v>
      </c>
      <c r="I820" s="4">
        <v>-0.2</v>
      </c>
      <c r="J820" s="3">
        <v>8.3333333333333329E-2</v>
      </c>
      <c r="K820"/>
      <c r="L820" t="s">
        <v>172</v>
      </c>
      <c r="N820" s="3">
        <v>0.14104372355430181</v>
      </c>
      <c r="O820" s="3">
        <v>0</v>
      </c>
      <c r="P820">
        <v>60</v>
      </c>
      <c r="Q820">
        <v>6.5</v>
      </c>
      <c r="R820" t="s">
        <v>102</v>
      </c>
      <c r="S820">
        <v>0</v>
      </c>
      <c r="T820" s="6">
        <f>10^-(14-Q820)</f>
        <v>3.1622776601683699E-8</v>
      </c>
      <c r="U820" s="6">
        <v>0</v>
      </c>
      <c r="V820" s="6">
        <v>0</v>
      </c>
      <c r="W820" s="6">
        <v>0</v>
      </c>
      <c r="X820" s="6">
        <v>0</v>
      </c>
      <c r="Y820" t="s">
        <v>171</v>
      </c>
      <c r="AD820">
        <f>1/6</f>
        <v>0.16666666666666666</v>
      </c>
      <c r="AE820">
        <v>206</v>
      </c>
      <c r="AF820">
        <v>1</v>
      </c>
      <c r="AG820" s="9">
        <v>1.7000000000000001E-2</v>
      </c>
      <c r="AH820" s="9">
        <v>1.79</v>
      </c>
      <c r="AI820" s="9">
        <v>0.35</v>
      </c>
      <c r="AJ820" s="9">
        <v>3.4000000000000002E-2</v>
      </c>
      <c r="AK820" s="9">
        <v>8.9999999999999993E-3</v>
      </c>
      <c r="AL820" s="9">
        <v>16.3</v>
      </c>
      <c r="AM820" s="9">
        <v>11.3</v>
      </c>
      <c r="AN820" s="9">
        <v>2.0099999999999998</v>
      </c>
      <c r="AO820" s="9">
        <v>5.7000000000000002E-2</v>
      </c>
      <c r="AQ820" s="1"/>
    </row>
    <row r="821" spans="1:43" x14ac:dyDescent="0.3">
      <c r="A821" t="s">
        <v>327</v>
      </c>
      <c r="B821" s="1" t="s">
        <v>1599</v>
      </c>
      <c r="C821">
        <v>55</v>
      </c>
      <c r="D821" s="8">
        <v>1.4403999999999999</v>
      </c>
      <c r="E821">
        <v>32</v>
      </c>
      <c r="F821">
        <v>5.4</v>
      </c>
      <c r="G821" t="s">
        <v>193</v>
      </c>
      <c r="H821">
        <v>6.5</v>
      </c>
      <c r="I821" s="4">
        <v>-0.2</v>
      </c>
      <c r="J821" s="3">
        <v>8.3333333333333329E-2</v>
      </c>
      <c r="K821"/>
      <c r="L821" t="s">
        <v>172</v>
      </c>
      <c r="N821" s="3">
        <v>0.14104372355430181</v>
      </c>
      <c r="O821" s="3">
        <v>0</v>
      </c>
      <c r="P821">
        <v>80</v>
      </c>
      <c r="Q821">
        <v>6.5</v>
      </c>
      <c r="R821" t="s">
        <v>102</v>
      </c>
      <c r="S821">
        <v>0</v>
      </c>
      <c r="T821" s="6">
        <f>10^-(14-Q821)</f>
        <v>3.1622776601683699E-8</v>
      </c>
      <c r="U821" s="6">
        <v>0</v>
      </c>
      <c r="V821" s="6">
        <v>0</v>
      </c>
      <c r="W821" s="6">
        <v>0</v>
      </c>
      <c r="X821" s="6">
        <v>0</v>
      </c>
      <c r="Y821" t="s">
        <v>171</v>
      </c>
      <c r="AD821">
        <f>1/6</f>
        <v>0.16666666666666666</v>
      </c>
      <c r="AE821">
        <v>163</v>
      </c>
      <c r="AF821">
        <v>1</v>
      </c>
      <c r="AG821" s="9">
        <v>1.7000000000000001E-2</v>
      </c>
      <c r="AH821" s="9">
        <v>1.79</v>
      </c>
      <c r="AI821" s="9">
        <v>0.35</v>
      </c>
      <c r="AJ821" s="9">
        <v>3.4000000000000002E-2</v>
      </c>
      <c r="AK821" s="9">
        <v>8.9999999999999993E-3</v>
      </c>
      <c r="AL821" s="9">
        <v>16.3</v>
      </c>
      <c r="AM821" s="9">
        <v>11.3</v>
      </c>
      <c r="AN821" s="9">
        <v>2.0099999999999998</v>
      </c>
      <c r="AO821" s="9">
        <v>5.7000000000000002E-2</v>
      </c>
      <c r="AQ821" s="1"/>
    </row>
    <row r="822" spans="1:43" x14ac:dyDescent="0.3">
      <c r="A822" t="s">
        <v>328</v>
      </c>
      <c r="B822" s="1" t="s">
        <v>1599</v>
      </c>
      <c r="C822">
        <v>55</v>
      </c>
      <c r="D822" s="8">
        <v>1.4403999999999999</v>
      </c>
      <c r="E822">
        <v>32</v>
      </c>
      <c r="F822">
        <v>5.4</v>
      </c>
      <c r="G822" t="s">
        <v>193</v>
      </c>
      <c r="H822">
        <v>6.5</v>
      </c>
      <c r="I822" s="4">
        <v>-0.2</v>
      </c>
      <c r="J822" s="3">
        <v>8.3333333333333329E-2</v>
      </c>
      <c r="K822"/>
      <c r="L822" t="s">
        <v>172</v>
      </c>
      <c r="N822" s="3">
        <v>0.14104372355430181</v>
      </c>
      <c r="O822" s="3">
        <v>0</v>
      </c>
      <c r="P822">
        <v>95</v>
      </c>
      <c r="Q822">
        <v>6.5</v>
      </c>
      <c r="R822" t="s">
        <v>102</v>
      </c>
      <c r="S822">
        <v>0</v>
      </c>
      <c r="T822" s="6">
        <f>10^-(14-Q822)</f>
        <v>3.1622776601683699E-8</v>
      </c>
      <c r="U822" s="6">
        <v>0</v>
      </c>
      <c r="V822" s="6">
        <v>0</v>
      </c>
      <c r="W822" s="6">
        <v>0</v>
      </c>
      <c r="X822" s="6">
        <v>0</v>
      </c>
      <c r="Y822" t="s">
        <v>171</v>
      </c>
      <c r="AD822">
        <f>1/6</f>
        <v>0.16666666666666666</v>
      </c>
      <c r="AE822">
        <v>162</v>
      </c>
      <c r="AF822">
        <v>1</v>
      </c>
      <c r="AG822" s="9">
        <v>1.7000000000000001E-2</v>
      </c>
      <c r="AH822" s="9">
        <v>1.79</v>
      </c>
      <c r="AI822" s="9">
        <v>0.35</v>
      </c>
      <c r="AJ822" s="9">
        <v>3.4000000000000002E-2</v>
      </c>
      <c r="AK822" s="9">
        <v>8.9999999999999993E-3</v>
      </c>
      <c r="AL822" s="9">
        <v>16.3</v>
      </c>
      <c r="AM822" s="9">
        <v>11.3</v>
      </c>
      <c r="AN822" s="9">
        <v>2.0099999999999998</v>
      </c>
      <c r="AO822" s="9">
        <v>5.7000000000000002E-2</v>
      </c>
      <c r="AQ822" s="1"/>
    </row>
    <row r="823" spans="1:43" x14ac:dyDescent="0.3">
      <c r="A823" t="s">
        <v>329</v>
      </c>
      <c r="B823" s="1" t="s">
        <v>1599</v>
      </c>
      <c r="C823">
        <v>55</v>
      </c>
      <c r="D823" s="8">
        <v>1.4403999999999999</v>
      </c>
      <c r="E823">
        <v>32</v>
      </c>
      <c r="F823">
        <v>5.4</v>
      </c>
      <c r="G823" t="s">
        <v>193</v>
      </c>
      <c r="H823">
        <v>6.5</v>
      </c>
      <c r="I823" s="4">
        <v>-0.2</v>
      </c>
      <c r="J823" s="3">
        <v>8.3333333333333329E-2</v>
      </c>
      <c r="K823"/>
      <c r="L823" t="s">
        <v>172</v>
      </c>
      <c r="N823" s="3">
        <v>0.14104372355430181</v>
      </c>
      <c r="O823" s="3">
        <v>0</v>
      </c>
      <c r="P823">
        <v>10</v>
      </c>
      <c r="Q823">
        <v>6.5</v>
      </c>
      <c r="R823" t="s">
        <v>102</v>
      </c>
      <c r="S823">
        <v>0</v>
      </c>
      <c r="T823" s="6">
        <f>10^-(14-Q823)</f>
        <v>3.1622776601683699E-8</v>
      </c>
      <c r="U823" s="6">
        <v>0</v>
      </c>
      <c r="V823" s="6">
        <v>0</v>
      </c>
      <c r="W823" s="6">
        <v>0</v>
      </c>
      <c r="X823" s="6">
        <v>0</v>
      </c>
      <c r="Y823" t="s">
        <v>171</v>
      </c>
      <c r="AD823">
        <f>1/6</f>
        <v>0.16666666666666666</v>
      </c>
      <c r="AE823">
        <v>1000</v>
      </c>
      <c r="AF823">
        <v>2</v>
      </c>
      <c r="AG823" s="9">
        <v>1.7000000000000001E-2</v>
      </c>
      <c r="AH823" s="9">
        <v>1.79</v>
      </c>
      <c r="AI823" s="9">
        <v>0.35</v>
      </c>
      <c r="AJ823" s="9">
        <v>3.4000000000000002E-2</v>
      </c>
      <c r="AK823" s="9">
        <v>8.9999999999999993E-3</v>
      </c>
      <c r="AL823" s="9">
        <v>16.3</v>
      </c>
      <c r="AM823" s="9">
        <v>11.3</v>
      </c>
      <c r="AN823" s="9">
        <v>2.0099999999999998</v>
      </c>
      <c r="AO823" s="9">
        <v>5.7000000000000002E-2</v>
      </c>
      <c r="AQ823" s="1"/>
    </row>
    <row r="824" spans="1:43" x14ac:dyDescent="0.3">
      <c r="A824" t="s">
        <v>330</v>
      </c>
      <c r="B824" s="1" t="s">
        <v>1599</v>
      </c>
      <c r="C824">
        <v>55</v>
      </c>
      <c r="D824" s="8">
        <v>1.4403999999999999</v>
      </c>
      <c r="E824">
        <v>100000</v>
      </c>
      <c r="F824">
        <v>6.6</v>
      </c>
      <c r="G824" t="s">
        <v>193</v>
      </c>
      <c r="H824">
        <v>6.5</v>
      </c>
      <c r="I824" s="4">
        <v>-0.2</v>
      </c>
      <c r="J824" s="3">
        <v>8.3333333333333329E-2</v>
      </c>
      <c r="K824"/>
      <c r="L824" t="s">
        <v>172</v>
      </c>
      <c r="N824" s="3">
        <v>0.14104372355430181</v>
      </c>
      <c r="O824" s="3">
        <v>0</v>
      </c>
      <c r="P824">
        <v>15</v>
      </c>
      <c r="Q824">
        <v>6.5</v>
      </c>
      <c r="R824" t="s">
        <v>102</v>
      </c>
      <c r="S824">
        <v>0</v>
      </c>
      <c r="T824" s="6">
        <f>10^-(14-Q824)</f>
        <v>3.1622776601683699E-8</v>
      </c>
      <c r="U824" s="6">
        <v>0</v>
      </c>
      <c r="V824" s="6">
        <v>0</v>
      </c>
      <c r="W824" s="6">
        <v>0</v>
      </c>
      <c r="X824" s="6">
        <v>0</v>
      </c>
      <c r="Y824" t="s">
        <v>171</v>
      </c>
      <c r="AD824">
        <f>1/6</f>
        <v>0.16666666666666666</v>
      </c>
      <c r="AE824">
        <v>535</v>
      </c>
      <c r="AF824">
        <v>1</v>
      </c>
      <c r="AG824" s="9">
        <v>1.7000000000000001E-2</v>
      </c>
      <c r="AH824" s="9">
        <v>1.79</v>
      </c>
      <c r="AI824" s="9">
        <v>0.35</v>
      </c>
      <c r="AJ824" s="9">
        <v>3.4000000000000002E-2</v>
      </c>
      <c r="AK824" s="9">
        <v>8.9999999999999993E-3</v>
      </c>
      <c r="AL824" s="9">
        <v>16.3</v>
      </c>
      <c r="AM824" s="9">
        <v>11.3</v>
      </c>
      <c r="AN824" s="9">
        <v>2.0099999999999998</v>
      </c>
      <c r="AO824" s="9">
        <v>5.7000000000000002E-2</v>
      </c>
      <c r="AQ824" s="1"/>
    </row>
    <row r="825" spans="1:43" x14ac:dyDescent="0.3">
      <c r="A825" t="s">
        <v>331</v>
      </c>
      <c r="B825" s="1" t="s">
        <v>1599</v>
      </c>
      <c r="C825">
        <v>55</v>
      </c>
      <c r="D825" s="8">
        <v>1.4403999999999999</v>
      </c>
      <c r="E825">
        <v>100000</v>
      </c>
      <c r="F825">
        <v>6.6</v>
      </c>
      <c r="G825" t="s">
        <v>193</v>
      </c>
      <c r="H825">
        <v>6.5</v>
      </c>
      <c r="I825" s="4">
        <v>-0.2</v>
      </c>
      <c r="J825" s="3">
        <v>8.3333333333333329E-2</v>
      </c>
      <c r="K825"/>
      <c r="L825" t="s">
        <v>172</v>
      </c>
      <c r="N825" s="3">
        <v>0.14104372355430181</v>
      </c>
      <c r="O825" s="3">
        <v>0</v>
      </c>
      <c r="P825">
        <v>20</v>
      </c>
      <c r="Q825">
        <v>6.5</v>
      </c>
      <c r="R825" t="s">
        <v>102</v>
      </c>
      <c r="S825">
        <v>0</v>
      </c>
      <c r="T825" s="6">
        <f>10^-(14-Q825)</f>
        <v>3.1622776601683699E-8</v>
      </c>
      <c r="U825" s="6">
        <v>0</v>
      </c>
      <c r="V825" s="6">
        <v>0</v>
      </c>
      <c r="W825" s="6">
        <v>0</v>
      </c>
      <c r="X825" s="6">
        <v>0</v>
      </c>
      <c r="Y825" t="s">
        <v>171</v>
      </c>
      <c r="AD825">
        <f>1/6</f>
        <v>0.16666666666666666</v>
      </c>
      <c r="AE825">
        <v>388</v>
      </c>
      <c r="AF825">
        <v>1</v>
      </c>
      <c r="AG825" s="9">
        <v>1.7000000000000001E-2</v>
      </c>
      <c r="AH825" s="9">
        <v>1.79</v>
      </c>
      <c r="AI825" s="9">
        <v>0.35</v>
      </c>
      <c r="AJ825" s="9">
        <v>3.4000000000000002E-2</v>
      </c>
      <c r="AK825" s="9">
        <v>8.9999999999999993E-3</v>
      </c>
      <c r="AL825" s="9">
        <v>16.3</v>
      </c>
      <c r="AM825" s="9">
        <v>11.3</v>
      </c>
      <c r="AN825" s="9">
        <v>2.0099999999999998</v>
      </c>
      <c r="AO825" s="9">
        <v>5.7000000000000002E-2</v>
      </c>
      <c r="AQ825" s="1"/>
    </row>
    <row r="826" spans="1:43" x14ac:dyDescent="0.3">
      <c r="A826" t="s">
        <v>332</v>
      </c>
      <c r="B826" s="1" t="s">
        <v>1599</v>
      </c>
      <c r="C826">
        <v>55</v>
      </c>
      <c r="D826" s="8">
        <v>1.4403999999999999</v>
      </c>
      <c r="E826">
        <v>100000</v>
      </c>
      <c r="F826">
        <v>6.6</v>
      </c>
      <c r="G826" t="s">
        <v>193</v>
      </c>
      <c r="H826">
        <v>6.5</v>
      </c>
      <c r="I826" s="4">
        <v>-0.2</v>
      </c>
      <c r="J826" s="3">
        <v>8.3333333333333329E-2</v>
      </c>
      <c r="K826"/>
      <c r="L826" t="s">
        <v>172</v>
      </c>
      <c r="N826" s="3">
        <v>0.14104372355430181</v>
      </c>
      <c r="O826" s="3">
        <v>0</v>
      </c>
      <c r="P826">
        <v>20</v>
      </c>
      <c r="Q826">
        <v>6.5</v>
      </c>
      <c r="R826" t="s">
        <v>102</v>
      </c>
      <c r="S826">
        <v>0</v>
      </c>
      <c r="T826" s="6">
        <f>10^-(14-Q826)</f>
        <v>3.1622776601683699E-8</v>
      </c>
      <c r="U826" s="6">
        <v>0</v>
      </c>
      <c r="V826" s="6">
        <v>0</v>
      </c>
      <c r="W826" s="6">
        <v>0</v>
      </c>
      <c r="X826" s="6">
        <v>0</v>
      </c>
      <c r="Y826" t="s">
        <v>171</v>
      </c>
      <c r="AD826">
        <f>1/6</f>
        <v>0.16666666666666666</v>
      </c>
      <c r="AE826">
        <v>496</v>
      </c>
      <c r="AF826">
        <v>1</v>
      </c>
      <c r="AG826" s="9">
        <v>1.7000000000000001E-2</v>
      </c>
      <c r="AH826" s="9">
        <v>1.79</v>
      </c>
      <c r="AI826" s="9">
        <v>0.35</v>
      </c>
      <c r="AJ826" s="9">
        <v>3.4000000000000002E-2</v>
      </c>
      <c r="AK826" s="9">
        <v>8.9999999999999993E-3</v>
      </c>
      <c r="AL826" s="9">
        <v>16.3</v>
      </c>
      <c r="AM826" s="9">
        <v>11.3</v>
      </c>
      <c r="AN826" s="9">
        <v>2.0099999999999998</v>
      </c>
      <c r="AO826" s="9">
        <v>5.7000000000000002E-2</v>
      </c>
      <c r="AQ826" s="1"/>
    </row>
    <row r="827" spans="1:43" x14ac:dyDescent="0.3">
      <c r="A827" t="s">
        <v>333</v>
      </c>
      <c r="B827" s="1" t="s">
        <v>1599</v>
      </c>
      <c r="C827">
        <v>55</v>
      </c>
      <c r="D827" s="8">
        <v>1.4403999999999999</v>
      </c>
      <c r="E827">
        <v>100000</v>
      </c>
      <c r="F827">
        <v>6.6</v>
      </c>
      <c r="G827" t="s">
        <v>193</v>
      </c>
      <c r="H827">
        <v>6.5</v>
      </c>
      <c r="I827" s="4">
        <v>-0.2</v>
      </c>
      <c r="J827" s="3">
        <v>8.3333333333333329E-2</v>
      </c>
      <c r="K827"/>
      <c r="L827" t="s">
        <v>172</v>
      </c>
      <c r="N827" s="3">
        <v>0.14104372355430181</v>
      </c>
      <c r="O827" s="3">
        <v>0</v>
      </c>
      <c r="P827">
        <v>40</v>
      </c>
      <c r="Q827">
        <v>6.5</v>
      </c>
      <c r="R827" t="s">
        <v>102</v>
      </c>
      <c r="S827">
        <v>0</v>
      </c>
      <c r="T827" s="6">
        <f>10^-(14-Q827)</f>
        <v>3.1622776601683699E-8</v>
      </c>
      <c r="U827" s="6">
        <v>0</v>
      </c>
      <c r="V827" s="6">
        <v>0</v>
      </c>
      <c r="W827" s="6">
        <v>0</v>
      </c>
      <c r="X827" s="6">
        <v>0</v>
      </c>
      <c r="Y827" t="s">
        <v>171</v>
      </c>
      <c r="AD827">
        <f>1/6</f>
        <v>0.16666666666666666</v>
      </c>
      <c r="AE827">
        <v>371</v>
      </c>
      <c r="AF827">
        <v>1</v>
      </c>
      <c r="AG827" s="9">
        <v>1.7000000000000001E-2</v>
      </c>
      <c r="AH827" s="9">
        <v>1.79</v>
      </c>
      <c r="AI827" s="9">
        <v>0.35</v>
      </c>
      <c r="AJ827" s="9">
        <v>3.4000000000000002E-2</v>
      </c>
      <c r="AK827" s="9">
        <v>8.9999999999999993E-3</v>
      </c>
      <c r="AL827" s="9">
        <v>16.3</v>
      </c>
      <c r="AM827" s="9">
        <v>11.3</v>
      </c>
      <c r="AN827" s="9">
        <v>2.0099999999999998</v>
      </c>
      <c r="AO827" s="9">
        <v>5.7000000000000002E-2</v>
      </c>
      <c r="AQ827" s="1"/>
    </row>
    <row r="828" spans="1:43" x14ac:dyDescent="0.3">
      <c r="A828" t="s">
        <v>334</v>
      </c>
      <c r="B828" s="1" t="s">
        <v>1599</v>
      </c>
      <c r="C828">
        <v>55</v>
      </c>
      <c r="D828" s="8">
        <v>1.4403999999999999</v>
      </c>
      <c r="E828">
        <v>100000</v>
      </c>
      <c r="F828">
        <v>6.6</v>
      </c>
      <c r="G828" t="s">
        <v>193</v>
      </c>
      <c r="H828">
        <v>6.5</v>
      </c>
      <c r="I828" s="4">
        <v>-0.2</v>
      </c>
      <c r="J828" s="3">
        <v>8.3333333333333329E-2</v>
      </c>
      <c r="K828"/>
      <c r="L828" t="s">
        <v>172</v>
      </c>
      <c r="N828" s="3">
        <v>0.14104372355430181</v>
      </c>
      <c r="O828" s="3">
        <v>0</v>
      </c>
      <c r="P828">
        <v>60</v>
      </c>
      <c r="Q828">
        <v>6.5</v>
      </c>
      <c r="R828" t="s">
        <v>102</v>
      </c>
      <c r="S828">
        <v>0</v>
      </c>
      <c r="T828" s="6">
        <f>10^-(14-Q828)</f>
        <v>3.1622776601683699E-8</v>
      </c>
      <c r="U828" s="6">
        <v>0</v>
      </c>
      <c r="V828" s="6">
        <v>0</v>
      </c>
      <c r="W828" s="6">
        <v>0</v>
      </c>
      <c r="X828" s="6">
        <v>0</v>
      </c>
      <c r="Y828" t="s">
        <v>171</v>
      </c>
      <c r="AD828">
        <f>1/6</f>
        <v>0.16666666666666666</v>
      </c>
      <c r="AE828">
        <v>255</v>
      </c>
      <c r="AF828">
        <v>1</v>
      </c>
      <c r="AG828" s="9">
        <v>1.7000000000000001E-2</v>
      </c>
      <c r="AH828" s="9">
        <v>1.79</v>
      </c>
      <c r="AI828" s="9">
        <v>0.35</v>
      </c>
      <c r="AJ828" s="9">
        <v>3.4000000000000002E-2</v>
      </c>
      <c r="AK828" s="9">
        <v>8.9999999999999993E-3</v>
      </c>
      <c r="AL828" s="9">
        <v>16.3</v>
      </c>
      <c r="AM828" s="9">
        <v>11.3</v>
      </c>
      <c r="AN828" s="9">
        <v>2.0099999999999998</v>
      </c>
      <c r="AO828" s="9">
        <v>5.7000000000000002E-2</v>
      </c>
      <c r="AQ828" s="1"/>
    </row>
    <row r="829" spans="1:43" x14ac:dyDescent="0.3">
      <c r="A829" t="s">
        <v>335</v>
      </c>
      <c r="B829" s="1" t="s">
        <v>1599</v>
      </c>
      <c r="C829">
        <v>55</v>
      </c>
      <c r="D829" s="8">
        <v>1.4403999999999999</v>
      </c>
      <c r="E829">
        <v>100000</v>
      </c>
      <c r="F829">
        <v>6.6</v>
      </c>
      <c r="G829" t="s">
        <v>193</v>
      </c>
      <c r="H829">
        <v>6.5</v>
      </c>
      <c r="I829" s="4">
        <v>-0.2</v>
      </c>
      <c r="J829" s="3">
        <v>8.3333333333333329E-2</v>
      </c>
      <c r="K829"/>
      <c r="L829" t="s">
        <v>172</v>
      </c>
      <c r="N829" s="3">
        <v>0.14104372355430181</v>
      </c>
      <c r="O829" s="3">
        <v>0</v>
      </c>
      <c r="P829">
        <v>80</v>
      </c>
      <c r="Q829">
        <v>6.5</v>
      </c>
      <c r="R829" t="s">
        <v>102</v>
      </c>
      <c r="S829">
        <v>0</v>
      </c>
      <c r="T829" s="6">
        <f>10^-(14-Q829)</f>
        <v>3.1622776601683699E-8</v>
      </c>
      <c r="U829" s="6">
        <v>0</v>
      </c>
      <c r="V829" s="6">
        <v>0</v>
      </c>
      <c r="W829" s="6">
        <v>0</v>
      </c>
      <c r="X829" s="6">
        <v>0</v>
      </c>
      <c r="Y829" t="s">
        <v>171</v>
      </c>
      <c r="AD829">
        <f>1/6</f>
        <v>0.16666666666666666</v>
      </c>
      <c r="AE829">
        <v>253</v>
      </c>
      <c r="AF829">
        <v>1</v>
      </c>
      <c r="AG829" s="9">
        <v>1.7000000000000001E-2</v>
      </c>
      <c r="AH829" s="9">
        <v>1.79</v>
      </c>
      <c r="AI829" s="9">
        <v>0.35</v>
      </c>
      <c r="AJ829" s="9">
        <v>3.4000000000000002E-2</v>
      </c>
      <c r="AK829" s="9">
        <v>8.9999999999999993E-3</v>
      </c>
      <c r="AL829" s="9">
        <v>16.3</v>
      </c>
      <c r="AM829" s="9">
        <v>11.3</v>
      </c>
      <c r="AN829" s="9">
        <v>2.0099999999999998</v>
      </c>
      <c r="AO829" s="9">
        <v>5.7000000000000002E-2</v>
      </c>
      <c r="AQ829" s="1"/>
    </row>
    <row r="830" spans="1:43" x14ac:dyDescent="0.3">
      <c r="A830" t="s">
        <v>336</v>
      </c>
      <c r="B830" s="1" t="s">
        <v>1599</v>
      </c>
      <c r="C830">
        <v>55</v>
      </c>
      <c r="D830" s="8">
        <v>1.4403999999999999</v>
      </c>
      <c r="E830">
        <v>100000</v>
      </c>
      <c r="F830">
        <v>6.6</v>
      </c>
      <c r="G830" t="s">
        <v>193</v>
      </c>
      <c r="H830">
        <v>6.5</v>
      </c>
      <c r="I830" s="4">
        <v>-0.2</v>
      </c>
      <c r="J830" s="3">
        <v>8.3333333333333329E-2</v>
      </c>
      <c r="K830"/>
      <c r="L830" t="s">
        <v>172</v>
      </c>
      <c r="N830" s="3">
        <v>0.14104372355430181</v>
      </c>
      <c r="O830" s="3">
        <v>0</v>
      </c>
      <c r="P830">
        <v>95</v>
      </c>
      <c r="Q830">
        <v>6.5</v>
      </c>
      <c r="R830" t="s">
        <v>102</v>
      </c>
      <c r="S830">
        <v>0</v>
      </c>
      <c r="T830" s="6">
        <f>10^-(14-Q830)</f>
        <v>3.1622776601683699E-8</v>
      </c>
      <c r="U830" s="6">
        <v>0</v>
      </c>
      <c r="V830" s="6">
        <v>0</v>
      </c>
      <c r="W830" s="6">
        <v>0</v>
      </c>
      <c r="X830" s="6">
        <v>0</v>
      </c>
      <c r="Y830" t="s">
        <v>171</v>
      </c>
      <c r="AD830">
        <f>1/6</f>
        <v>0.16666666666666666</v>
      </c>
      <c r="AE830">
        <v>148</v>
      </c>
      <c r="AF830">
        <v>1</v>
      </c>
      <c r="AG830" s="9">
        <v>1.7000000000000001E-2</v>
      </c>
      <c r="AH830" s="9">
        <v>1.79</v>
      </c>
      <c r="AI830" s="9">
        <v>0.35</v>
      </c>
      <c r="AJ830" s="9">
        <v>3.4000000000000002E-2</v>
      </c>
      <c r="AK830" s="9">
        <v>8.9999999999999993E-3</v>
      </c>
      <c r="AL830" s="9">
        <v>16.3</v>
      </c>
      <c r="AM830" s="9">
        <v>11.3</v>
      </c>
      <c r="AN830" s="9">
        <v>2.0099999999999998</v>
      </c>
      <c r="AO830" s="9">
        <v>5.7000000000000002E-2</v>
      </c>
      <c r="AQ830" s="1"/>
    </row>
    <row r="831" spans="1:43" x14ac:dyDescent="0.3">
      <c r="A831" t="s">
        <v>337</v>
      </c>
      <c r="B831" s="1" t="s">
        <v>1599</v>
      </c>
      <c r="C831">
        <v>55</v>
      </c>
      <c r="D831" s="8">
        <v>1.4403999999999999</v>
      </c>
      <c r="E831">
        <v>100000</v>
      </c>
      <c r="F831">
        <v>6.5</v>
      </c>
      <c r="G831" t="s">
        <v>193</v>
      </c>
      <c r="H831">
        <v>6.5</v>
      </c>
      <c r="I831" s="4">
        <v>-0.2</v>
      </c>
      <c r="J831" s="3">
        <v>8.3333333333333329E-2</v>
      </c>
      <c r="K831"/>
      <c r="L831" t="s">
        <v>172</v>
      </c>
      <c r="N831" s="3">
        <v>0.14104372355430181</v>
      </c>
      <c r="O831" s="3">
        <v>0</v>
      </c>
      <c r="P831">
        <v>10</v>
      </c>
      <c r="Q831">
        <v>6.5</v>
      </c>
      <c r="R831" t="s">
        <v>102</v>
      </c>
      <c r="S831">
        <v>0</v>
      </c>
      <c r="T831" s="6">
        <f>10^-(14-Q831)</f>
        <v>3.1622776601683699E-8</v>
      </c>
      <c r="U831" s="6">
        <v>0</v>
      </c>
      <c r="V831" s="6">
        <v>0</v>
      </c>
      <c r="W831" s="6">
        <v>0</v>
      </c>
      <c r="X831" s="6">
        <v>0</v>
      </c>
      <c r="Y831" t="s">
        <v>171</v>
      </c>
      <c r="AD831">
        <f>1/6</f>
        <v>0.16666666666666666</v>
      </c>
      <c r="AE831">
        <v>646</v>
      </c>
      <c r="AF831">
        <v>1</v>
      </c>
      <c r="AG831" s="9">
        <v>1.7000000000000001E-2</v>
      </c>
      <c r="AH831" s="9">
        <v>1.79</v>
      </c>
      <c r="AI831" s="9">
        <v>0.35</v>
      </c>
      <c r="AJ831" s="9">
        <v>3.4000000000000002E-2</v>
      </c>
      <c r="AK831" s="9">
        <v>8.9999999999999993E-3</v>
      </c>
      <c r="AL831" s="9">
        <v>16.3</v>
      </c>
      <c r="AM831" s="9">
        <v>11.3</v>
      </c>
      <c r="AN831" s="9">
        <v>2.0099999999999998</v>
      </c>
      <c r="AO831" s="9">
        <v>5.7000000000000002E-2</v>
      </c>
      <c r="AQ831" s="1"/>
    </row>
    <row r="832" spans="1:43" x14ac:dyDescent="0.3">
      <c r="A832" t="s">
        <v>338</v>
      </c>
      <c r="B832" s="1" t="s">
        <v>1599</v>
      </c>
      <c r="C832">
        <v>55</v>
      </c>
      <c r="D832" s="8">
        <v>1.4403999999999999</v>
      </c>
      <c r="E832">
        <v>100000</v>
      </c>
      <c r="F832">
        <v>6.5</v>
      </c>
      <c r="G832" t="s">
        <v>193</v>
      </c>
      <c r="H832">
        <v>6.5</v>
      </c>
      <c r="I832" s="4">
        <v>-0.2</v>
      </c>
      <c r="J832" s="3">
        <v>8.3333333333333329E-2</v>
      </c>
      <c r="K832"/>
      <c r="L832" t="s">
        <v>172</v>
      </c>
      <c r="N832" s="3">
        <v>0.14104372355430181</v>
      </c>
      <c r="O832" s="3">
        <v>0</v>
      </c>
      <c r="P832">
        <v>20</v>
      </c>
      <c r="Q832">
        <v>6.5</v>
      </c>
      <c r="R832" t="s">
        <v>102</v>
      </c>
      <c r="S832">
        <v>0</v>
      </c>
      <c r="T832" s="6">
        <f>10^-(14-Q832)</f>
        <v>3.1622776601683699E-8</v>
      </c>
      <c r="U832" s="6">
        <v>0</v>
      </c>
      <c r="V832" s="6">
        <v>0</v>
      </c>
      <c r="W832" s="6">
        <v>0</v>
      </c>
      <c r="X832" s="6">
        <v>0</v>
      </c>
      <c r="Y832" t="s">
        <v>171</v>
      </c>
      <c r="AD832">
        <f>1/6</f>
        <v>0.16666666666666666</v>
      </c>
      <c r="AE832">
        <v>636</v>
      </c>
      <c r="AF832">
        <v>1</v>
      </c>
      <c r="AG832" s="9">
        <v>1.7000000000000001E-2</v>
      </c>
      <c r="AH832" s="9">
        <v>1.79</v>
      </c>
      <c r="AI832" s="9">
        <v>0.35</v>
      </c>
      <c r="AJ832" s="9">
        <v>3.4000000000000002E-2</v>
      </c>
      <c r="AK832" s="9">
        <v>8.9999999999999993E-3</v>
      </c>
      <c r="AL832" s="9">
        <v>16.3</v>
      </c>
      <c r="AM832" s="9">
        <v>11.3</v>
      </c>
      <c r="AN832" s="9">
        <v>2.0099999999999998</v>
      </c>
      <c r="AO832" s="9">
        <v>5.7000000000000002E-2</v>
      </c>
      <c r="AQ832" s="1"/>
    </row>
    <row r="833" spans="1:43" x14ac:dyDescent="0.3">
      <c r="A833" t="s">
        <v>339</v>
      </c>
      <c r="B833" s="1" t="s">
        <v>1599</v>
      </c>
      <c r="C833">
        <v>55</v>
      </c>
      <c r="D833" s="8">
        <v>1.4403999999999999</v>
      </c>
      <c r="E833">
        <v>100000</v>
      </c>
      <c r="F833">
        <v>6.5</v>
      </c>
      <c r="G833" t="s">
        <v>193</v>
      </c>
      <c r="H833">
        <v>6.5</v>
      </c>
      <c r="I833" s="4">
        <v>-0.2</v>
      </c>
      <c r="J833" s="3">
        <v>8.3333333333333329E-2</v>
      </c>
      <c r="K833"/>
      <c r="L833" t="s">
        <v>172</v>
      </c>
      <c r="N833" s="3">
        <v>0.14104372355430181</v>
      </c>
      <c r="O833" s="3">
        <v>0</v>
      </c>
      <c r="P833">
        <v>40</v>
      </c>
      <c r="Q833">
        <v>6.5</v>
      </c>
      <c r="R833" t="s">
        <v>102</v>
      </c>
      <c r="S833">
        <v>0</v>
      </c>
      <c r="T833" s="6">
        <f>10^-(14-Q833)</f>
        <v>3.1622776601683699E-8</v>
      </c>
      <c r="U833" s="6">
        <v>0</v>
      </c>
      <c r="V833" s="6">
        <v>0</v>
      </c>
      <c r="W833" s="6">
        <v>0</v>
      </c>
      <c r="X833" s="6">
        <v>0</v>
      </c>
      <c r="Y833" t="s">
        <v>171</v>
      </c>
      <c r="AD833">
        <f>1/6</f>
        <v>0.16666666666666666</v>
      </c>
      <c r="AE833">
        <v>635</v>
      </c>
      <c r="AF833">
        <v>1</v>
      </c>
      <c r="AG833" s="9">
        <v>1.7000000000000001E-2</v>
      </c>
      <c r="AH833" s="9">
        <v>1.79</v>
      </c>
      <c r="AI833" s="9">
        <v>0.35</v>
      </c>
      <c r="AJ833" s="9">
        <v>3.4000000000000002E-2</v>
      </c>
      <c r="AK833" s="9">
        <v>8.9999999999999993E-3</v>
      </c>
      <c r="AL833" s="9">
        <v>16.3</v>
      </c>
      <c r="AM833" s="9">
        <v>11.3</v>
      </c>
      <c r="AN833" s="9">
        <v>2.0099999999999998</v>
      </c>
      <c r="AO833" s="9">
        <v>5.7000000000000002E-2</v>
      </c>
      <c r="AQ833" s="1"/>
    </row>
    <row r="834" spans="1:43" x14ac:dyDescent="0.3">
      <c r="A834" t="s">
        <v>340</v>
      </c>
      <c r="B834" s="1" t="s">
        <v>1599</v>
      </c>
      <c r="C834">
        <v>55</v>
      </c>
      <c r="D834" s="8">
        <v>1.4403999999999999</v>
      </c>
      <c r="E834">
        <v>100000</v>
      </c>
      <c r="F834">
        <v>6.5</v>
      </c>
      <c r="G834" t="s">
        <v>193</v>
      </c>
      <c r="H834">
        <v>6.5</v>
      </c>
      <c r="I834" s="4">
        <v>-0.2</v>
      </c>
      <c r="J834" s="3">
        <v>8.3333333333333329E-2</v>
      </c>
      <c r="K834"/>
      <c r="L834" t="s">
        <v>172</v>
      </c>
      <c r="N834" s="3">
        <v>0.14104372355430181</v>
      </c>
      <c r="O834" s="3">
        <v>0</v>
      </c>
      <c r="P834">
        <v>60</v>
      </c>
      <c r="Q834">
        <v>6.5</v>
      </c>
      <c r="R834" t="s">
        <v>102</v>
      </c>
      <c r="S834">
        <v>0</v>
      </c>
      <c r="T834" s="6">
        <f>10^-(14-Q834)</f>
        <v>3.1622776601683699E-8</v>
      </c>
      <c r="U834" s="6">
        <v>0</v>
      </c>
      <c r="V834" s="6">
        <v>0</v>
      </c>
      <c r="W834" s="6">
        <v>0</v>
      </c>
      <c r="X834" s="6">
        <v>0</v>
      </c>
      <c r="Y834" t="s">
        <v>171</v>
      </c>
      <c r="AD834">
        <f>1/6</f>
        <v>0.16666666666666666</v>
      </c>
      <c r="AE834">
        <v>295</v>
      </c>
      <c r="AF834">
        <v>1</v>
      </c>
      <c r="AG834" s="9">
        <v>1.7000000000000001E-2</v>
      </c>
      <c r="AH834" s="9">
        <v>1.79</v>
      </c>
      <c r="AI834" s="9">
        <v>0.35</v>
      </c>
      <c r="AJ834" s="9">
        <v>3.4000000000000002E-2</v>
      </c>
      <c r="AK834" s="9">
        <v>8.9999999999999993E-3</v>
      </c>
      <c r="AL834" s="9">
        <v>16.3</v>
      </c>
      <c r="AM834" s="9">
        <v>11.3</v>
      </c>
      <c r="AN834" s="9">
        <v>2.0099999999999998</v>
      </c>
      <c r="AO834" s="9">
        <v>5.7000000000000002E-2</v>
      </c>
      <c r="AQ834" s="1"/>
    </row>
    <row r="835" spans="1:43" x14ac:dyDescent="0.3">
      <c r="A835" t="s">
        <v>341</v>
      </c>
      <c r="B835" s="1" t="s">
        <v>1599</v>
      </c>
      <c r="C835">
        <v>55</v>
      </c>
      <c r="D835" s="8">
        <v>1.4403999999999999</v>
      </c>
      <c r="E835">
        <v>100000</v>
      </c>
      <c r="F835">
        <v>6.5</v>
      </c>
      <c r="G835" t="s">
        <v>193</v>
      </c>
      <c r="H835">
        <v>6.5</v>
      </c>
      <c r="I835" s="4">
        <v>-0.2</v>
      </c>
      <c r="J835" s="3">
        <v>8.3333333333333329E-2</v>
      </c>
      <c r="K835"/>
      <c r="L835" t="s">
        <v>172</v>
      </c>
      <c r="N835" s="3">
        <v>0.14104372355430181</v>
      </c>
      <c r="O835" s="3">
        <v>0</v>
      </c>
      <c r="P835">
        <v>80</v>
      </c>
      <c r="Q835">
        <v>6.5</v>
      </c>
      <c r="R835" t="s">
        <v>102</v>
      </c>
      <c r="S835">
        <v>0</v>
      </c>
      <c r="T835" s="6">
        <f>10^-(14-Q835)</f>
        <v>3.1622776601683699E-8</v>
      </c>
      <c r="U835" s="6">
        <v>0</v>
      </c>
      <c r="V835" s="6">
        <v>0</v>
      </c>
      <c r="W835" s="6">
        <v>0</v>
      </c>
      <c r="X835" s="6">
        <v>0</v>
      </c>
      <c r="Y835" t="s">
        <v>171</v>
      </c>
      <c r="AD835">
        <f>1/6</f>
        <v>0.16666666666666666</v>
      </c>
      <c r="AE835">
        <v>155</v>
      </c>
      <c r="AF835">
        <v>1</v>
      </c>
      <c r="AG835" s="9">
        <v>1.7000000000000001E-2</v>
      </c>
      <c r="AH835" s="9">
        <v>1.79</v>
      </c>
      <c r="AI835" s="9">
        <v>0.35</v>
      </c>
      <c r="AJ835" s="9">
        <v>3.4000000000000002E-2</v>
      </c>
      <c r="AK835" s="9">
        <v>8.9999999999999993E-3</v>
      </c>
      <c r="AL835" s="9">
        <v>16.3</v>
      </c>
      <c r="AM835" s="9">
        <v>11.3</v>
      </c>
      <c r="AN835" s="9">
        <v>2.0099999999999998</v>
      </c>
      <c r="AO835" s="9">
        <v>5.7000000000000002E-2</v>
      </c>
      <c r="AQ835" s="1"/>
    </row>
    <row r="836" spans="1:43" x14ac:dyDescent="0.3">
      <c r="A836" t="s">
        <v>342</v>
      </c>
      <c r="B836" s="1" t="s">
        <v>1599</v>
      </c>
      <c r="C836">
        <v>55</v>
      </c>
      <c r="D836" s="8">
        <v>1.4403999999999999</v>
      </c>
      <c r="E836">
        <v>100000</v>
      </c>
      <c r="F836">
        <v>6.5</v>
      </c>
      <c r="G836" t="s">
        <v>193</v>
      </c>
      <c r="H836">
        <v>6.5</v>
      </c>
      <c r="I836" s="4">
        <v>-0.2</v>
      </c>
      <c r="J836" s="3">
        <v>8.3333333333333329E-2</v>
      </c>
      <c r="K836"/>
      <c r="L836" t="s">
        <v>172</v>
      </c>
      <c r="N836" s="3">
        <v>0.14104372355430181</v>
      </c>
      <c r="O836" s="3">
        <v>0</v>
      </c>
      <c r="P836">
        <v>95</v>
      </c>
      <c r="Q836">
        <v>6.5</v>
      </c>
      <c r="R836" t="s">
        <v>102</v>
      </c>
      <c r="S836">
        <v>0</v>
      </c>
      <c r="T836" s="6">
        <f>10^-(14-Q836)</f>
        <v>3.1622776601683699E-8</v>
      </c>
      <c r="U836" s="6">
        <v>0</v>
      </c>
      <c r="V836" s="6">
        <v>0</v>
      </c>
      <c r="W836" s="6">
        <v>0</v>
      </c>
      <c r="X836" s="6">
        <v>0</v>
      </c>
      <c r="Y836" t="s">
        <v>171</v>
      </c>
      <c r="AD836">
        <f>1/6</f>
        <v>0.16666666666666666</v>
      </c>
      <c r="AE836">
        <v>118</v>
      </c>
      <c r="AF836">
        <v>1</v>
      </c>
      <c r="AG836" s="9">
        <v>1.7000000000000001E-2</v>
      </c>
      <c r="AH836" s="9">
        <v>1.79</v>
      </c>
      <c r="AI836" s="9">
        <v>0.35</v>
      </c>
      <c r="AJ836" s="9">
        <v>3.4000000000000002E-2</v>
      </c>
      <c r="AK836" s="9">
        <v>8.9999999999999993E-3</v>
      </c>
      <c r="AL836" s="9">
        <v>16.3</v>
      </c>
      <c r="AM836" s="9">
        <v>11.3</v>
      </c>
      <c r="AN836" s="9">
        <v>2.0099999999999998</v>
      </c>
      <c r="AO836" s="9">
        <v>5.7000000000000002E-2</v>
      </c>
      <c r="AQ836" s="1"/>
    </row>
    <row r="837" spans="1:43" x14ac:dyDescent="0.3">
      <c r="A837" t="s">
        <v>343</v>
      </c>
      <c r="B837" s="1" t="s">
        <v>1599</v>
      </c>
      <c r="C837">
        <v>55</v>
      </c>
      <c r="D837" s="8">
        <v>1.4403999999999999</v>
      </c>
      <c r="E837">
        <v>32</v>
      </c>
      <c r="F837">
        <v>5.4</v>
      </c>
      <c r="G837" t="s">
        <v>193</v>
      </c>
      <c r="H837">
        <v>6.5</v>
      </c>
      <c r="I837" s="4">
        <v>-0.2</v>
      </c>
      <c r="J837" s="3">
        <v>8.3333333333333329E-2</v>
      </c>
      <c r="K837"/>
      <c r="L837" t="s">
        <v>172</v>
      </c>
      <c r="N837" s="3">
        <v>1.4104372355430181</v>
      </c>
      <c r="O837" s="3">
        <v>0</v>
      </c>
      <c r="P837">
        <v>10</v>
      </c>
      <c r="Q837">
        <v>6.5</v>
      </c>
      <c r="R837" t="s">
        <v>102</v>
      </c>
      <c r="S837">
        <v>0</v>
      </c>
      <c r="T837" s="6">
        <f>10^-(14-Q837)</f>
        <v>3.1622776601683699E-8</v>
      </c>
      <c r="U837" s="6">
        <v>0</v>
      </c>
      <c r="V837" s="6">
        <v>0</v>
      </c>
      <c r="W837" s="6">
        <v>0</v>
      </c>
      <c r="X837" s="6">
        <v>0</v>
      </c>
      <c r="Y837" t="s">
        <v>171</v>
      </c>
      <c r="AD837">
        <f>1/6</f>
        <v>0.16666666666666666</v>
      </c>
      <c r="AE837">
        <v>505</v>
      </c>
      <c r="AF837">
        <v>1</v>
      </c>
      <c r="AG837" s="9">
        <v>1.7000000000000001E-2</v>
      </c>
      <c r="AH837" s="9">
        <v>1.79</v>
      </c>
      <c r="AI837" s="9">
        <v>0.35</v>
      </c>
      <c r="AJ837" s="9">
        <v>3.4000000000000002E-2</v>
      </c>
      <c r="AK837" s="9">
        <v>8.9999999999999993E-3</v>
      </c>
      <c r="AL837" s="9">
        <v>16.3</v>
      </c>
      <c r="AM837" s="9">
        <v>11.3</v>
      </c>
      <c r="AN837" s="9">
        <v>2.0099999999999998</v>
      </c>
      <c r="AO837" s="9">
        <v>5.7000000000000002E-2</v>
      </c>
      <c r="AQ837" s="1"/>
    </row>
    <row r="838" spans="1:43" x14ac:dyDescent="0.3">
      <c r="A838" t="s">
        <v>344</v>
      </c>
      <c r="B838" s="1" t="s">
        <v>1599</v>
      </c>
      <c r="C838">
        <v>55</v>
      </c>
      <c r="D838" s="8">
        <v>1.4403999999999999</v>
      </c>
      <c r="E838">
        <v>32</v>
      </c>
      <c r="F838">
        <v>5.4</v>
      </c>
      <c r="G838" t="s">
        <v>193</v>
      </c>
      <c r="H838">
        <v>6.5</v>
      </c>
      <c r="I838" s="4">
        <v>-0.2</v>
      </c>
      <c r="J838" s="3">
        <v>8.3333333333333329E-2</v>
      </c>
      <c r="K838"/>
      <c r="L838" t="s">
        <v>172</v>
      </c>
      <c r="N838" s="3">
        <v>1.4104372355430181</v>
      </c>
      <c r="O838" s="3">
        <v>0</v>
      </c>
      <c r="P838">
        <v>20</v>
      </c>
      <c r="Q838">
        <v>6.5</v>
      </c>
      <c r="R838" t="s">
        <v>102</v>
      </c>
      <c r="S838">
        <v>0</v>
      </c>
      <c r="T838" s="6">
        <f>10^-(14-Q838)</f>
        <v>3.1622776601683699E-8</v>
      </c>
      <c r="U838" s="6">
        <v>0</v>
      </c>
      <c r="V838" s="6">
        <v>0</v>
      </c>
      <c r="W838" s="6">
        <v>0</v>
      </c>
      <c r="X838" s="6">
        <v>0</v>
      </c>
      <c r="Y838" t="s">
        <v>171</v>
      </c>
      <c r="AD838">
        <f>1/6</f>
        <v>0.16666666666666666</v>
      </c>
      <c r="AE838">
        <v>271</v>
      </c>
      <c r="AF838">
        <v>1</v>
      </c>
      <c r="AG838" s="9">
        <v>1.7000000000000001E-2</v>
      </c>
      <c r="AH838" s="9">
        <v>1.79</v>
      </c>
      <c r="AI838" s="9">
        <v>0.35</v>
      </c>
      <c r="AJ838" s="9">
        <v>3.4000000000000002E-2</v>
      </c>
      <c r="AK838" s="9">
        <v>8.9999999999999993E-3</v>
      </c>
      <c r="AL838" s="9">
        <v>16.3</v>
      </c>
      <c r="AM838" s="9">
        <v>11.3</v>
      </c>
      <c r="AN838" s="9">
        <v>2.0099999999999998</v>
      </c>
      <c r="AO838" s="9">
        <v>5.7000000000000002E-2</v>
      </c>
      <c r="AQ838" s="1"/>
    </row>
    <row r="839" spans="1:43" x14ac:dyDescent="0.3">
      <c r="A839" t="s">
        <v>345</v>
      </c>
      <c r="B839" s="1" t="s">
        <v>1599</v>
      </c>
      <c r="C839">
        <v>55</v>
      </c>
      <c r="D839" s="8">
        <v>1.4403999999999999</v>
      </c>
      <c r="E839">
        <v>32</v>
      </c>
      <c r="F839">
        <v>5.4</v>
      </c>
      <c r="G839" t="s">
        <v>193</v>
      </c>
      <c r="H839">
        <v>6.5</v>
      </c>
      <c r="I839" s="4">
        <v>-0.2</v>
      </c>
      <c r="J839" s="3">
        <v>8.3333333333333329E-2</v>
      </c>
      <c r="K839"/>
      <c r="L839" t="s">
        <v>172</v>
      </c>
      <c r="N839" s="3">
        <v>1.4104372355430181</v>
      </c>
      <c r="O839" s="3">
        <v>0</v>
      </c>
      <c r="P839">
        <v>40</v>
      </c>
      <c r="Q839">
        <v>6.5</v>
      </c>
      <c r="R839" t="s">
        <v>102</v>
      </c>
      <c r="S839">
        <v>0</v>
      </c>
      <c r="T839" s="6">
        <f>10^-(14-Q839)</f>
        <v>3.1622776601683699E-8</v>
      </c>
      <c r="U839" s="6">
        <v>0</v>
      </c>
      <c r="V839" s="6">
        <v>0</v>
      </c>
      <c r="W839" s="6">
        <v>0</v>
      </c>
      <c r="X839" s="6">
        <v>0</v>
      </c>
      <c r="Y839" t="s">
        <v>171</v>
      </c>
      <c r="AD839">
        <f>1/6</f>
        <v>0.16666666666666666</v>
      </c>
      <c r="AE839">
        <v>222</v>
      </c>
      <c r="AF839">
        <v>1</v>
      </c>
      <c r="AG839" s="9">
        <v>1.7000000000000001E-2</v>
      </c>
      <c r="AH839" s="9">
        <v>1.79</v>
      </c>
      <c r="AI839" s="9">
        <v>0.35</v>
      </c>
      <c r="AJ839" s="9">
        <v>3.4000000000000002E-2</v>
      </c>
      <c r="AK839" s="9">
        <v>8.9999999999999993E-3</v>
      </c>
      <c r="AL839" s="9">
        <v>16.3</v>
      </c>
      <c r="AM839" s="9">
        <v>11.3</v>
      </c>
      <c r="AN839" s="9">
        <v>2.0099999999999998</v>
      </c>
      <c r="AO839" s="9">
        <v>5.7000000000000002E-2</v>
      </c>
      <c r="AQ839" s="1"/>
    </row>
    <row r="840" spans="1:43" x14ac:dyDescent="0.3">
      <c r="A840" t="s">
        <v>346</v>
      </c>
      <c r="B840" s="1" t="s">
        <v>1599</v>
      </c>
      <c r="C840">
        <v>55</v>
      </c>
      <c r="D840" s="8">
        <v>1.4403999999999999</v>
      </c>
      <c r="E840">
        <v>32</v>
      </c>
      <c r="F840">
        <v>5.4</v>
      </c>
      <c r="G840" t="s">
        <v>193</v>
      </c>
      <c r="H840">
        <v>6.5</v>
      </c>
      <c r="I840" s="4">
        <v>-0.2</v>
      </c>
      <c r="J840" s="3">
        <v>8.3333333333333329E-2</v>
      </c>
      <c r="K840"/>
      <c r="L840" t="s">
        <v>172</v>
      </c>
      <c r="N840" s="3">
        <v>1.4104372355430181</v>
      </c>
      <c r="O840" s="3">
        <v>0</v>
      </c>
      <c r="P840">
        <v>60</v>
      </c>
      <c r="Q840">
        <v>6.5</v>
      </c>
      <c r="R840" t="s">
        <v>102</v>
      </c>
      <c r="S840">
        <v>0</v>
      </c>
      <c r="T840" s="6">
        <f>10^-(14-Q840)</f>
        <v>3.1622776601683699E-8</v>
      </c>
      <c r="U840" s="6">
        <v>0</v>
      </c>
      <c r="V840" s="6">
        <v>0</v>
      </c>
      <c r="W840" s="6">
        <v>0</v>
      </c>
      <c r="X840" s="6">
        <v>0</v>
      </c>
      <c r="Y840" t="s">
        <v>171</v>
      </c>
      <c r="AD840">
        <f>1/6</f>
        <v>0.16666666666666666</v>
      </c>
      <c r="AE840">
        <v>70</v>
      </c>
      <c r="AF840">
        <v>1</v>
      </c>
      <c r="AG840" s="9">
        <v>1.7000000000000001E-2</v>
      </c>
      <c r="AH840" s="9">
        <v>1.79</v>
      </c>
      <c r="AI840" s="9">
        <v>0.35</v>
      </c>
      <c r="AJ840" s="9">
        <v>3.4000000000000002E-2</v>
      </c>
      <c r="AK840" s="9">
        <v>8.9999999999999993E-3</v>
      </c>
      <c r="AL840" s="9">
        <v>16.3</v>
      </c>
      <c r="AM840" s="9">
        <v>11.3</v>
      </c>
      <c r="AN840" s="9">
        <v>2.0099999999999998</v>
      </c>
      <c r="AO840" s="9">
        <v>5.7000000000000002E-2</v>
      </c>
      <c r="AQ840" s="1"/>
    </row>
    <row r="841" spans="1:43" x14ac:dyDescent="0.3">
      <c r="A841" t="s">
        <v>347</v>
      </c>
      <c r="B841" s="1" t="s">
        <v>1599</v>
      </c>
      <c r="C841">
        <v>55</v>
      </c>
      <c r="D841" s="8">
        <v>1.4403999999999999</v>
      </c>
      <c r="E841">
        <v>32</v>
      </c>
      <c r="F841">
        <v>5.4</v>
      </c>
      <c r="G841" t="s">
        <v>193</v>
      </c>
      <c r="H841">
        <v>6.5</v>
      </c>
      <c r="I841" s="4">
        <v>-0.2</v>
      </c>
      <c r="J841" s="3">
        <v>8.3333333333333329E-2</v>
      </c>
      <c r="K841"/>
      <c r="L841" t="s">
        <v>172</v>
      </c>
      <c r="N841" s="3">
        <v>1.4104372355430181</v>
      </c>
      <c r="O841" s="3">
        <v>0</v>
      </c>
      <c r="P841">
        <v>80</v>
      </c>
      <c r="Q841">
        <v>6.5</v>
      </c>
      <c r="R841" t="s">
        <v>102</v>
      </c>
      <c r="S841">
        <v>0</v>
      </c>
      <c r="T841" s="6">
        <f>10^-(14-Q841)</f>
        <v>3.1622776601683699E-8</v>
      </c>
      <c r="U841" s="6">
        <v>0</v>
      </c>
      <c r="V841" s="6">
        <v>0</v>
      </c>
      <c r="W841" s="6">
        <v>0</v>
      </c>
      <c r="X841" s="6">
        <v>0</v>
      </c>
      <c r="Y841" t="s">
        <v>171</v>
      </c>
      <c r="AD841">
        <f>1/6</f>
        <v>0.16666666666666666</v>
      </c>
      <c r="AE841">
        <v>-5</v>
      </c>
      <c r="AF841">
        <v>1</v>
      </c>
      <c r="AG841" s="9">
        <v>1.7000000000000001E-2</v>
      </c>
      <c r="AH841" s="9">
        <v>1.79</v>
      </c>
      <c r="AI841" s="9">
        <v>0.35</v>
      </c>
      <c r="AJ841" s="9">
        <v>3.4000000000000002E-2</v>
      </c>
      <c r="AK841" s="9">
        <v>8.9999999999999993E-3</v>
      </c>
      <c r="AL841" s="9">
        <v>16.3</v>
      </c>
      <c r="AM841" s="9">
        <v>11.3</v>
      </c>
      <c r="AN841" s="9">
        <v>2.0099999999999998</v>
      </c>
      <c r="AO841" s="9">
        <v>5.7000000000000002E-2</v>
      </c>
      <c r="AQ841" s="1"/>
    </row>
    <row r="842" spans="1:43" x14ac:dyDescent="0.3">
      <c r="A842" t="s">
        <v>348</v>
      </c>
      <c r="B842" s="1" t="s">
        <v>1599</v>
      </c>
      <c r="C842">
        <v>55</v>
      </c>
      <c r="D842" s="8">
        <v>1.4403999999999999</v>
      </c>
      <c r="E842">
        <v>32</v>
      </c>
      <c r="F842">
        <v>5.4</v>
      </c>
      <c r="G842" t="s">
        <v>193</v>
      </c>
      <c r="H842">
        <v>6.5</v>
      </c>
      <c r="I842" s="4">
        <v>-0.2</v>
      </c>
      <c r="J842" s="3">
        <v>8.3333333333333329E-2</v>
      </c>
      <c r="K842"/>
      <c r="L842" t="s">
        <v>172</v>
      </c>
      <c r="N842" s="3">
        <v>1.4104372355430181</v>
      </c>
      <c r="O842" s="3">
        <v>0</v>
      </c>
      <c r="P842">
        <v>95</v>
      </c>
      <c r="Q842">
        <v>6.5</v>
      </c>
      <c r="R842" t="s">
        <v>102</v>
      </c>
      <c r="S842">
        <v>0</v>
      </c>
      <c r="T842" s="6">
        <f>10^-(14-Q842)</f>
        <v>3.1622776601683699E-8</v>
      </c>
      <c r="U842" s="6">
        <v>0</v>
      </c>
      <c r="V842" s="6">
        <v>0</v>
      </c>
      <c r="W842" s="6">
        <v>0</v>
      </c>
      <c r="X842" s="6">
        <v>0</v>
      </c>
      <c r="Y842" t="s">
        <v>171</v>
      </c>
      <c r="AD842">
        <f>1/6</f>
        <v>0.16666666666666666</v>
      </c>
      <c r="AE842">
        <v>18</v>
      </c>
      <c r="AF842">
        <v>1</v>
      </c>
      <c r="AG842" s="9">
        <v>1.7000000000000001E-2</v>
      </c>
      <c r="AH842" s="9">
        <v>1.79</v>
      </c>
      <c r="AI842" s="9">
        <v>0.35</v>
      </c>
      <c r="AJ842" s="9">
        <v>3.4000000000000002E-2</v>
      </c>
      <c r="AK842" s="9">
        <v>8.9999999999999993E-3</v>
      </c>
      <c r="AL842" s="9">
        <v>16.3</v>
      </c>
      <c r="AM842" s="9">
        <v>11.3</v>
      </c>
      <c r="AN842" s="9">
        <v>2.0099999999999998</v>
      </c>
      <c r="AO842" s="9">
        <v>5.7000000000000002E-2</v>
      </c>
      <c r="AQ842" s="1"/>
    </row>
    <row r="843" spans="1:43" x14ac:dyDescent="0.3">
      <c r="A843" t="s">
        <v>349</v>
      </c>
      <c r="B843" s="1" t="s">
        <v>1599</v>
      </c>
      <c r="C843">
        <v>55</v>
      </c>
      <c r="D843" s="8">
        <v>1.4403999999999999</v>
      </c>
      <c r="E843">
        <v>32</v>
      </c>
      <c r="F843">
        <v>6.6</v>
      </c>
      <c r="G843" t="s">
        <v>193</v>
      </c>
      <c r="H843">
        <v>6.5</v>
      </c>
      <c r="I843" s="4">
        <v>-0.2</v>
      </c>
      <c r="J843" s="3">
        <v>8.3333333333333329E-2</v>
      </c>
      <c r="K843"/>
      <c r="L843" t="s">
        <v>172</v>
      </c>
      <c r="N843" s="3">
        <v>1.4104372355430181</v>
      </c>
      <c r="O843" s="3">
        <v>0</v>
      </c>
      <c r="P843">
        <v>10</v>
      </c>
      <c r="Q843">
        <v>6.5</v>
      </c>
      <c r="R843" t="s">
        <v>102</v>
      </c>
      <c r="S843">
        <v>0</v>
      </c>
      <c r="T843" s="6">
        <f>10^-(14-Q843)</f>
        <v>3.1622776601683699E-8</v>
      </c>
      <c r="U843" s="6">
        <v>0</v>
      </c>
      <c r="V843" s="6">
        <v>0</v>
      </c>
      <c r="W843" s="6">
        <v>0</v>
      </c>
      <c r="X843" s="6">
        <v>0</v>
      </c>
      <c r="Y843" t="s">
        <v>171</v>
      </c>
      <c r="AD843">
        <f>1/6</f>
        <v>0.16666666666666666</v>
      </c>
      <c r="AE843">
        <v>646</v>
      </c>
      <c r="AF843">
        <v>1</v>
      </c>
      <c r="AG843" s="9">
        <v>1.7000000000000001E-2</v>
      </c>
      <c r="AH843" s="9">
        <v>1.79</v>
      </c>
      <c r="AI843" s="9">
        <v>0.35</v>
      </c>
      <c r="AJ843" s="9">
        <v>3.4000000000000002E-2</v>
      </c>
      <c r="AK843" s="9">
        <v>8.9999999999999993E-3</v>
      </c>
      <c r="AL843" s="9">
        <v>16.3</v>
      </c>
      <c r="AM843" s="9">
        <v>11.3</v>
      </c>
      <c r="AN843" s="9">
        <v>2.0099999999999998</v>
      </c>
      <c r="AO843" s="9">
        <v>5.7000000000000002E-2</v>
      </c>
      <c r="AQ843" s="1"/>
    </row>
    <row r="844" spans="1:43" x14ac:dyDescent="0.3">
      <c r="A844" t="s">
        <v>350</v>
      </c>
      <c r="B844" s="1" t="s">
        <v>1599</v>
      </c>
      <c r="C844">
        <v>55</v>
      </c>
      <c r="D844" s="8">
        <v>1.4403999999999999</v>
      </c>
      <c r="E844">
        <v>100000</v>
      </c>
      <c r="F844">
        <v>6.6</v>
      </c>
      <c r="G844" t="s">
        <v>193</v>
      </c>
      <c r="H844">
        <v>6.5</v>
      </c>
      <c r="I844" s="4">
        <v>-0.2</v>
      </c>
      <c r="J844" s="3">
        <v>8.3333333333333329E-2</v>
      </c>
      <c r="K844"/>
      <c r="L844" t="s">
        <v>172</v>
      </c>
      <c r="N844" s="3">
        <v>1.4104372355430181</v>
      </c>
      <c r="O844" s="3">
        <v>0</v>
      </c>
      <c r="P844">
        <v>10</v>
      </c>
      <c r="Q844">
        <v>6.5</v>
      </c>
      <c r="R844" t="s">
        <v>102</v>
      </c>
      <c r="S844">
        <v>0</v>
      </c>
      <c r="T844" s="6">
        <f>10^-(14-Q844)</f>
        <v>3.1622776601683699E-8</v>
      </c>
      <c r="U844" s="6">
        <v>0</v>
      </c>
      <c r="V844" s="6">
        <v>0</v>
      </c>
      <c r="W844" s="6">
        <v>0</v>
      </c>
      <c r="X844" s="6">
        <v>0</v>
      </c>
      <c r="Y844" t="s">
        <v>171</v>
      </c>
      <c r="AD844">
        <f>1/6</f>
        <v>0.16666666666666666</v>
      </c>
      <c r="AE844">
        <v>336</v>
      </c>
      <c r="AF844">
        <v>1</v>
      </c>
      <c r="AG844" s="9">
        <v>1.7000000000000001E-2</v>
      </c>
      <c r="AH844" s="9">
        <v>1.79</v>
      </c>
      <c r="AI844" s="9">
        <v>0.35</v>
      </c>
      <c r="AJ844" s="9">
        <v>3.4000000000000002E-2</v>
      </c>
      <c r="AK844" s="9">
        <v>8.9999999999999993E-3</v>
      </c>
      <c r="AL844" s="9">
        <v>16.3</v>
      </c>
      <c r="AM844" s="9">
        <v>11.3</v>
      </c>
      <c r="AN844" s="9">
        <v>2.0099999999999998</v>
      </c>
      <c r="AO844" s="9">
        <v>5.7000000000000002E-2</v>
      </c>
      <c r="AQ844" s="1"/>
    </row>
    <row r="845" spans="1:43" x14ac:dyDescent="0.3">
      <c r="A845" t="s">
        <v>351</v>
      </c>
      <c r="B845" s="1" t="s">
        <v>1599</v>
      </c>
      <c r="C845">
        <v>55</v>
      </c>
      <c r="D845" s="8">
        <v>1.4403999999999999</v>
      </c>
      <c r="E845">
        <v>100000</v>
      </c>
      <c r="F845">
        <v>6.6</v>
      </c>
      <c r="G845" t="s">
        <v>193</v>
      </c>
      <c r="H845">
        <v>6.5</v>
      </c>
      <c r="I845" s="4">
        <v>-0.2</v>
      </c>
      <c r="J845" s="3">
        <v>8.3333333333333329E-2</v>
      </c>
      <c r="K845"/>
      <c r="L845" t="s">
        <v>172</v>
      </c>
      <c r="N845" s="3">
        <v>1.4104372355430181</v>
      </c>
      <c r="O845" s="3">
        <v>0</v>
      </c>
      <c r="P845">
        <v>15</v>
      </c>
      <c r="Q845">
        <v>6.5</v>
      </c>
      <c r="R845" t="s">
        <v>102</v>
      </c>
      <c r="S845">
        <v>0</v>
      </c>
      <c r="T845" s="6">
        <f>10^-(14-Q845)</f>
        <v>3.1622776601683699E-8</v>
      </c>
      <c r="U845" s="6">
        <v>0</v>
      </c>
      <c r="V845" s="6">
        <v>0</v>
      </c>
      <c r="W845" s="6">
        <v>0</v>
      </c>
      <c r="X845" s="6">
        <v>0</v>
      </c>
      <c r="Y845" t="s">
        <v>171</v>
      </c>
      <c r="AD845">
        <f>1/6</f>
        <v>0.16666666666666666</v>
      </c>
      <c r="AE845">
        <v>491</v>
      </c>
      <c r="AF845">
        <v>1</v>
      </c>
      <c r="AG845" s="9">
        <v>1.7000000000000001E-2</v>
      </c>
      <c r="AH845" s="9">
        <v>1.79</v>
      </c>
      <c r="AI845" s="9">
        <v>0.35</v>
      </c>
      <c r="AJ845" s="9">
        <v>3.4000000000000002E-2</v>
      </c>
      <c r="AK845" s="9">
        <v>8.9999999999999993E-3</v>
      </c>
      <c r="AL845" s="9">
        <v>16.3</v>
      </c>
      <c r="AM845" s="9">
        <v>11.3</v>
      </c>
      <c r="AN845" s="9">
        <v>2.0099999999999998</v>
      </c>
      <c r="AO845" s="9">
        <v>5.7000000000000002E-2</v>
      </c>
      <c r="AQ845" s="1"/>
    </row>
    <row r="846" spans="1:43" x14ac:dyDescent="0.3">
      <c r="A846" t="s">
        <v>352</v>
      </c>
      <c r="B846" s="1" t="s">
        <v>1599</v>
      </c>
      <c r="C846">
        <v>55</v>
      </c>
      <c r="D846" s="8">
        <v>1.4403999999999999</v>
      </c>
      <c r="E846">
        <v>100000</v>
      </c>
      <c r="F846">
        <v>6.6</v>
      </c>
      <c r="G846" t="s">
        <v>193</v>
      </c>
      <c r="H846">
        <v>6.5</v>
      </c>
      <c r="I846" s="4">
        <v>-0.2</v>
      </c>
      <c r="J846" s="3">
        <v>8.3333333333333329E-2</v>
      </c>
      <c r="K846"/>
      <c r="L846" t="s">
        <v>172</v>
      </c>
      <c r="N846" s="3">
        <v>1.4104372355430181</v>
      </c>
      <c r="O846" s="3">
        <v>0</v>
      </c>
      <c r="P846">
        <v>20</v>
      </c>
      <c r="Q846">
        <v>6.5</v>
      </c>
      <c r="R846" t="s">
        <v>102</v>
      </c>
      <c r="S846">
        <v>0</v>
      </c>
      <c r="T846" s="6">
        <f>10^-(14-Q846)</f>
        <v>3.1622776601683699E-8</v>
      </c>
      <c r="U846" s="6">
        <v>0</v>
      </c>
      <c r="V846" s="6">
        <v>0</v>
      </c>
      <c r="W846" s="6">
        <v>0</v>
      </c>
      <c r="X846" s="6">
        <v>0</v>
      </c>
      <c r="Y846" t="s">
        <v>171</v>
      </c>
      <c r="AD846">
        <f>1/6</f>
        <v>0.16666666666666666</v>
      </c>
      <c r="AE846">
        <v>335</v>
      </c>
      <c r="AF846">
        <v>1</v>
      </c>
      <c r="AG846" s="9">
        <v>1.7000000000000001E-2</v>
      </c>
      <c r="AH846" s="9">
        <v>1.79</v>
      </c>
      <c r="AI846" s="9">
        <v>0.35</v>
      </c>
      <c r="AJ846" s="9">
        <v>3.4000000000000002E-2</v>
      </c>
      <c r="AK846" s="9">
        <v>8.9999999999999993E-3</v>
      </c>
      <c r="AL846" s="9">
        <v>16.3</v>
      </c>
      <c r="AM846" s="9">
        <v>11.3</v>
      </c>
      <c r="AN846" s="9">
        <v>2.0099999999999998</v>
      </c>
      <c r="AO846" s="9">
        <v>5.7000000000000002E-2</v>
      </c>
      <c r="AQ846" s="1"/>
    </row>
    <row r="847" spans="1:43" x14ac:dyDescent="0.3">
      <c r="A847" t="s">
        <v>353</v>
      </c>
      <c r="B847" s="1" t="s">
        <v>1599</v>
      </c>
      <c r="C847">
        <v>55</v>
      </c>
      <c r="D847" s="8">
        <v>1.4403999999999999</v>
      </c>
      <c r="E847">
        <v>100000</v>
      </c>
      <c r="F847">
        <v>6.6</v>
      </c>
      <c r="G847" t="s">
        <v>193</v>
      </c>
      <c r="H847">
        <v>6.5</v>
      </c>
      <c r="I847" s="4">
        <v>-0.2</v>
      </c>
      <c r="J847" s="3">
        <v>8.3333333333333329E-2</v>
      </c>
      <c r="K847"/>
      <c r="L847" t="s">
        <v>172</v>
      </c>
      <c r="N847" s="3">
        <v>1.4104372355430181</v>
      </c>
      <c r="O847" s="3">
        <v>0</v>
      </c>
      <c r="P847">
        <v>40</v>
      </c>
      <c r="Q847">
        <v>6.5</v>
      </c>
      <c r="R847" t="s">
        <v>102</v>
      </c>
      <c r="S847">
        <v>0</v>
      </c>
      <c r="T847" s="6">
        <f>10^-(14-Q847)</f>
        <v>3.1622776601683699E-8</v>
      </c>
      <c r="U847" s="6">
        <v>0</v>
      </c>
      <c r="V847" s="6">
        <v>0</v>
      </c>
      <c r="W847" s="6">
        <v>0</v>
      </c>
      <c r="X847" s="6">
        <v>0</v>
      </c>
      <c r="Y847" t="s">
        <v>171</v>
      </c>
      <c r="AD847">
        <f>1/6</f>
        <v>0.16666666666666666</v>
      </c>
      <c r="AE847">
        <v>155</v>
      </c>
      <c r="AF847">
        <v>1</v>
      </c>
      <c r="AG847" s="9">
        <v>1.7000000000000001E-2</v>
      </c>
      <c r="AH847" s="9">
        <v>1.79</v>
      </c>
      <c r="AI847" s="9">
        <v>0.35</v>
      </c>
      <c r="AJ847" s="9">
        <v>3.4000000000000002E-2</v>
      </c>
      <c r="AK847" s="9">
        <v>8.9999999999999993E-3</v>
      </c>
      <c r="AL847" s="9">
        <v>16.3</v>
      </c>
      <c r="AM847" s="9">
        <v>11.3</v>
      </c>
      <c r="AN847" s="9">
        <v>2.0099999999999998</v>
      </c>
      <c r="AO847" s="9">
        <v>5.7000000000000002E-2</v>
      </c>
      <c r="AQ847" s="1"/>
    </row>
    <row r="848" spans="1:43" x14ac:dyDescent="0.3">
      <c r="A848" t="s">
        <v>354</v>
      </c>
      <c r="B848" s="1" t="s">
        <v>1599</v>
      </c>
      <c r="C848">
        <v>55</v>
      </c>
      <c r="D848" s="8">
        <v>1.4403999999999999</v>
      </c>
      <c r="E848">
        <v>100000</v>
      </c>
      <c r="F848">
        <v>6.6</v>
      </c>
      <c r="G848" t="s">
        <v>193</v>
      </c>
      <c r="H848">
        <v>6.5</v>
      </c>
      <c r="I848" s="4">
        <v>-0.2</v>
      </c>
      <c r="J848" s="3">
        <v>8.3333333333333329E-2</v>
      </c>
      <c r="K848"/>
      <c r="L848" t="s">
        <v>172</v>
      </c>
      <c r="N848" s="3">
        <v>1.4104372355430181</v>
      </c>
      <c r="O848" s="3">
        <v>0</v>
      </c>
      <c r="P848">
        <v>60</v>
      </c>
      <c r="Q848">
        <v>6.5</v>
      </c>
      <c r="R848" t="s">
        <v>102</v>
      </c>
      <c r="S848">
        <v>0</v>
      </c>
      <c r="T848" s="6">
        <f>10^-(14-Q848)</f>
        <v>3.1622776601683699E-8</v>
      </c>
      <c r="U848" s="6">
        <v>0</v>
      </c>
      <c r="V848" s="6">
        <v>0</v>
      </c>
      <c r="W848" s="6">
        <v>0</v>
      </c>
      <c r="X848" s="6">
        <v>0</v>
      </c>
      <c r="Y848" t="s">
        <v>171</v>
      </c>
      <c r="AD848">
        <f>1/6</f>
        <v>0.16666666666666666</v>
      </c>
      <c r="AE848">
        <v>88</v>
      </c>
      <c r="AF848">
        <v>1</v>
      </c>
      <c r="AG848" s="9">
        <v>1.7000000000000001E-2</v>
      </c>
      <c r="AH848" s="9">
        <v>1.79</v>
      </c>
      <c r="AI848" s="9">
        <v>0.35</v>
      </c>
      <c r="AJ848" s="9">
        <v>3.4000000000000002E-2</v>
      </c>
      <c r="AK848" s="9">
        <v>8.9999999999999993E-3</v>
      </c>
      <c r="AL848" s="9">
        <v>16.3</v>
      </c>
      <c r="AM848" s="9">
        <v>11.3</v>
      </c>
      <c r="AN848" s="9">
        <v>2.0099999999999998</v>
      </c>
      <c r="AO848" s="9">
        <v>5.7000000000000002E-2</v>
      </c>
      <c r="AQ848" s="1"/>
    </row>
    <row r="849" spans="1:43" x14ac:dyDescent="0.3">
      <c r="A849" t="s">
        <v>355</v>
      </c>
      <c r="B849" s="1" t="s">
        <v>1599</v>
      </c>
      <c r="C849">
        <v>55</v>
      </c>
      <c r="D849" s="8">
        <v>1.4403999999999999</v>
      </c>
      <c r="E849">
        <v>100000</v>
      </c>
      <c r="F849">
        <v>6.6</v>
      </c>
      <c r="G849" t="s">
        <v>193</v>
      </c>
      <c r="H849">
        <v>6.5</v>
      </c>
      <c r="I849" s="4">
        <v>-0.2</v>
      </c>
      <c r="J849" s="3">
        <v>8.3333333333333329E-2</v>
      </c>
      <c r="K849"/>
      <c r="L849" t="s">
        <v>172</v>
      </c>
      <c r="N849" s="3">
        <v>1.4104372355430181</v>
      </c>
      <c r="O849" s="3">
        <v>0</v>
      </c>
      <c r="P849">
        <v>80</v>
      </c>
      <c r="Q849">
        <v>6.5</v>
      </c>
      <c r="R849" t="s">
        <v>102</v>
      </c>
      <c r="S849">
        <v>0</v>
      </c>
      <c r="T849" s="6">
        <f>10^-(14-Q849)</f>
        <v>3.1622776601683699E-8</v>
      </c>
      <c r="U849" s="6">
        <v>0</v>
      </c>
      <c r="V849" s="6">
        <v>0</v>
      </c>
      <c r="W849" s="6">
        <v>0</v>
      </c>
      <c r="X849" s="6">
        <v>0</v>
      </c>
      <c r="Y849" t="s">
        <v>171</v>
      </c>
      <c r="AD849">
        <f>1/6</f>
        <v>0.16666666666666666</v>
      </c>
      <c r="AE849">
        <v>27</v>
      </c>
      <c r="AF849">
        <v>1</v>
      </c>
      <c r="AG849" s="9">
        <v>1.7000000000000001E-2</v>
      </c>
      <c r="AH849" s="9">
        <v>1.79</v>
      </c>
      <c r="AI849" s="9">
        <v>0.35</v>
      </c>
      <c r="AJ849" s="9">
        <v>3.4000000000000002E-2</v>
      </c>
      <c r="AK849" s="9">
        <v>8.9999999999999993E-3</v>
      </c>
      <c r="AL849" s="9">
        <v>16.3</v>
      </c>
      <c r="AM849" s="9">
        <v>11.3</v>
      </c>
      <c r="AN849" s="9">
        <v>2.0099999999999998</v>
      </c>
      <c r="AO849" s="9">
        <v>5.7000000000000002E-2</v>
      </c>
      <c r="AQ849" s="1"/>
    </row>
    <row r="850" spans="1:43" x14ac:dyDescent="0.3">
      <c r="A850" t="s">
        <v>356</v>
      </c>
      <c r="B850" s="1" t="s">
        <v>1599</v>
      </c>
      <c r="C850">
        <v>55</v>
      </c>
      <c r="D850" s="8">
        <v>1.4403999999999999</v>
      </c>
      <c r="E850">
        <v>100000</v>
      </c>
      <c r="F850">
        <v>6.6</v>
      </c>
      <c r="G850" t="s">
        <v>193</v>
      </c>
      <c r="H850">
        <v>6.5</v>
      </c>
      <c r="I850" s="4">
        <v>-0.2</v>
      </c>
      <c r="J850" s="3">
        <v>8.3333333333333329E-2</v>
      </c>
      <c r="K850"/>
      <c r="L850" t="s">
        <v>172</v>
      </c>
      <c r="N850" s="3">
        <v>1.4104372355430181</v>
      </c>
      <c r="O850" s="3">
        <v>0</v>
      </c>
      <c r="P850">
        <v>95</v>
      </c>
      <c r="Q850">
        <v>6.5</v>
      </c>
      <c r="R850" t="s">
        <v>102</v>
      </c>
      <c r="S850">
        <v>0</v>
      </c>
      <c r="T850" s="6">
        <f>10^-(14-Q850)</f>
        <v>3.1622776601683699E-8</v>
      </c>
      <c r="U850" s="6">
        <v>0</v>
      </c>
      <c r="V850" s="6">
        <v>0</v>
      </c>
      <c r="W850" s="6">
        <v>0</v>
      </c>
      <c r="X850" s="6">
        <v>0</v>
      </c>
      <c r="Y850" t="s">
        <v>171</v>
      </c>
      <c r="AD850">
        <f>1/6</f>
        <v>0.16666666666666666</v>
      </c>
      <c r="AE850">
        <v>-20</v>
      </c>
      <c r="AF850">
        <v>1</v>
      </c>
      <c r="AG850" s="9">
        <v>1.7000000000000001E-2</v>
      </c>
      <c r="AH850" s="9">
        <v>1.79</v>
      </c>
      <c r="AI850" s="9">
        <v>0.35</v>
      </c>
      <c r="AJ850" s="9">
        <v>3.4000000000000002E-2</v>
      </c>
      <c r="AK850" s="9">
        <v>8.9999999999999993E-3</v>
      </c>
      <c r="AL850" s="9">
        <v>16.3</v>
      </c>
      <c r="AM850" s="9">
        <v>11.3</v>
      </c>
      <c r="AN850" s="9">
        <v>2.0099999999999998</v>
      </c>
      <c r="AO850" s="9">
        <v>5.7000000000000002E-2</v>
      </c>
      <c r="AQ850" s="1"/>
    </row>
    <row r="851" spans="1:43" x14ac:dyDescent="0.3">
      <c r="A851" t="s">
        <v>357</v>
      </c>
      <c r="B851" s="1" t="s">
        <v>1599</v>
      </c>
      <c r="C851">
        <v>55</v>
      </c>
      <c r="D851" s="8">
        <v>1.4403999999999999</v>
      </c>
      <c r="E851">
        <v>100000</v>
      </c>
      <c r="F851">
        <v>6.5</v>
      </c>
      <c r="G851" t="s">
        <v>193</v>
      </c>
      <c r="H851">
        <v>6.5</v>
      </c>
      <c r="I851" s="4">
        <v>-0.2</v>
      </c>
      <c r="J851" s="3">
        <v>8.3333333333333329E-2</v>
      </c>
      <c r="K851"/>
      <c r="L851" t="s">
        <v>172</v>
      </c>
      <c r="N851" s="3">
        <v>1.4104372355430181</v>
      </c>
      <c r="O851" s="3">
        <v>0</v>
      </c>
      <c r="P851">
        <v>10</v>
      </c>
      <c r="Q851">
        <v>6.5</v>
      </c>
      <c r="R851" t="s">
        <v>102</v>
      </c>
      <c r="S851">
        <v>0</v>
      </c>
      <c r="T851" s="6">
        <f>10^-(14-Q851)</f>
        <v>3.1622776601683699E-8</v>
      </c>
      <c r="U851" s="6">
        <v>0</v>
      </c>
      <c r="V851" s="6">
        <v>0</v>
      </c>
      <c r="W851" s="6">
        <v>0</v>
      </c>
      <c r="X851" s="6">
        <v>0</v>
      </c>
      <c r="Y851" t="s">
        <v>171</v>
      </c>
      <c r="AD851">
        <f>1/6</f>
        <v>0.16666666666666666</v>
      </c>
      <c r="AE851">
        <v>621</v>
      </c>
      <c r="AF851">
        <v>1</v>
      </c>
      <c r="AG851" s="9">
        <v>1.7000000000000001E-2</v>
      </c>
      <c r="AH851" s="9">
        <v>1.79</v>
      </c>
      <c r="AI851" s="9">
        <v>0.35</v>
      </c>
      <c r="AJ851" s="9">
        <v>3.4000000000000002E-2</v>
      </c>
      <c r="AK851" s="9">
        <v>8.9999999999999993E-3</v>
      </c>
      <c r="AL851" s="9">
        <v>16.3</v>
      </c>
      <c r="AM851" s="9">
        <v>11.3</v>
      </c>
      <c r="AN851" s="9">
        <v>2.0099999999999998</v>
      </c>
      <c r="AO851" s="9">
        <v>5.7000000000000002E-2</v>
      </c>
      <c r="AQ851" s="1"/>
    </row>
    <row r="852" spans="1:43" x14ac:dyDescent="0.3">
      <c r="A852" t="s">
        <v>358</v>
      </c>
      <c r="B852" s="1" t="s">
        <v>1599</v>
      </c>
      <c r="C852">
        <v>55</v>
      </c>
      <c r="D852" s="8">
        <v>1.4403999999999999</v>
      </c>
      <c r="E852">
        <v>100000</v>
      </c>
      <c r="F852">
        <v>6.5</v>
      </c>
      <c r="G852" t="s">
        <v>193</v>
      </c>
      <c r="H852">
        <v>6.5</v>
      </c>
      <c r="I852" s="4">
        <v>-0.2</v>
      </c>
      <c r="J852" s="3">
        <v>8.3333333333333329E-2</v>
      </c>
      <c r="K852"/>
      <c r="L852" t="s">
        <v>172</v>
      </c>
      <c r="N852" s="3">
        <v>1.4104372355430181</v>
      </c>
      <c r="O852" s="3">
        <v>0</v>
      </c>
      <c r="P852">
        <v>20</v>
      </c>
      <c r="Q852">
        <v>6.5</v>
      </c>
      <c r="R852" t="s">
        <v>102</v>
      </c>
      <c r="S852">
        <v>0</v>
      </c>
      <c r="T852" s="6">
        <f>10^-(14-Q852)</f>
        <v>3.1622776601683699E-8</v>
      </c>
      <c r="U852" s="6">
        <v>0</v>
      </c>
      <c r="V852" s="6">
        <v>0</v>
      </c>
      <c r="W852" s="6">
        <v>0</v>
      </c>
      <c r="X852" s="6">
        <v>0</v>
      </c>
      <c r="Y852" t="s">
        <v>171</v>
      </c>
      <c r="AD852">
        <f>1/6</f>
        <v>0.16666666666666666</v>
      </c>
      <c r="AE852">
        <v>963</v>
      </c>
      <c r="AF852">
        <v>1</v>
      </c>
      <c r="AG852" s="9">
        <v>1.7000000000000001E-2</v>
      </c>
      <c r="AH852" s="9">
        <v>1.79</v>
      </c>
      <c r="AI852" s="9">
        <v>0.35</v>
      </c>
      <c r="AJ852" s="9">
        <v>3.4000000000000002E-2</v>
      </c>
      <c r="AK852" s="9">
        <v>8.9999999999999993E-3</v>
      </c>
      <c r="AL852" s="9">
        <v>16.3</v>
      </c>
      <c r="AM852" s="9">
        <v>11.3</v>
      </c>
      <c r="AN852" s="9">
        <v>2.0099999999999998</v>
      </c>
      <c r="AO852" s="9">
        <v>5.7000000000000002E-2</v>
      </c>
      <c r="AQ852" s="1"/>
    </row>
    <row r="853" spans="1:43" x14ac:dyDescent="0.3">
      <c r="A853" t="s">
        <v>359</v>
      </c>
      <c r="B853" s="1" t="s">
        <v>1599</v>
      </c>
      <c r="C853">
        <v>55</v>
      </c>
      <c r="D853" s="8">
        <v>1.4403999999999999</v>
      </c>
      <c r="E853">
        <v>100000</v>
      </c>
      <c r="F853">
        <v>6.5</v>
      </c>
      <c r="G853" t="s">
        <v>193</v>
      </c>
      <c r="H853">
        <v>6.5</v>
      </c>
      <c r="I853" s="4">
        <v>-0.2</v>
      </c>
      <c r="J853" s="3">
        <v>8.3333333333333329E-2</v>
      </c>
      <c r="K853"/>
      <c r="L853" t="s">
        <v>172</v>
      </c>
      <c r="N853" s="3">
        <v>1.4104372355430181</v>
      </c>
      <c r="O853" s="3">
        <v>0</v>
      </c>
      <c r="P853">
        <v>40</v>
      </c>
      <c r="Q853">
        <v>6.5</v>
      </c>
      <c r="R853" t="s">
        <v>102</v>
      </c>
      <c r="S853">
        <v>0</v>
      </c>
      <c r="T853" s="6">
        <f>10^-(14-Q853)</f>
        <v>3.1622776601683699E-8</v>
      </c>
      <c r="U853" s="6">
        <v>0</v>
      </c>
      <c r="V853" s="6">
        <v>0</v>
      </c>
      <c r="W853" s="6">
        <v>0</v>
      </c>
      <c r="X853" s="6">
        <v>0</v>
      </c>
      <c r="Y853" t="s">
        <v>171</v>
      </c>
      <c r="AD853">
        <f>1/6</f>
        <v>0.16666666666666666</v>
      </c>
      <c r="AE853">
        <v>383</v>
      </c>
      <c r="AF853">
        <v>1</v>
      </c>
      <c r="AG853" s="9">
        <v>1.7000000000000001E-2</v>
      </c>
      <c r="AH853" s="9">
        <v>1.79</v>
      </c>
      <c r="AI853" s="9">
        <v>0.35</v>
      </c>
      <c r="AJ853" s="9">
        <v>3.4000000000000002E-2</v>
      </c>
      <c r="AK853" s="9">
        <v>8.9999999999999993E-3</v>
      </c>
      <c r="AL853" s="9">
        <v>16.3</v>
      </c>
      <c r="AM853" s="9">
        <v>11.3</v>
      </c>
      <c r="AN853" s="9">
        <v>2.0099999999999998</v>
      </c>
      <c r="AO853" s="9">
        <v>5.7000000000000002E-2</v>
      </c>
      <c r="AQ853" s="1"/>
    </row>
    <row r="854" spans="1:43" x14ac:dyDescent="0.3">
      <c r="A854" t="s">
        <v>360</v>
      </c>
      <c r="B854" s="1" t="s">
        <v>1599</v>
      </c>
      <c r="C854">
        <v>55</v>
      </c>
      <c r="D854" s="8">
        <v>1.4403999999999999</v>
      </c>
      <c r="E854">
        <v>100000</v>
      </c>
      <c r="F854">
        <v>6.5</v>
      </c>
      <c r="G854" t="s">
        <v>193</v>
      </c>
      <c r="H854">
        <v>6.5</v>
      </c>
      <c r="I854" s="4">
        <v>-0.2</v>
      </c>
      <c r="J854" s="3">
        <v>8.3333333333333329E-2</v>
      </c>
      <c r="K854"/>
      <c r="L854" t="s">
        <v>172</v>
      </c>
      <c r="N854" s="3">
        <v>1.4104372355430181</v>
      </c>
      <c r="O854" s="3">
        <v>0</v>
      </c>
      <c r="P854">
        <v>40</v>
      </c>
      <c r="Q854">
        <v>6.5</v>
      </c>
      <c r="R854" t="s">
        <v>102</v>
      </c>
      <c r="S854">
        <v>0</v>
      </c>
      <c r="T854" s="6">
        <f>10^-(14-Q854)</f>
        <v>3.1622776601683699E-8</v>
      </c>
      <c r="U854" s="6">
        <v>0</v>
      </c>
      <c r="V854" s="6">
        <v>0</v>
      </c>
      <c r="W854" s="6">
        <v>0</v>
      </c>
      <c r="X854" s="6">
        <v>0</v>
      </c>
      <c r="Y854" t="s">
        <v>171</v>
      </c>
      <c r="AD854">
        <f>1/6</f>
        <v>0.16666666666666666</v>
      </c>
      <c r="AE854">
        <v>291</v>
      </c>
      <c r="AF854">
        <v>1</v>
      </c>
      <c r="AG854" s="9">
        <v>1.7000000000000001E-2</v>
      </c>
      <c r="AH854" s="9">
        <v>1.79</v>
      </c>
      <c r="AI854" s="9">
        <v>0.35</v>
      </c>
      <c r="AJ854" s="9">
        <v>3.4000000000000002E-2</v>
      </c>
      <c r="AK854" s="9">
        <v>8.9999999999999993E-3</v>
      </c>
      <c r="AL854" s="9">
        <v>16.3</v>
      </c>
      <c r="AM854" s="9">
        <v>11.3</v>
      </c>
      <c r="AN854" s="9">
        <v>2.0099999999999998</v>
      </c>
      <c r="AO854" s="9">
        <v>5.7000000000000002E-2</v>
      </c>
      <c r="AQ854" s="1"/>
    </row>
    <row r="855" spans="1:43" x14ac:dyDescent="0.3">
      <c r="A855" t="s">
        <v>361</v>
      </c>
      <c r="B855" s="1" t="s">
        <v>1599</v>
      </c>
      <c r="C855">
        <v>55</v>
      </c>
      <c r="D855" s="8">
        <v>1.4403999999999999</v>
      </c>
      <c r="E855">
        <v>100000</v>
      </c>
      <c r="F855">
        <v>6.5</v>
      </c>
      <c r="G855" t="s">
        <v>193</v>
      </c>
      <c r="H855">
        <v>6.5</v>
      </c>
      <c r="I855" s="4">
        <v>-0.2</v>
      </c>
      <c r="J855" s="3">
        <v>8.3333333333333329E-2</v>
      </c>
      <c r="K855"/>
      <c r="L855" t="s">
        <v>172</v>
      </c>
      <c r="N855" s="3">
        <v>1.4104372355430181</v>
      </c>
      <c r="O855" s="3">
        <v>0</v>
      </c>
      <c r="P855">
        <v>60</v>
      </c>
      <c r="Q855">
        <v>6.5</v>
      </c>
      <c r="R855" t="s">
        <v>102</v>
      </c>
      <c r="S855">
        <v>0</v>
      </c>
      <c r="T855" s="6">
        <f>10^-(14-Q855)</f>
        <v>3.1622776601683699E-8</v>
      </c>
      <c r="U855" s="6">
        <v>0</v>
      </c>
      <c r="V855" s="6">
        <v>0</v>
      </c>
      <c r="W855" s="6">
        <v>0</v>
      </c>
      <c r="X855" s="6">
        <v>0</v>
      </c>
      <c r="Y855" t="s">
        <v>171</v>
      </c>
      <c r="AD855">
        <f>1/6</f>
        <v>0.16666666666666666</v>
      </c>
      <c r="AE855">
        <v>13</v>
      </c>
      <c r="AF855">
        <v>1</v>
      </c>
      <c r="AG855" s="9">
        <v>1.7000000000000001E-2</v>
      </c>
      <c r="AH855" s="9">
        <v>1.79</v>
      </c>
      <c r="AI855" s="9">
        <v>0.35</v>
      </c>
      <c r="AJ855" s="9">
        <v>3.4000000000000002E-2</v>
      </c>
      <c r="AK855" s="9">
        <v>8.9999999999999993E-3</v>
      </c>
      <c r="AL855" s="9">
        <v>16.3</v>
      </c>
      <c r="AM855" s="9">
        <v>11.3</v>
      </c>
      <c r="AN855" s="9">
        <v>2.0099999999999998</v>
      </c>
      <c r="AO855" s="9">
        <v>5.7000000000000002E-2</v>
      </c>
      <c r="AQ855" s="1"/>
    </row>
    <row r="856" spans="1:43" x14ac:dyDescent="0.3">
      <c r="A856" t="s">
        <v>362</v>
      </c>
      <c r="B856" s="1" t="s">
        <v>1599</v>
      </c>
      <c r="C856">
        <v>55</v>
      </c>
      <c r="D856" s="8">
        <v>1.4403999999999999</v>
      </c>
      <c r="E856">
        <v>100000</v>
      </c>
      <c r="F856">
        <v>6.5</v>
      </c>
      <c r="G856" t="s">
        <v>193</v>
      </c>
      <c r="H856">
        <v>6.5</v>
      </c>
      <c r="I856" s="4">
        <v>-0.2</v>
      </c>
      <c r="J856" s="3">
        <v>8.3333333333333329E-2</v>
      </c>
      <c r="K856"/>
      <c r="L856" t="s">
        <v>172</v>
      </c>
      <c r="N856" s="3">
        <v>1.4104372355430181</v>
      </c>
      <c r="O856" s="3">
        <v>0</v>
      </c>
      <c r="P856">
        <v>80</v>
      </c>
      <c r="Q856">
        <v>6.5</v>
      </c>
      <c r="R856" t="s">
        <v>102</v>
      </c>
      <c r="S856">
        <v>0</v>
      </c>
      <c r="T856" s="6">
        <f>10^-(14-Q856)</f>
        <v>3.1622776601683699E-8</v>
      </c>
      <c r="U856" s="6">
        <v>0</v>
      </c>
      <c r="V856" s="6">
        <v>0</v>
      </c>
      <c r="W856" s="6">
        <v>0</v>
      </c>
      <c r="X856" s="6">
        <v>0</v>
      </c>
      <c r="Y856" t="s">
        <v>171</v>
      </c>
      <c r="AD856">
        <f>1/6</f>
        <v>0.16666666666666666</v>
      </c>
      <c r="AE856">
        <v>165</v>
      </c>
      <c r="AF856">
        <v>1</v>
      </c>
      <c r="AG856" s="9">
        <v>1.7000000000000001E-2</v>
      </c>
      <c r="AH856" s="9">
        <v>1.79</v>
      </c>
      <c r="AI856" s="9">
        <v>0.35</v>
      </c>
      <c r="AJ856" s="9">
        <v>3.4000000000000002E-2</v>
      </c>
      <c r="AK856" s="9">
        <v>8.9999999999999993E-3</v>
      </c>
      <c r="AL856" s="9">
        <v>16.3</v>
      </c>
      <c r="AM856" s="9">
        <v>11.3</v>
      </c>
      <c r="AN856" s="9">
        <v>2.0099999999999998</v>
      </c>
      <c r="AO856" s="9">
        <v>5.7000000000000002E-2</v>
      </c>
      <c r="AQ856" s="1"/>
    </row>
    <row r="857" spans="1:43" x14ac:dyDescent="0.3">
      <c r="A857" t="s">
        <v>363</v>
      </c>
      <c r="B857" s="1" t="s">
        <v>1599</v>
      </c>
      <c r="C857">
        <v>55</v>
      </c>
      <c r="D857" s="8">
        <v>1.4403999999999999</v>
      </c>
      <c r="E857">
        <v>100000</v>
      </c>
      <c r="F857">
        <v>6.5</v>
      </c>
      <c r="G857" t="s">
        <v>193</v>
      </c>
      <c r="H857">
        <v>6.5</v>
      </c>
      <c r="I857" s="4">
        <v>-0.2</v>
      </c>
      <c r="J857" s="3">
        <v>8.3333333333333329E-2</v>
      </c>
      <c r="K857"/>
      <c r="L857" t="s">
        <v>172</v>
      </c>
      <c r="N857" s="3">
        <v>1.4104372355430181</v>
      </c>
      <c r="O857" s="3">
        <v>0</v>
      </c>
      <c r="P857">
        <v>95</v>
      </c>
      <c r="Q857">
        <v>6.5</v>
      </c>
      <c r="R857" t="s">
        <v>102</v>
      </c>
      <c r="S857">
        <v>0</v>
      </c>
      <c r="T857" s="6">
        <f>10^-(14-Q857)</f>
        <v>3.1622776601683699E-8</v>
      </c>
      <c r="U857" s="6">
        <v>0</v>
      </c>
      <c r="V857" s="6">
        <v>0</v>
      </c>
      <c r="W857" s="6">
        <v>0</v>
      </c>
      <c r="X857" s="6">
        <v>0</v>
      </c>
      <c r="Y857" t="s">
        <v>171</v>
      </c>
      <c r="AD857">
        <f>1/6</f>
        <v>0.16666666666666666</v>
      </c>
      <c r="AE857">
        <v>68</v>
      </c>
      <c r="AF857">
        <v>1</v>
      </c>
      <c r="AG857" s="9">
        <v>1.7000000000000001E-2</v>
      </c>
      <c r="AH857" s="9">
        <v>1.79</v>
      </c>
      <c r="AI857" s="9">
        <v>0.35</v>
      </c>
      <c r="AJ857" s="9">
        <v>3.4000000000000002E-2</v>
      </c>
      <c r="AK857" s="9">
        <v>8.9999999999999993E-3</v>
      </c>
      <c r="AL857" s="9">
        <v>16.3</v>
      </c>
      <c r="AM857" s="9">
        <v>11.3</v>
      </c>
      <c r="AN857" s="9">
        <v>2.0099999999999998</v>
      </c>
      <c r="AO857" s="9">
        <v>5.7000000000000002E-2</v>
      </c>
      <c r="AQ857" s="1"/>
    </row>
    <row r="858" spans="1:43" x14ac:dyDescent="0.3">
      <c r="A858" t="s">
        <v>901</v>
      </c>
      <c r="B858" t="s">
        <v>1617</v>
      </c>
      <c r="C858">
        <v>56</v>
      </c>
      <c r="D858" s="8" t="s">
        <v>1629</v>
      </c>
      <c r="E858">
        <v>14000</v>
      </c>
      <c r="G858" t="s">
        <v>903</v>
      </c>
      <c r="H858">
        <v>8.5</v>
      </c>
      <c r="I858" s="4">
        <v>-1</v>
      </c>
      <c r="J858" s="3">
        <v>8.3333333333333329E-2</v>
      </c>
      <c r="K858" s="4">
        <v>0.5</v>
      </c>
      <c r="L858" t="s">
        <v>172</v>
      </c>
      <c r="N858" s="3">
        <v>1</v>
      </c>
      <c r="O858" s="3">
        <v>0</v>
      </c>
      <c r="P858">
        <v>22</v>
      </c>
      <c r="Q858">
        <v>8.5</v>
      </c>
      <c r="R858" t="s">
        <v>902</v>
      </c>
      <c r="S858">
        <v>0.2</v>
      </c>
      <c r="T858" s="6">
        <f>10^-(14-Q858)</f>
        <v>3.1622776601683767E-6</v>
      </c>
      <c r="U858" s="6">
        <v>0</v>
      </c>
      <c r="V858" s="6">
        <v>0</v>
      </c>
      <c r="W858" s="6">
        <v>0</v>
      </c>
      <c r="X858" s="6">
        <v>0.2</v>
      </c>
      <c r="Y858" t="s">
        <v>171</v>
      </c>
      <c r="AD858">
        <v>0.5</v>
      </c>
      <c r="AE858">
        <v>150</v>
      </c>
      <c r="AF858">
        <v>1</v>
      </c>
      <c r="AG858" s="9">
        <v>0.02</v>
      </c>
      <c r="AL858" s="9">
        <v>16.2</v>
      </c>
      <c r="AM858" s="9">
        <v>10.199999999999999</v>
      </c>
      <c r="AN858" s="9">
        <v>2.8</v>
      </c>
      <c r="AO858" s="9">
        <v>0.06</v>
      </c>
      <c r="AQ858" s="1"/>
    </row>
    <row r="859" spans="1:43" x14ac:dyDescent="0.3">
      <c r="A859" t="s">
        <v>907</v>
      </c>
      <c r="B859" t="s">
        <v>1617</v>
      </c>
      <c r="C859">
        <v>56</v>
      </c>
      <c r="D859" s="8" t="s">
        <v>1629</v>
      </c>
      <c r="E859">
        <v>14000</v>
      </c>
      <c r="G859" t="s">
        <v>903</v>
      </c>
      <c r="H859">
        <v>8.5</v>
      </c>
      <c r="I859" s="4">
        <v>-1</v>
      </c>
      <c r="J859" s="3">
        <v>8.3333333333333329E-2</v>
      </c>
      <c r="K859" s="4">
        <v>0.5</v>
      </c>
      <c r="L859" t="s">
        <v>172</v>
      </c>
      <c r="N859" s="3">
        <v>0.2</v>
      </c>
      <c r="O859" s="3">
        <v>0</v>
      </c>
      <c r="P859">
        <v>22</v>
      </c>
      <c r="Q859">
        <v>8.5</v>
      </c>
      <c r="R859" t="s">
        <v>902</v>
      </c>
      <c r="S859">
        <v>0.2</v>
      </c>
      <c r="T859" s="6">
        <f>10^-(14-Q859)</f>
        <v>3.1622776601683767E-6</v>
      </c>
      <c r="U859" s="6">
        <v>0</v>
      </c>
      <c r="V859" s="6">
        <v>0</v>
      </c>
      <c r="W859" s="6">
        <v>0</v>
      </c>
      <c r="X859" s="6">
        <v>0.2</v>
      </c>
      <c r="Y859" t="s">
        <v>171</v>
      </c>
      <c r="AD859">
        <v>0.5</v>
      </c>
      <c r="AE859">
        <v>225</v>
      </c>
      <c r="AF859">
        <v>1</v>
      </c>
      <c r="AG859" s="9">
        <v>0.02</v>
      </c>
      <c r="AL859" s="9">
        <v>16.2</v>
      </c>
      <c r="AM859" s="9">
        <v>10.199999999999999</v>
      </c>
      <c r="AN859" s="9">
        <v>2.8</v>
      </c>
      <c r="AO859" s="9">
        <v>0.06</v>
      </c>
      <c r="AQ859" s="1"/>
    </row>
    <row r="860" spans="1:43" x14ac:dyDescent="0.3">
      <c r="A860" t="s">
        <v>908</v>
      </c>
      <c r="B860" t="s">
        <v>1617</v>
      </c>
      <c r="C860">
        <v>56</v>
      </c>
      <c r="D860" s="8" t="s">
        <v>1629</v>
      </c>
      <c r="E860">
        <v>14000</v>
      </c>
      <c r="G860" t="s">
        <v>903</v>
      </c>
      <c r="H860">
        <v>8.5</v>
      </c>
      <c r="I860" s="4">
        <v>-1</v>
      </c>
      <c r="J860" s="3">
        <v>8.3333333333333329E-2</v>
      </c>
      <c r="K860" s="4">
        <v>0.5</v>
      </c>
      <c r="L860" t="s">
        <v>172</v>
      </c>
      <c r="N860" s="3">
        <v>0.05</v>
      </c>
      <c r="O860" s="3">
        <v>0</v>
      </c>
      <c r="P860">
        <v>22</v>
      </c>
      <c r="Q860">
        <v>8.5</v>
      </c>
      <c r="R860" t="s">
        <v>902</v>
      </c>
      <c r="S860">
        <v>0.2</v>
      </c>
      <c r="T860" s="6">
        <f>10^-(14-Q860)</f>
        <v>3.1622776601683767E-6</v>
      </c>
      <c r="U860" s="6">
        <v>0</v>
      </c>
      <c r="V860" s="6">
        <v>0</v>
      </c>
      <c r="W860" s="6">
        <v>0</v>
      </c>
      <c r="X860" s="6">
        <v>0.2</v>
      </c>
      <c r="Y860" t="s">
        <v>171</v>
      </c>
      <c r="AD860">
        <v>0.5</v>
      </c>
      <c r="AE860">
        <v>340</v>
      </c>
      <c r="AF860">
        <v>1</v>
      </c>
      <c r="AG860" s="9">
        <v>0.02</v>
      </c>
      <c r="AL860" s="9">
        <v>16.2</v>
      </c>
      <c r="AM860" s="9">
        <v>10.199999999999999</v>
      </c>
      <c r="AN860" s="9">
        <v>2.8</v>
      </c>
      <c r="AO860" s="9">
        <v>0.06</v>
      </c>
      <c r="AQ860" s="1"/>
    </row>
    <row r="861" spans="1:43" x14ac:dyDescent="0.3">
      <c r="A861" t="s">
        <v>909</v>
      </c>
      <c r="B861" t="s">
        <v>1617</v>
      </c>
      <c r="C861">
        <v>56</v>
      </c>
      <c r="D861" s="8" t="s">
        <v>1629</v>
      </c>
      <c r="E861">
        <v>14000</v>
      </c>
      <c r="G861" t="s">
        <v>903</v>
      </c>
      <c r="H861">
        <v>8.5</v>
      </c>
      <c r="I861" s="4">
        <v>-1</v>
      </c>
      <c r="J861" s="3">
        <v>8.3333333333333329E-2</v>
      </c>
      <c r="K861" s="4">
        <v>0.5</v>
      </c>
      <c r="L861" t="s">
        <v>172</v>
      </c>
      <c r="N861" s="3">
        <v>1.2E-2</v>
      </c>
      <c r="O861" s="3">
        <v>0</v>
      </c>
      <c r="P861">
        <v>22</v>
      </c>
      <c r="Q861">
        <v>8.5</v>
      </c>
      <c r="R861" t="s">
        <v>902</v>
      </c>
      <c r="S861">
        <v>0.2</v>
      </c>
      <c r="T861" s="6">
        <f>10^-(14-Q861)</f>
        <v>3.1622776601683767E-6</v>
      </c>
      <c r="U861" s="6">
        <v>0</v>
      </c>
      <c r="V861" s="6">
        <v>0</v>
      </c>
      <c r="W861" s="6">
        <v>0</v>
      </c>
      <c r="X861" s="6">
        <v>0.2</v>
      </c>
      <c r="Y861" t="s">
        <v>171</v>
      </c>
      <c r="AD861">
        <v>0.5</v>
      </c>
      <c r="AE861">
        <v>500</v>
      </c>
      <c r="AF861">
        <v>1</v>
      </c>
      <c r="AG861" s="9">
        <v>0.02</v>
      </c>
      <c r="AL861" s="9">
        <v>16.2</v>
      </c>
      <c r="AM861" s="9">
        <v>10.199999999999999</v>
      </c>
      <c r="AN861" s="9">
        <v>2.8</v>
      </c>
      <c r="AO861" s="9">
        <v>0.06</v>
      </c>
      <c r="AQ861" s="1"/>
    </row>
    <row r="862" spans="1:43" x14ac:dyDescent="0.3">
      <c r="A862" t="s">
        <v>910</v>
      </c>
      <c r="B862" t="s">
        <v>1617</v>
      </c>
      <c r="C862">
        <v>56</v>
      </c>
      <c r="D862" s="8" t="s">
        <v>1629</v>
      </c>
      <c r="E862">
        <v>14000</v>
      </c>
      <c r="G862" t="s">
        <v>903</v>
      </c>
      <c r="H862">
        <v>8.5</v>
      </c>
      <c r="I862" s="4">
        <v>-1</v>
      </c>
      <c r="J862" s="3">
        <v>8.3333333333333329E-2</v>
      </c>
      <c r="K862" s="4">
        <v>0.5</v>
      </c>
      <c r="L862" t="s">
        <v>172</v>
      </c>
      <c r="N862" s="3">
        <v>0.2</v>
      </c>
      <c r="O862" s="3">
        <v>0</v>
      </c>
      <c r="P862">
        <v>22</v>
      </c>
      <c r="Q862">
        <v>8.5</v>
      </c>
      <c r="R862" t="s">
        <v>904</v>
      </c>
      <c r="S862">
        <v>0.01</v>
      </c>
      <c r="T862" s="6">
        <f>10^-(14-Q862)</f>
        <v>3.1622776601683767E-6</v>
      </c>
      <c r="U862" s="6">
        <v>0</v>
      </c>
      <c r="V862" s="6">
        <v>0</v>
      </c>
      <c r="W862" s="6">
        <v>0</v>
      </c>
      <c r="X862" s="6">
        <v>0.01</v>
      </c>
      <c r="Y862" t="s">
        <v>171</v>
      </c>
      <c r="AD862">
        <v>0.5</v>
      </c>
      <c r="AE862">
        <v>140</v>
      </c>
      <c r="AF862">
        <v>1</v>
      </c>
      <c r="AG862" s="9">
        <v>0.02</v>
      </c>
      <c r="AL862" s="9">
        <v>16.2</v>
      </c>
      <c r="AM862" s="9">
        <v>10.199999999999999</v>
      </c>
      <c r="AN862" s="9">
        <v>2.8</v>
      </c>
      <c r="AO862" s="9">
        <v>0.06</v>
      </c>
      <c r="AQ862" s="1"/>
    </row>
    <row r="863" spans="1:43" x14ac:dyDescent="0.3">
      <c r="A863" t="s">
        <v>911</v>
      </c>
      <c r="B863" t="s">
        <v>1617</v>
      </c>
      <c r="C863">
        <v>56</v>
      </c>
      <c r="D863" s="8" t="s">
        <v>1629</v>
      </c>
      <c r="E863">
        <v>14000</v>
      </c>
      <c r="G863" t="s">
        <v>903</v>
      </c>
      <c r="H863">
        <v>8.5</v>
      </c>
      <c r="I863" s="4">
        <v>-1</v>
      </c>
      <c r="J863" s="3">
        <v>8.3333333333333329E-2</v>
      </c>
      <c r="K863" s="4">
        <v>0.5</v>
      </c>
      <c r="L863" t="s">
        <v>172</v>
      </c>
      <c r="N863" s="3">
        <v>0.2</v>
      </c>
      <c r="O863" s="3">
        <v>0</v>
      </c>
      <c r="P863">
        <v>22</v>
      </c>
      <c r="Q863">
        <v>8.5</v>
      </c>
      <c r="R863" t="s">
        <v>904</v>
      </c>
      <c r="S863">
        <v>0.01</v>
      </c>
      <c r="T863" s="6">
        <f>10^-(14-Q863)</f>
        <v>3.1622776601683767E-6</v>
      </c>
      <c r="U863" s="6">
        <v>0</v>
      </c>
      <c r="V863" s="6">
        <v>0</v>
      </c>
      <c r="W863" s="6">
        <v>0</v>
      </c>
      <c r="X863" s="6">
        <v>0.01</v>
      </c>
      <c r="Y863" t="s">
        <v>171</v>
      </c>
      <c r="AD863">
        <v>0.5</v>
      </c>
      <c r="AE863">
        <v>130</v>
      </c>
      <c r="AF863">
        <v>1</v>
      </c>
      <c r="AG863" s="9">
        <v>0.02</v>
      </c>
      <c r="AL863" s="9">
        <v>16.2</v>
      </c>
      <c r="AM863" s="9">
        <v>10.199999999999999</v>
      </c>
      <c r="AN863" s="9">
        <v>2.8</v>
      </c>
      <c r="AO863" s="9">
        <v>0.06</v>
      </c>
      <c r="AQ863" s="1"/>
    </row>
    <row r="864" spans="1:43" x14ac:dyDescent="0.3">
      <c r="A864" t="s">
        <v>912</v>
      </c>
      <c r="B864" t="s">
        <v>1617</v>
      </c>
      <c r="C864">
        <v>56</v>
      </c>
      <c r="D864" s="8" t="s">
        <v>1629</v>
      </c>
      <c r="E864">
        <v>14000</v>
      </c>
      <c r="G864" t="s">
        <v>903</v>
      </c>
      <c r="H864">
        <v>8.5</v>
      </c>
      <c r="I864" s="4">
        <v>-1</v>
      </c>
      <c r="J864" s="3">
        <v>8.3333333333333329E-2</v>
      </c>
      <c r="K864" s="4">
        <v>0.5</v>
      </c>
      <c r="L864" t="s">
        <v>172</v>
      </c>
      <c r="N864" s="3">
        <v>0.2</v>
      </c>
      <c r="O864" s="3">
        <v>0</v>
      </c>
      <c r="P864">
        <v>22</v>
      </c>
      <c r="Q864">
        <v>8.5</v>
      </c>
      <c r="R864" t="s">
        <v>904</v>
      </c>
      <c r="S864">
        <v>0.01</v>
      </c>
      <c r="T864" s="6">
        <f>10^-(14-Q864)</f>
        <v>3.1622776601683767E-6</v>
      </c>
      <c r="U864" s="6">
        <v>0</v>
      </c>
      <c r="V864" s="6">
        <v>0</v>
      </c>
      <c r="W864" s="6">
        <v>0</v>
      </c>
      <c r="X864" s="6">
        <v>0.01</v>
      </c>
      <c r="Y864" t="s">
        <v>171</v>
      </c>
      <c r="AD864">
        <v>0.5</v>
      </c>
      <c r="AE864">
        <v>100</v>
      </c>
      <c r="AF864">
        <v>1</v>
      </c>
      <c r="AG864" s="9">
        <v>0.02</v>
      </c>
      <c r="AL864" s="9">
        <v>16.2</v>
      </c>
      <c r="AM864" s="9">
        <v>10.199999999999999</v>
      </c>
      <c r="AN864" s="9">
        <v>2.8</v>
      </c>
      <c r="AO864" s="9">
        <v>0.06</v>
      </c>
      <c r="AQ864" s="1"/>
    </row>
    <row r="865" spans="1:43" x14ac:dyDescent="0.3">
      <c r="A865" t="s">
        <v>913</v>
      </c>
      <c r="B865" t="s">
        <v>1617</v>
      </c>
      <c r="C865">
        <v>56</v>
      </c>
      <c r="D865" s="8" t="s">
        <v>1629</v>
      </c>
      <c r="E865">
        <v>14000</v>
      </c>
      <c r="G865" t="s">
        <v>903</v>
      </c>
      <c r="H865">
        <v>8.5</v>
      </c>
      <c r="I865" s="4">
        <v>-1</v>
      </c>
      <c r="J865" s="3">
        <v>8.3333333333333329E-2</v>
      </c>
      <c r="K865" s="4">
        <v>0.5</v>
      </c>
      <c r="L865" t="s">
        <v>172</v>
      </c>
      <c r="N865" s="3">
        <v>0.2</v>
      </c>
      <c r="O865" s="3">
        <v>0</v>
      </c>
      <c r="P865">
        <v>22</v>
      </c>
      <c r="Q865">
        <v>8.5</v>
      </c>
      <c r="R865" t="s">
        <v>906</v>
      </c>
      <c r="S865">
        <v>0.05</v>
      </c>
      <c r="T865" s="6">
        <f>10^-(14-Q865)</f>
        <v>3.1622776601683767E-6</v>
      </c>
      <c r="U865" s="6">
        <v>0</v>
      </c>
      <c r="V865" s="6">
        <v>0</v>
      </c>
      <c r="W865" s="6">
        <v>0</v>
      </c>
      <c r="X865" s="6">
        <v>0.05</v>
      </c>
      <c r="Y865" t="s">
        <v>171</v>
      </c>
      <c r="AD865">
        <v>0.5</v>
      </c>
      <c r="AE865">
        <v>160</v>
      </c>
      <c r="AF865">
        <v>1</v>
      </c>
      <c r="AG865" s="9">
        <v>0.02</v>
      </c>
      <c r="AL865" s="9">
        <v>16.2</v>
      </c>
      <c r="AM865" s="9">
        <v>10.199999999999999</v>
      </c>
      <c r="AN865" s="9">
        <v>2.8</v>
      </c>
      <c r="AO865" s="9">
        <v>0.06</v>
      </c>
      <c r="AQ865" s="1"/>
    </row>
    <row r="866" spans="1:43" x14ac:dyDescent="0.3">
      <c r="A866" t="s">
        <v>914</v>
      </c>
      <c r="B866" t="s">
        <v>1617</v>
      </c>
      <c r="C866">
        <v>56</v>
      </c>
      <c r="D866" s="8" t="s">
        <v>1629</v>
      </c>
      <c r="E866">
        <v>14000</v>
      </c>
      <c r="G866" t="s">
        <v>903</v>
      </c>
      <c r="H866">
        <v>8.5</v>
      </c>
      <c r="I866" s="4">
        <v>-1</v>
      </c>
      <c r="J866" s="3">
        <v>8.3333333333333329E-2</v>
      </c>
      <c r="K866" s="4">
        <v>0.5</v>
      </c>
      <c r="L866" t="s">
        <v>172</v>
      </c>
      <c r="N866" s="3">
        <v>0.2</v>
      </c>
      <c r="O866" s="3">
        <v>0</v>
      </c>
      <c r="P866">
        <v>22</v>
      </c>
      <c r="Q866">
        <v>8.5</v>
      </c>
      <c r="R866" t="s">
        <v>906</v>
      </c>
      <c r="S866">
        <v>0.05</v>
      </c>
      <c r="T866" s="6">
        <f>10^-(14-Q866)</f>
        <v>3.1622776601683767E-6</v>
      </c>
      <c r="U866" s="6">
        <v>0</v>
      </c>
      <c r="V866" s="6">
        <v>0</v>
      </c>
      <c r="W866" s="6">
        <v>0</v>
      </c>
      <c r="X866" s="6">
        <v>0.05</v>
      </c>
      <c r="Y866" t="s">
        <v>171</v>
      </c>
      <c r="AD866">
        <v>0.5</v>
      </c>
      <c r="AE866">
        <v>140</v>
      </c>
      <c r="AF866">
        <v>1</v>
      </c>
      <c r="AG866" s="9">
        <v>0.02</v>
      </c>
      <c r="AL866" s="9">
        <v>16.2</v>
      </c>
      <c r="AM866" s="9">
        <v>10.199999999999999</v>
      </c>
      <c r="AN866" s="9">
        <v>2.8</v>
      </c>
      <c r="AO866" s="9">
        <v>0.06</v>
      </c>
      <c r="AQ866" s="1"/>
    </row>
    <row r="867" spans="1:43" x14ac:dyDescent="0.3">
      <c r="A867" t="s">
        <v>915</v>
      </c>
      <c r="B867" t="s">
        <v>1617</v>
      </c>
      <c r="C867">
        <v>56</v>
      </c>
      <c r="D867" s="8" t="s">
        <v>1629</v>
      </c>
      <c r="E867">
        <v>14000</v>
      </c>
      <c r="G867" t="s">
        <v>903</v>
      </c>
      <c r="H867">
        <v>8.5</v>
      </c>
      <c r="I867" s="4">
        <v>-1</v>
      </c>
      <c r="J867" s="3">
        <v>8.3333333333333329E-2</v>
      </c>
      <c r="K867" s="4">
        <v>0.5</v>
      </c>
      <c r="L867" t="s">
        <v>172</v>
      </c>
      <c r="N867" s="3">
        <v>0.2</v>
      </c>
      <c r="O867" s="3">
        <v>0</v>
      </c>
      <c r="P867">
        <v>22</v>
      </c>
      <c r="Q867">
        <v>8.5</v>
      </c>
      <c r="R867" t="s">
        <v>906</v>
      </c>
      <c r="S867">
        <v>0.05</v>
      </c>
      <c r="T867" s="6">
        <f>10^-(14-Q867)</f>
        <v>3.1622776601683767E-6</v>
      </c>
      <c r="U867" s="6">
        <v>0</v>
      </c>
      <c r="V867" s="6">
        <v>0</v>
      </c>
      <c r="W867" s="6">
        <v>0</v>
      </c>
      <c r="X867" s="6">
        <v>0.05</v>
      </c>
      <c r="Y867" t="s">
        <v>171</v>
      </c>
      <c r="AD867">
        <v>0.5</v>
      </c>
      <c r="AE867">
        <v>130</v>
      </c>
      <c r="AF867">
        <v>1</v>
      </c>
      <c r="AG867" s="9">
        <v>0.02</v>
      </c>
      <c r="AL867" s="9">
        <v>16.2</v>
      </c>
      <c r="AM867" s="9">
        <v>10.199999999999999</v>
      </c>
      <c r="AN867" s="9">
        <v>2.8</v>
      </c>
      <c r="AO867" s="9">
        <v>0.06</v>
      </c>
      <c r="AQ867" s="1"/>
    </row>
    <row r="868" spans="1:43" x14ac:dyDescent="0.3">
      <c r="A868" t="s">
        <v>916</v>
      </c>
      <c r="B868" t="s">
        <v>1617</v>
      </c>
      <c r="C868">
        <v>56</v>
      </c>
      <c r="D868" s="8" t="s">
        <v>1629</v>
      </c>
      <c r="E868">
        <v>14000</v>
      </c>
      <c r="G868" t="s">
        <v>903</v>
      </c>
      <c r="H868">
        <v>8.5</v>
      </c>
      <c r="I868" s="4">
        <v>-1</v>
      </c>
      <c r="J868" s="3">
        <v>8.3333333333333329E-2</v>
      </c>
      <c r="K868" s="4">
        <v>0.5</v>
      </c>
      <c r="L868" t="s">
        <v>172</v>
      </c>
      <c r="N868" s="3">
        <v>0.2</v>
      </c>
      <c r="O868" s="3">
        <v>0</v>
      </c>
      <c r="P868">
        <v>22</v>
      </c>
      <c r="Q868">
        <v>8.5</v>
      </c>
      <c r="R868" t="s">
        <v>902</v>
      </c>
      <c r="S868">
        <v>0.2</v>
      </c>
      <c r="T868" s="6">
        <f>10^-(14-Q868)</f>
        <v>3.1622776601683767E-6</v>
      </c>
      <c r="U868" s="6">
        <v>0</v>
      </c>
      <c r="V868" s="6">
        <v>0</v>
      </c>
      <c r="W868" s="6">
        <v>0</v>
      </c>
      <c r="X868" s="6">
        <v>0.2</v>
      </c>
      <c r="Y868" t="s">
        <v>171</v>
      </c>
      <c r="AD868">
        <v>0.5</v>
      </c>
      <c r="AE868">
        <v>260</v>
      </c>
      <c r="AF868">
        <v>1</v>
      </c>
      <c r="AG868" s="9">
        <v>0.02</v>
      </c>
      <c r="AL868" s="9">
        <v>16.2</v>
      </c>
      <c r="AM868" s="9">
        <v>10.199999999999999</v>
      </c>
      <c r="AN868" s="9">
        <v>2.8</v>
      </c>
      <c r="AO868" s="9">
        <v>0.06</v>
      </c>
      <c r="AQ868" s="1"/>
    </row>
    <row r="869" spans="1:43" x14ac:dyDescent="0.3">
      <c r="A869" t="s">
        <v>917</v>
      </c>
      <c r="B869" t="s">
        <v>1617</v>
      </c>
      <c r="C869">
        <v>56</v>
      </c>
      <c r="D869" s="8" t="s">
        <v>1629</v>
      </c>
      <c r="E869">
        <v>14000</v>
      </c>
      <c r="G869" t="s">
        <v>903</v>
      </c>
      <c r="H869">
        <v>8.5</v>
      </c>
      <c r="I869" s="4">
        <v>-1</v>
      </c>
      <c r="J869" s="3">
        <v>8.3333333333333329E-2</v>
      </c>
      <c r="K869" s="4">
        <v>0.5</v>
      </c>
      <c r="L869" t="s">
        <v>172</v>
      </c>
      <c r="N869" s="3">
        <v>0.2</v>
      </c>
      <c r="O869" s="3">
        <v>0</v>
      </c>
      <c r="P869">
        <v>22</v>
      </c>
      <c r="Q869">
        <v>8.5</v>
      </c>
      <c r="R869" t="s">
        <v>902</v>
      </c>
      <c r="S869">
        <v>0.2</v>
      </c>
      <c r="T869" s="6">
        <f>10^-(14-Q869)</f>
        <v>3.1622776601683767E-6</v>
      </c>
      <c r="U869" s="6">
        <v>0</v>
      </c>
      <c r="V869" s="6">
        <v>0</v>
      </c>
      <c r="W869" s="6">
        <v>0</v>
      </c>
      <c r="X869" s="6">
        <v>0.2</v>
      </c>
      <c r="Y869" t="s">
        <v>171</v>
      </c>
      <c r="AD869">
        <v>0.5</v>
      </c>
      <c r="AE869">
        <v>240</v>
      </c>
      <c r="AF869">
        <v>1</v>
      </c>
      <c r="AG869" s="9">
        <v>0.02</v>
      </c>
      <c r="AL869" s="9">
        <v>16.2</v>
      </c>
      <c r="AM869" s="9">
        <v>10.199999999999999</v>
      </c>
      <c r="AN869" s="9">
        <v>2.8</v>
      </c>
      <c r="AO869" s="9">
        <v>0.06</v>
      </c>
      <c r="AQ869" s="1"/>
    </row>
    <row r="870" spans="1:43" x14ac:dyDescent="0.3">
      <c r="A870" t="s">
        <v>918</v>
      </c>
      <c r="B870" t="s">
        <v>1617</v>
      </c>
      <c r="C870">
        <v>56</v>
      </c>
      <c r="D870" s="8" t="s">
        <v>1629</v>
      </c>
      <c r="E870">
        <v>14000</v>
      </c>
      <c r="G870" t="s">
        <v>903</v>
      </c>
      <c r="H870">
        <v>8.5</v>
      </c>
      <c r="I870" s="4">
        <v>-1</v>
      </c>
      <c r="J870" s="3">
        <v>8.3333333333333329E-2</v>
      </c>
      <c r="K870" s="4">
        <v>0.5</v>
      </c>
      <c r="L870" t="s">
        <v>172</v>
      </c>
      <c r="N870" s="3">
        <v>0.2</v>
      </c>
      <c r="O870" s="3">
        <v>0</v>
      </c>
      <c r="P870">
        <v>22</v>
      </c>
      <c r="Q870">
        <v>8.5</v>
      </c>
      <c r="R870" t="s">
        <v>902</v>
      </c>
      <c r="S870">
        <v>0.2</v>
      </c>
      <c r="T870" s="6">
        <f>10^-(14-Q870)</f>
        <v>3.1622776601683767E-6</v>
      </c>
      <c r="U870" s="6">
        <v>0</v>
      </c>
      <c r="V870" s="6">
        <v>0</v>
      </c>
      <c r="W870" s="6">
        <v>0</v>
      </c>
      <c r="X870" s="6">
        <v>0.2</v>
      </c>
      <c r="Y870" t="s">
        <v>171</v>
      </c>
      <c r="AD870">
        <v>0.5</v>
      </c>
      <c r="AE870">
        <v>230</v>
      </c>
      <c r="AF870">
        <v>1</v>
      </c>
      <c r="AG870" s="9">
        <v>0.02</v>
      </c>
      <c r="AL870" s="9">
        <v>16.2</v>
      </c>
      <c r="AM870" s="9">
        <v>10.199999999999999</v>
      </c>
      <c r="AN870" s="9">
        <v>2.8</v>
      </c>
      <c r="AO870" s="9">
        <v>0.06</v>
      </c>
      <c r="AQ870" s="1"/>
    </row>
    <row r="871" spans="1:43" x14ac:dyDescent="0.3">
      <c r="A871" t="s">
        <v>919</v>
      </c>
      <c r="B871" t="s">
        <v>1617</v>
      </c>
      <c r="C871">
        <v>56</v>
      </c>
      <c r="D871" s="8" t="s">
        <v>1629</v>
      </c>
      <c r="E871">
        <v>14000</v>
      </c>
      <c r="G871" t="s">
        <v>903</v>
      </c>
      <c r="H871">
        <v>8.5</v>
      </c>
      <c r="I871" s="4">
        <v>-1</v>
      </c>
      <c r="J871" s="3">
        <v>8.3333333333333329E-2</v>
      </c>
      <c r="K871" s="4">
        <v>0.5</v>
      </c>
      <c r="L871" t="s">
        <v>172</v>
      </c>
      <c r="N871" s="3">
        <v>0.2</v>
      </c>
      <c r="O871" s="3">
        <v>0</v>
      </c>
      <c r="P871">
        <v>22</v>
      </c>
      <c r="Q871">
        <v>8.5</v>
      </c>
      <c r="R871" t="s">
        <v>905</v>
      </c>
      <c r="S871">
        <v>1</v>
      </c>
      <c r="T871" s="6">
        <f>10^-(14-Q871)</f>
        <v>3.1622776601683767E-6</v>
      </c>
      <c r="U871" s="6">
        <v>0</v>
      </c>
      <c r="V871" s="6">
        <v>0</v>
      </c>
      <c r="W871" s="6">
        <v>0</v>
      </c>
      <c r="X871" s="6">
        <v>1</v>
      </c>
      <c r="Y871" t="s">
        <v>171</v>
      </c>
      <c r="AD871">
        <v>0.5</v>
      </c>
      <c r="AE871">
        <v>310</v>
      </c>
      <c r="AF871">
        <v>1</v>
      </c>
      <c r="AG871" s="9">
        <v>0.02</v>
      </c>
      <c r="AL871" s="9">
        <v>16.2</v>
      </c>
      <c r="AM871" s="9">
        <v>10.199999999999999</v>
      </c>
      <c r="AN871" s="9">
        <v>2.8</v>
      </c>
      <c r="AO871" s="9">
        <v>0.06</v>
      </c>
      <c r="AQ871" s="1"/>
    </row>
    <row r="872" spans="1:43" x14ac:dyDescent="0.3">
      <c r="A872" t="s">
        <v>920</v>
      </c>
      <c r="B872" t="s">
        <v>1617</v>
      </c>
      <c r="C872">
        <v>56</v>
      </c>
      <c r="D872" s="8" t="s">
        <v>1629</v>
      </c>
      <c r="E872">
        <v>14000</v>
      </c>
      <c r="G872" t="s">
        <v>903</v>
      </c>
      <c r="H872">
        <v>8.5</v>
      </c>
      <c r="I872" s="4">
        <v>-1</v>
      </c>
      <c r="J872" s="3">
        <v>8.3333333333333329E-2</v>
      </c>
      <c r="K872" s="4">
        <v>0.5</v>
      </c>
      <c r="L872" t="s">
        <v>172</v>
      </c>
      <c r="N872" s="3">
        <v>0.2</v>
      </c>
      <c r="O872" s="3">
        <v>0</v>
      </c>
      <c r="P872">
        <v>22</v>
      </c>
      <c r="Q872">
        <v>8.5</v>
      </c>
      <c r="R872" t="s">
        <v>905</v>
      </c>
      <c r="S872">
        <v>1</v>
      </c>
      <c r="T872" s="6">
        <f>10^-(14-Q872)</f>
        <v>3.1622776601683767E-6</v>
      </c>
      <c r="U872" s="6">
        <v>0</v>
      </c>
      <c r="V872" s="6">
        <v>0</v>
      </c>
      <c r="W872" s="6">
        <v>0</v>
      </c>
      <c r="X872" s="6">
        <v>1</v>
      </c>
      <c r="Y872" t="s">
        <v>171</v>
      </c>
      <c r="AD872">
        <v>0.5</v>
      </c>
      <c r="AE872">
        <v>310</v>
      </c>
      <c r="AF872">
        <v>1</v>
      </c>
      <c r="AG872" s="9">
        <v>0.02</v>
      </c>
      <c r="AL872" s="9">
        <v>16.2</v>
      </c>
      <c r="AM872" s="9">
        <v>10.199999999999999</v>
      </c>
      <c r="AN872" s="9">
        <v>2.8</v>
      </c>
      <c r="AO872" s="9">
        <v>0.06</v>
      </c>
      <c r="AQ872" s="1"/>
    </row>
    <row r="873" spans="1:43" x14ac:dyDescent="0.3">
      <c r="A873" t="s">
        <v>921</v>
      </c>
      <c r="B873" t="s">
        <v>1617</v>
      </c>
      <c r="C873">
        <v>56</v>
      </c>
      <c r="D873" s="8" t="s">
        <v>1629</v>
      </c>
      <c r="E873">
        <v>14000</v>
      </c>
      <c r="G873" t="s">
        <v>903</v>
      </c>
      <c r="H873">
        <v>8.5</v>
      </c>
      <c r="I873" s="4">
        <v>-1</v>
      </c>
      <c r="J873" s="3">
        <v>8.3333333333333329E-2</v>
      </c>
      <c r="K873" s="4">
        <v>0.5</v>
      </c>
      <c r="L873" t="s">
        <v>172</v>
      </c>
      <c r="N873" s="3">
        <v>0.2</v>
      </c>
      <c r="O873" s="3">
        <v>0</v>
      </c>
      <c r="P873">
        <v>22</v>
      </c>
      <c r="Q873">
        <v>8.5</v>
      </c>
      <c r="R873" t="s">
        <v>905</v>
      </c>
      <c r="S873">
        <v>1</v>
      </c>
      <c r="T873" s="6">
        <f>10^-(14-Q873)</f>
        <v>3.1622776601683767E-6</v>
      </c>
      <c r="U873" s="6">
        <v>0</v>
      </c>
      <c r="V873" s="6">
        <v>0</v>
      </c>
      <c r="W873" s="6">
        <v>0</v>
      </c>
      <c r="X873" s="6">
        <v>1</v>
      </c>
      <c r="Y873" t="s">
        <v>171</v>
      </c>
      <c r="AD873">
        <v>0.5</v>
      </c>
      <c r="AE873">
        <v>270</v>
      </c>
      <c r="AF873">
        <v>1</v>
      </c>
      <c r="AG873" s="9">
        <v>0.02</v>
      </c>
      <c r="AL873" s="9">
        <v>16.2</v>
      </c>
      <c r="AM873" s="9">
        <v>10.199999999999999</v>
      </c>
      <c r="AN873" s="9">
        <v>2.8</v>
      </c>
      <c r="AO873" s="9">
        <v>0.06</v>
      </c>
      <c r="AQ873" s="1"/>
    </row>
    <row r="874" spans="1:43" x14ac:dyDescent="0.3">
      <c r="A874" t="s">
        <v>922</v>
      </c>
      <c r="B874" t="s">
        <v>1617</v>
      </c>
      <c r="C874">
        <v>56</v>
      </c>
      <c r="D874" s="8" t="s">
        <v>1629</v>
      </c>
      <c r="E874">
        <v>14000</v>
      </c>
      <c r="G874" t="s">
        <v>903</v>
      </c>
      <c r="H874">
        <v>4.7</v>
      </c>
      <c r="I874" s="4">
        <v>-1</v>
      </c>
      <c r="J874" s="3">
        <v>8.3333333333333329E-2</v>
      </c>
      <c r="K874" s="4">
        <v>0.5</v>
      </c>
      <c r="L874" t="s">
        <v>172</v>
      </c>
      <c r="N874" s="3">
        <v>0.2</v>
      </c>
      <c r="O874" s="3">
        <v>0</v>
      </c>
      <c r="P874">
        <v>22</v>
      </c>
      <c r="Q874">
        <v>4.7</v>
      </c>
      <c r="R874" t="s">
        <v>902</v>
      </c>
      <c r="S874">
        <v>0.2</v>
      </c>
      <c r="T874" s="6">
        <f>10^-(14-Q874)</f>
        <v>5.011872336272705E-10</v>
      </c>
      <c r="U874" s="6">
        <v>0</v>
      </c>
      <c r="V874" s="6">
        <v>0</v>
      </c>
      <c r="W874" s="6">
        <v>0</v>
      </c>
      <c r="X874" s="6">
        <v>0.2</v>
      </c>
      <c r="Y874" t="s">
        <v>171</v>
      </c>
      <c r="AD874">
        <v>0.5</v>
      </c>
      <c r="AE874">
        <v>30</v>
      </c>
      <c r="AF874">
        <v>1</v>
      </c>
      <c r="AG874" s="9">
        <v>0.02</v>
      </c>
      <c r="AL874" s="9">
        <v>16.2</v>
      </c>
      <c r="AM874" s="9">
        <v>10.199999999999999</v>
      </c>
      <c r="AN874" s="9">
        <v>2.8</v>
      </c>
      <c r="AO874" s="9">
        <v>0.06</v>
      </c>
      <c r="AQ874" s="1"/>
    </row>
    <row r="875" spans="1:43" x14ac:dyDescent="0.3">
      <c r="A875" t="s">
        <v>923</v>
      </c>
      <c r="B875" t="s">
        <v>1617</v>
      </c>
      <c r="C875">
        <v>56</v>
      </c>
      <c r="D875" s="8" t="s">
        <v>1629</v>
      </c>
      <c r="E875">
        <v>14000</v>
      </c>
      <c r="G875" t="s">
        <v>903</v>
      </c>
      <c r="H875">
        <v>4.8</v>
      </c>
      <c r="I875" s="4">
        <v>-1</v>
      </c>
      <c r="J875" s="3">
        <v>8.3333333333333329E-2</v>
      </c>
      <c r="K875" s="4">
        <v>0.5</v>
      </c>
      <c r="L875" t="s">
        <v>172</v>
      </c>
      <c r="N875" s="3">
        <v>0.2</v>
      </c>
      <c r="O875" s="3">
        <v>0</v>
      </c>
      <c r="P875">
        <v>22</v>
      </c>
      <c r="Q875">
        <v>4.8</v>
      </c>
      <c r="R875" t="s">
        <v>902</v>
      </c>
      <c r="S875">
        <v>0.2</v>
      </c>
      <c r="T875" s="6">
        <f>10^-(14-Q875)</f>
        <v>6.309573444801927E-10</v>
      </c>
      <c r="U875" s="6">
        <v>0</v>
      </c>
      <c r="V875" s="6">
        <v>0</v>
      </c>
      <c r="W875" s="6">
        <v>0</v>
      </c>
      <c r="X875" s="6">
        <v>0.2</v>
      </c>
      <c r="Y875" t="s">
        <v>171</v>
      </c>
      <c r="AD875">
        <v>0.5</v>
      </c>
      <c r="AE875">
        <v>40</v>
      </c>
      <c r="AF875">
        <v>1</v>
      </c>
      <c r="AG875" s="9">
        <v>0.02</v>
      </c>
      <c r="AL875" s="9">
        <v>16.2</v>
      </c>
      <c r="AM875" s="9">
        <v>10.199999999999999</v>
      </c>
      <c r="AN875" s="9">
        <v>2.8</v>
      </c>
      <c r="AO875" s="9">
        <v>0.06</v>
      </c>
      <c r="AQ875" s="1"/>
    </row>
    <row r="876" spans="1:43" x14ac:dyDescent="0.3">
      <c r="A876" t="s">
        <v>924</v>
      </c>
      <c r="B876" t="s">
        <v>1617</v>
      </c>
      <c r="C876">
        <v>56</v>
      </c>
      <c r="D876" s="8" t="s">
        <v>1629</v>
      </c>
      <c r="E876">
        <v>14000</v>
      </c>
      <c r="G876" t="s">
        <v>903</v>
      </c>
      <c r="H876">
        <v>4.9000000000000004</v>
      </c>
      <c r="I876" s="4">
        <v>-1</v>
      </c>
      <c r="J876" s="3">
        <v>8.3333333333333329E-2</v>
      </c>
      <c r="K876" s="4">
        <v>0.5</v>
      </c>
      <c r="L876" t="s">
        <v>172</v>
      </c>
      <c r="N876" s="3">
        <v>0.2</v>
      </c>
      <c r="O876" s="3">
        <v>0</v>
      </c>
      <c r="P876">
        <v>22</v>
      </c>
      <c r="Q876">
        <v>4.9000000000000004</v>
      </c>
      <c r="R876" t="s">
        <v>902</v>
      </c>
      <c r="S876">
        <v>0.2</v>
      </c>
      <c r="T876" s="6">
        <f>10^-(14-Q876)</f>
        <v>7.9432823472428E-10</v>
      </c>
      <c r="U876" s="6">
        <v>0</v>
      </c>
      <c r="V876" s="6">
        <v>0</v>
      </c>
      <c r="W876" s="6">
        <v>0</v>
      </c>
      <c r="X876" s="6">
        <v>0.2</v>
      </c>
      <c r="Y876" t="s">
        <v>171</v>
      </c>
      <c r="AD876">
        <v>0.5</v>
      </c>
      <c r="AE876">
        <v>50</v>
      </c>
      <c r="AF876">
        <v>1</v>
      </c>
      <c r="AG876" s="9">
        <v>0.02</v>
      </c>
      <c r="AL876" s="9">
        <v>16.2</v>
      </c>
      <c r="AM876" s="9">
        <v>10.199999999999999</v>
      </c>
      <c r="AN876" s="9">
        <v>2.8</v>
      </c>
      <c r="AO876" s="9">
        <v>0.06</v>
      </c>
      <c r="AQ876" s="1"/>
    </row>
    <row r="877" spans="1:43" x14ac:dyDescent="0.3">
      <c r="A877" t="s">
        <v>925</v>
      </c>
      <c r="B877" t="s">
        <v>1617</v>
      </c>
      <c r="C877">
        <v>56</v>
      </c>
      <c r="D877" s="8" t="s">
        <v>1629</v>
      </c>
      <c r="E877">
        <v>14000</v>
      </c>
      <c r="G877" t="s">
        <v>903</v>
      </c>
      <c r="H877">
        <v>6.6</v>
      </c>
      <c r="I877" s="4">
        <v>-1</v>
      </c>
      <c r="J877" s="3">
        <v>8.3333333333333329E-2</v>
      </c>
      <c r="K877" s="4">
        <v>0.5</v>
      </c>
      <c r="L877" t="s">
        <v>172</v>
      </c>
      <c r="N877" s="3">
        <v>0.2</v>
      </c>
      <c r="O877" s="3">
        <v>0</v>
      </c>
      <c r="P877">
        <v>22</v>
      </c>
      <c r="Q877">
        <v>6.6</v>
      </c>
      <c r="R877" t="s">
        <v>902</v>
      </c>
      <c r="S877">
        <v>0.2</v>
      </c>
      <c r="T877" s="6">
        <f>10^-(14-Q877)</f>
        <v>3.981071705534957E-8</v>
      </c>
      <c r="U877" s="6">
        <v>0</v>
      </c>
      <c r="V877" s="6">
        <v>0</v>
      </c>
      <c r="W877" s="6">
        <v>0</v>
      </c>
      <c r="X877" s="6">
        <v>0.2</v>
      </c>
      <c r="Y877" t="s">
        <v>171</v>
      </c>
      <c r="AD877">
        <v>0.5</v>
      </c>
      <c r="AE877">
        <v>120</v>
      </c>
      <c r="AF877">
        <v>1</v>
      </c>
      <c r="AG877" s="9">
        <v>0.02</v>
      </c>
      <c r="AL877" s="9">
        <v>16.2</v>
      </c>
      <c r="AM877" s="9">
        <v>10.199999999999999</v>
      </c>
      <c r="AN877" s="9">
        <v>2.8</v>
      </c>
      <c r="AO877" s="9">
        <v>0.06</v>
      </c>
      <c r="AQ877" s="1"/>
    </row>
    <row r="878" spans="1:43" x14ac:dyDescent="0.3">
      <c r="A878" t="s">
        <v>926</v>
      </c>
      <c r="B878" t="s">
        <v>1617</v>
      </c>
      <c r="C878">
        <v>56</v>
      </c>
      <c r="D878" s="8" t="s">
        <v>1629</v>
      </c>
      <c r="E878">
        <v>14000</v>
      </c>
      <c r="G878" t="s">
        <v>903</v>
      </c>
      <c r="H878">
        <v>7</v>
      </c>
      <c r="I878" s="4">
        <v>-1</v>
      </c>
      <c r="J878" s="3">
        <v>8.3333333333333329E-2</v>
      </c>
      <c r="K878" s="4">
        <v>0.5</v>
      </c>
      <c r="L878" t="s">
        <v>172</v>
      </c>
      <c r="N878" s="3">
        <v>0.2</v>
      </c>
      <c r="O878" s="3">
        <v>0</v>
      </c>
      <c r="P878">
        <v>22</v>
      </c>
      <c r="Q878">
        <v>7</v>
      </c>
      <c r="R878" t="s">
        <v>902</v>
      </c>
      <c r="S878">
        <v>0.2</v>
      </c>
      <c r="T878" s="6">
        <f>10^-(14-Q878)</f>
        <v>9.9999999999999995E-8</v>
      </c>
      <c r="U878" s="6">
        <v>0</v>
      </c>
      <c r="V878" s="6">
        <v>0</v>
      </c>
      <c r="W878" s="6">
        <v>0</v>
      </c>
      <c r="X878" s="6">
        <v>0.2</v>
      </c>
      <c r="Y878" t="s">
        <v>171</v>
      </c>
      <c r="AD878">
        <v>0.5</v>
      </c>
      <c r="AE878">
        <v>120</v>
      </c>
      <c r="AF878">
        <v>1</v>
      </c>
      <c r="AG878" s="9">
        <v>0.02</v>
      </c>
      <c r="AL878" s="9">
        <v>16.2</v>
      </c>
      <c r="AM878" s="9">
        <v>10.199999999999999</v>
      </c>
      <c r="AN878" s="9">
        <v>2.8</v>
      </c>
      <c r="AO878" s="9">
        <v>0.06</v>
      </c>
      <c r="AQ878" s="1"/>
    </row>
    <row r="879" spans="1:43" x14ac:dyDescent="0.3">
      <c r="A879" t="s">
        <v>927</v>
      </c>
      <c r="B879" t="s">
        <v>1617</v>
      </c>
      <c r="C879">
        <v>56</v>
      </c>
      <c r="D879" s="8" t="s">
        <v>1629</v>
      </c>
      <c r="E879">
        <v>14000</v>
      </c>
      <c r="G879" t="s">
        <v>903</v>
      </c>
      <c r="H879">
        <v>7</v>
      </c>
      <c r="I879" s="4">
        <v>-1</v>
      </c>
      <c r="J879" s="3">
        <v>8.3333333333333329E-2</v>
      </c>
      <c r="K879" s="4">
        <v>0.5</v>
      </c>
      <c r="L879" t="s">
        <v>172</v>
      </c>
      <c r="N879" s="3">
        <v>0.2</v>
      </c>
      <c r="O879" s="3">
        <v>0</v>
      </c>
      <c r="P879">
        <v>22</v>
      </c>
      <c r="Q879">
        <v>7</v>
      </c>
      <c r="R879" t="s">
        <v>902</v>
      </c>
      <c r="S879">
        <v>0.2</v>
      </c>
      <c r="T879" s="6">
        <f>10^-(14-Q879)</f>
        <v>9.9999999999999995E-8</v>
      </c>
      <c r="U879" s="6">
        <v>0</v>
      </c>
      <c r="V879" s="6">
        <v>0</v>
      </c>
      <c r="W879" s="6">
        <v>0</v>
      </c>
      <c r="X879" s="6">
        <v>0.2</v>
      </c>
      <c r="Y879" t="s">
        <v>171</v>
      </c>
      <c r="AD879">
        <v>0.5</v>
      </c>
      <c r="AE879">
        <v>110</v>
      </c>
      <c r="AF879">
        <v>1</v>
      </c>
      <c r="AG879" s="9">
        <v>0.02</v>
      </c>
      <c r="AL879" s="9">
        <v>16.2</v>
      </c>
      <c r="AM879" s="9">
        <v>10.199999999999999</v>
      </c>
      <c r="AN879" s="9">
        <v>2.8</v>
      </c>
      <c r="AO879" s="9">
        <v>0.06</v>
      </c>
      <c r="AQ879" s="1"/>
    </row>
    <row r="880" spans="1:43" x14ac:dyDescent="0.3">
      <c r="A880" t="s">
        <v>928</v>
      </c>
      <c r="B880" t="s">
        <v>1617</v>
      </c>
      <c r="C880">
        <v>56</v>
      </c>
      <c r="D880" s="8" t="s">
        <v>1629</v>
      </c>
      <c r="E880">
        <v>14000</v>
      </c>
      <c r="G880" t="s">
        <v>903</v>
      </c>
      <c r="H880">
        <v>8.5</v>
      </c>
      <c r="I880" s="4">
        <v>-1</v>
      </c>
      <c r="J880" s="3">
        <v>8.3333333333333329E-2</v>
      </c>
      <c r="K880" s="4">
        <v>0.5</v>
      </c>
      <c r="L880" t="s">
        <v>172</v>
      </c>
      <c r="N880" s="3">
        <v>0.2</v>
      </c>
      <c r="O880" s="3">
        <v>0</v>
      </c>
      <c r="P880">
        <v>22</v>
      </c>
      <c r="Q880">
        <v>8.5</v>
      </c>
      <c r="R880" t="s">
        <v>902</v>
      </c>
      <c r="S880">
        <v>0.2</v>
      </c>
      <c r="T880" s="6">
        <f>10^-(14-Q880)</f>
        <v>3.1622776601683767E-6</v>
      </c>
      <c r="U880" s="6">
        <v>0</v>
      </c>
      <c r="V880" s="6">
        <v>0</v>
      </c>
      <c r="W880" s="6">
        <v>0</v>
      </c>
      <c r="X880" s="6">
        <v>0.2</v>
      </c>
      <c r="Y880" t="s">
        <v>171</v>
      </c>
      <c r="AD880">
        <v>0.5</v>
      </c>
      <c r="AE880">
        <v>260</v>
      </c>
      <c r="AF880">
        <v>1</v>
      </c>
      <c r="AG880" s="9">
        <v>0.02</v>
      </c>
      <c r="AL880" s="9">
        <v>16.2</v>
      </c>
      <c r="AM880" s="9">
        <v>10.199999999999999</v>
      </c>
      <c r="AN880" s="9">
        <v>2.8</v>
      </c>
      <c r="AO880" s="9">
        <v>0.06</v>
      </c>
      <c r="AQ880" s="1"/>
    </row>
    <row r="881" spans="1:43" x14ac:dyDescent="0.3">
      <c r="A881" t="s">
        <v>929</v>
      </c>
      <c r="B881" t="s">
        <v>1617</v>
      </c>
      <c r="C881">
        <v>56</v>
      </c>
      <c r="D881" s="8" t="s">
        <v>1629</v>
      </c>
      <c r="E881">
        <v>14000</v>
      </c>
      <c r="G881" t="s">
        <v>903</v>
      </c>
      <c r="H881">
        <v>8.5</v>
      </c>
      <c r="I881" s="4">
        <v>-1</v>
      </c>
      <c r="J881" s="3">
        <v>8.3333333333333329E-2</v>
      </c>
      <c r="K881" s="4">
        <v>0.5</v>
      </c>
      <c r="L881" t="s">
        <v>172</v>
      </c>
      <c r="N881" s="3">
        <v>0.2</v>
      </c>
      <c r="O881" s="3">
        <v>0</v>
      </c>
      <c r="P881">
        <v>22</v>
      </c>
      <c r="Q881">
        <v>8.5</v>
      </c>
      <c r="R881" t="s">
        <v>902</v>
      </c>
      <c r="S881">
        <v>0.2</v>
      </c>
      <c r="T881" s="6">
        <f>10^-(14-Q881)</f>
        <v>3.1622776601683767E-6</v>
      </c>
      <c r="U881" s="6">
        <v>0</v>
      </c>
      <c r="V881" s="6">
        <v>0</v>
      </c>
      <c r="W881" s="6">
        <v>0</v>
      </c>
      <c r="X881" s="6">
        <v>0.2</v>
      </c>
      <c r="Y881" t="s">
        <v>171</v>
      </c>
      <c r="AD881">
        <v>0.5</v>
      </c>
      <c r="AE881">
        <v>250</v>
      </c>
      <c r="AF881">
        <v>1</v>
      </c>
      <c r="AG881" s="9">
        <v>0.02</v>
      </c>
      <c r="AL881" s="9">
        <v>16.2</v>
      </c>
      <c r="AM881" s="9">
        <v>10.199999999999999</v>
      </c>
      <c r="AN881" s="9">
        <v>2.8</v>
      </c>
      <c r="AO881" s="9">
        <v>0.06</v>
      </c>
      <c r="AQ881" s="1"/>
    </row>
    <row r="882" spans="1:43" x14ac:dyDescent="0.3">
      <c r="A882" t="s">
        <v>930</v>
      </c>
      <c r="B882" t="s">
        <v>1617</v>
      </c>
      <c r="C882">
        <v>56</v>
      </c>
      <c r="D882" s="8" t="s">
        <v>1629</v>
      </c>
      <c r="E882">
        <v>14000</v>
      </c>
      <c r="G882" t="s">
        <v>903</v>
      </c>
      <c r="H882">
        <v>8.5</v>
      </c>
      <c r="I882" s="4">
        <v>-1</v>
      </c>
      <c r="J882" s="3">
        <v>8.3333333333333329E-2</v>
      </c>
      <c r="K882" s="4">
        <v>0.5</v>
      </c>
      <c r="L882" t="s">
        <v>172</v>
      </c>
      <c r="N882" s="3">
        <v>0.2</v>
      </c>
      <c r="O882" s="3">
        <v>0</v>
      </c>
      <c r="P882">
        <v>22</v>
      </c>
      <c r="Q882">
        <v>8.5</v>
      </c>
      <c r="R882" t="s">
        <v>902</v>
      </c>
      <c r="S882">
        <v>0.2</v>
      </c>
      <c r="T882" s="6">
        <f>10^-(14-Q882)</f>
        <v>3.1622776601683767E-6</v>
      </c>
      <c r="U882" s="6">
        <v>0</v>
      </c>
      <c r="V882" s="6">
        <v>0</v>
      </c>
      <c r="W882" s="6">
        <v>0</v>
      </c>
      <c r="X882" s="6">
        <v>0.2</v>
      </c>
      <c r="Y882" t="s">
        <v>171</v>
      </c>
      <c r="AD882">
        <v>0.5</v>
      </c>
      <c r="AE882">
        <v>240</v>
      </c>
      <c r="AF882">
        <v>1</v>
      </c>
      <c r="AG882" s="9">
        <v>0.02</v>
      </c>
      <c r="AL882" s="9">
        <v>16.2</v>
      </c>
      <c r="AM882" s="9">
        <v>10.199999999999999</v>
      </c>
      <c r="AN882" s="9">
        <v>2.8</v>
      </c>
      <c r="AO882" s="9">
        <v>0.06</v>
      </c>
      <c r="AQ882" s="1"/>
    </row>
    <row r="883" spans="1:43" x14ac:dyDescent="0.3">
      <c r="A883" t="s">
        <v>931</v>
      </c>
      <c r="B883" t="s">
        <v>1617</v>
      </c>
      <c r="C883">
        <v>56</v>
      </c>
      <c r="D883" s="8" t="s">
        <v>1629</v>
      </c>
      <c r="E883">
        <v>14000</v>
      </c>
      <c r="G883" t="s">
        <v>903</v>
      </c>
      <c r="H883">
        <v>10.5</v>
      </c>
      <c r="I883" s="4">
        <v>-1</v>
      </c>
      <c r="J883" s="3">
        <v>8.3333333333333329E-2</v>
      </c>
      <c r="K883" s="4">
        <v>0.5</v>
      </c>
      <c r="L883" t="s">
        <v>172</v>
      </c>
      <c r="N883" s="3">
        <v>0.2</v>
      </c>
      <c r="O883" s="3">
        <v>0</v>
      </c>
      <c r="P883">
        <v>22</v>
      </c>
      <c r="Q883">
        <v>10.5</v>
      </c>
      <c r="R883" t="s">
        <v>902</v>
      </c>
      <c r="S883">
        <v>0.2</v>
      </c>
      <c r="T883" s="6">
        <f>10^-(14-Q883)</f>
        <v>3.1622776601683783E-4</v>
      </c>
      <c r="U883" s="6">
        <v>0</v>
      </c>
      <c r="V883" s="6">
        <v>0</v>
      </c>
      <c r="W883" s="6">
        <v>0</v>
      </c>
      <c r="X883" s="6">
        <v>0.2</v>
      </c>
      <c r="Y883" t="s">
        <v>171</v>
      </c>
      <c r="AD883">
        <v>0.5</v>
      </c>
      <c r="AE883">
        <v>380</v>
      </c>
      <c r="AF883">
        <v>1</v>
      </c>
      <c r="AG883" s="9">
        <v>0.02</v>
      </c>
      <c r="AL883" s="9">
        <v>16.2</v>
      </c>
      <c r="AM883" s="9">
        <v>10.199999999999999</v>
      </c>
      <c r="AN883" s="9">
        <v>2.8</v>
      </c>
      <c r="AO883" s="9">
        <v>0.06</v>
      </c>
      <c r="AQ883" s="1"/>
    </row>
    <row r="884" spans="1:43" x14ac:dyDescent="0.3">
      <c r="A884" t="s">
        <v>932</v>
      </c>
      <c r="B884" t="s">
        <v>1617</v>
      </c>
      <c r="C884">
        <v>56</v>
      </c>
      <c r="D884" s="8" t="s">
        <v>1629</v>
      </c>
      <c r="E884">
        <v>14000</v>
      </c>
      <c r="G884" t="s">
        <v>903</v>
      </c>
      <c r="H884">
        <v>10.5</v>
      </c>
      <c r="I884" s="4">
        <v>-1</v>
      </c>
      <c r="J884" s="3">
        <v>8.3333333333333329E-2</v>
      </c>
      <c r="K884" s="4">
        <v>0.5</v>
      </c>
      <c r="L884" t="s">
        <v>172</v>
      </c>
      <c r="N884" s="3">
        <v>0.2</v>
      </c>
      <c r="O884" s="3">
        <v>0</v>
      </c>
      <c r="P884">
        <v>22</v>
      </c>
      <c r="Q884">
        <v>10.5</v>
      </c>
      <c r="R884" t="s">
        <v>902</v>
      </c>
      <c r="S884">
        <v>0.2</v>
      </c>
      <c r="T884" s="6">
        <f>10^-(14-Q884)</f>
        <v>3.1622776601683783E-4</v>
      </c>
      <c r="U884" s="6">
        <v>0</v>
      </c>
      <c r="V884" s="6">
        <v>0</v>
      </c>
      <c r="W884" s="6">
        <v>0</v>
      </c>
      <c r="X884" s="6">
        <v>0.2</v>
      </c>
      <c r="Y884" t="s">
        <v>171</v>
      </c>
      <c r="AD884">
        <v>0.5</v>
      </c>
      <c r="AE884">
        <v>380</v>
      </c>
      <c r="AF884">
        <v>1</v>
      </c>
      <c r="AG884" s="9">
        <v>0.02</v>
      </c>
      <c r="AL884" s="9">
        <v>16.2</v>
      </c>
      <c r="AM884" s="9">
        <v>10.199999999999999</v>
      </c>
      <c r="AN884" s="9">
        <v>2.8</v>
      </c>
      <c r="AO884" s="9">
        <v>0.06</v>
      </c>
      <c r="AQ884" s="1"/>
    </row>
    <row r="885" spans="1:43" x14ac:dyDescent="0.3">
      <c r="A885" t="s">
        <v>933</v>
      </c>
      <c r="B885" t="s">
        <v>1617</v>
      </c>
      <c r="C885">
        <v>56</v>
      </c>
      <c r="D885" s="8" t="s">
        <v>1629</v>
      </c>
      <c r="E885">
        <v>14000</v>
      </c>
      <c r="G885" t="s">
        <v>903</v>
      </c>
      <c r="H885">
        <v>10.5</v>
      </c>
      <c r="I885" s="4">
        <v>-1</v>
      </c>
      <c r="J885" s="3">
        <v>8.3333333333333329E-2</v>
      </c>
      <c r="K885" s="4">
        <v>0.5</v>
      </c>
      <c r="L885" t="s">
        <v>172</v>
      </c>
      <c r="N885" s="3">
        <v>0.2</v>
      </c>
      <c r="O885" s="3">
        <v>0</v>
      </c>
      <c r="P885">
        <v>22</v>
      </c>
      <c r="Q885">
        <v>10.5</v>
      </c>
      <c r="R885" t="s">
        <v>902</v>
      </c>
      <c r="S885">
        <v>0.2</v>
      </c>
      <c r="T885" s="6">
        <f>10^-(14-Q885)</f>
        <v>3.1622776601683783E-4</v>
      </c>
      <c r="U885" s="6">
        <v>0</v>
      </c>
      <c r="V885" s="6">
        <v>0</v>
      </c>
      <c r="W885" s="6">
        <v>0</v>
      </c>
      <c r="X885" s="6">
        <v>0.2</v>
      </c>
      <c r="Y885" t="s">
        <v>171</v>
      </c>
      <c r="AD885">
        <v>0.5</v>
      </c>
      <c r="AE885">
        <v>360</v>
      </c>
      <c r="AF885">
        <v>1</v>
      </c>
      <c r="AG885" s="9">
        <v>0.02</v>
      </c>
      <c r="AL885" s="9">
        <v>16.2</v>
      </c>
      <c r="AM885" s="9">
        <v>10.199999999999999</v>
      </c>
      <c r="AN885" s="9">
        <v>2.8</v>
      </c>
      <c r="AO885" s="9">
        <v>0.06</v>
      </c>
      <c r="AQ885" s="1"/>
    </row>
    <row r="886" spans="1:43" x14ac:dyDescent="0.3">
      <c r="A886" t="s">
        <v>934</v>
      </c>
      <c r="B886" t="s">
        <v>1617</v>
      </c>
      <c r="C886">
        <v>56</v>
      </c>
      <c r="D886" s="8" t="s">
        <v>1629</v>
      </c>
      <c r="E886">
        <v>14000</v>
      </c>
      <c r="G886" t="s">
        <v>903</v>
      </c>
      <c r="H886">
        <v>8.5</v>
      </c>
      <c r="I886" s="4">
        <v>-1</v>
      </c>
      <c r="J886" s="3">
        <v>8.3333333333333329E-2</v>
      </c>
      <c r="K886" s="4">
        <v>0.5</v>
      </c>
      <c r="L886" t="s">
        <v>172</v>
      </c>
      <c r="N886" s="3">
        <v>0.2</v>
      </c>
      <c r="O886" s="3">
        <v>0</v>
      </c>
      <c r="P886">
        <v>22</v>
      </c>
      <c r="Q886">
        <v>8.5</v>
      </c>
      <c r="R886" t="s">
        <v>902</v>
      </c>
      <c r="S886">
        <v>0.2</v>
      </c>
      <c r="T886" s="6">
        <f>10^-(14-Q886)</f>
        <v>3.1622776601683767E-6</v>
      </c>
      <c r="U886" s="6">
        <v>0</v>
      </c>
      <c r="V886" s="6">
        <v>0</v>
      </c>
      <c r="W886" s="6">
        <v>0</v>
      </c>
      <c r="X886" s="6">
        <v>0.2</v>
      </c>
      <c r="Y886" t="s">
        <v>171</v>
      </c>
      <c r="AD886">
        <v>0.1</v>
      </c>
      <c r="AE886">
        <v>220</v>
      </c>
      <c r="AF886">
        <v>1</v>
      </c>
      <c r="AG886" s="9">
        <v>0.02</v>
      </c>
      <c r="AL886" s="9">
        <v>16.2</v>
      </c>
      <c r="AM886" s="9">
        <v>10.199999999999999</v>
      </c>
      <c r="AN886" s="9">
        <v>2.8</v>
      </c>
      <c r="AO886" s="9">
        <v>0.06</v>
      </c>
      <c r="AQ886" s="1"/>
    </row>
    <row r="887" spans="1:43" x14ac:dyDescent="0.3">
      <c r="A887" t="s">
        <v>935</v>
      </c>
      <c r="B887" t="s">
        <v>1617</v>
      </c>
      <c r="C887">
        <v>56</v>
      </c>
      <c r="D887" s="8" t="s">
        <v>1629</v>
      </c>
      <c r="E887">
        <v>14000</v>
      </c>
      <c r="G887" t="s">
        <v>903</v>
      </c>
      <c r="H887">
        <v>8.5</v>
      </c>
      <c r="I887" s="4">
        <v>-1</v>
      </c>
      <c r="J887" s="3">
        <v>8.3333333333333329E-2</v>
      </c>
      <c r="K887" s="4">
        <v>0.5</v>
      </c>
      <c r="L887" t="s">
        <v>172</v>
      </c>
      <c r="N887" s="3">
        <v>0.2</v>
      </c>
      <c r="O887" s="3">
        <v>0</v>
      </c>
      <c r="P887">
        <v>22</v>
      </c>
      <c r="Q887">
        <v>8.5</v>
      </c>
      <c r="R887" t="s">
        <v>902</v>
      </c>
      <c r="S887">
        <v>0.2</v>
      </c>
      <c r="T887" s="6">
        <f>10^-(14-Q887)</f>
        <v>3.1622776601683767E-6</v>
      </c>
      <c r="U887" s="6">
        <v>0</v>
      </c>
      <c r="V887" s="6">
        <v>0</v>
      </c>
      <c r="W887" s="6">
        <v>0</v>
      </c>
      <c r="X887" s="6">
        <v>0.2</v>
      </c>
      <c r="Y887" t="s">
        <v>171</v>
      </c>
      <c r="AD887">
        <v>0.1</v>
      </c>
      <c r="AE887">
        <v>190</v>
      </c>
      <c r="AF887">
        <v>1</v>
      </c>
      <c r="AG887" s="9">
        <v>0.02</v>
      </c>
      <c r="AL887" s="9">
        <v>16.2</v>
      </c>
      <c r="AM887" s="9">
        <v>10.199999999999999</v>
      </c>
      <c r="AN887" s="9">
        <v>2.8</v>
      </c>
      <c r="AO887" s="9">
        <v>0.06</v>
      </c>
      <c r="AQ887" s="1"/>
    </row>
    <row r="888" spans="1:43" x14ac:dyDescent="0.3">
      <c r="A888" t="s">
        <v>936</v>
      </c>
      <c r="B888" t="s">
        <v>1617</v>
      </c>
      <c r="C888">
        <v>56</v>
      </c>
      <c r="D888" s="8" t="s">
        <v>1629</v>
      </c>
      <c r="E888">
        <v>14000</v>
      </c>
      <c r="G888" t="s">
        <v>903</v>
      </c>
      <c r="H888">
        <v>8.5</v>
      </c>
      <c r="I888" s="4">
        <v>-1</v>
      </c>
      <c r="J888" s="3">
        <v>8.3333333333333329E-2</v>
      </c>
      <c r="K888" s="4">
        <v>0.5</v>
      </c>
      <c r="L888" t="s">
        <v>172</v>
      </c>
      <c r="N888" s="3">
        <v>0.2</v>
      </c>
      <c r="O888" s="3">
        <v>0</v>
      </c>
      <c r="P888">
        <v>22</v>
      </c>
      <c r="Q888">
        <v>8.5</v>
      </c>
      <c r="R888" t="s">
        <v>902</v>
      </c>
      <c r="S888">
        <v>0.2</v>
      </c>
      <c r="T888" s="6">
        <f>10^-(14-Q888)</f>
        <v>3.1622776601683767E-6</v>
      </c>
      <c r="U888" s="6">
        <v>0</v>
      </c>
      <c r="V888" s="6">
        <v>0</v>
      </c>
      <c r="W888" s="6">
        <v>0</v>
      </c>
      <c r="X888" s="6">
        <v>0.2</v>
      </c>
      <c r="Y888" t="s">
        <v>171</v>
      </c>
      <c r="AD888">
        <v>0.1</v>
      </c>
      <c r="AE888">
        <v>180</v>
      </c>
      <c r="AF888">
        <v>1</v>
      </c>
      <c r="AG888" s="9">
        <v>0.02</v>
      </c>
      <c r="AL888" s="9">
        <v>16.2</v>
      </c>
      <c r="AM888" s="9">
        <v>10.199999999999999</v>
      </c>
      <c r="AN888" s="9">
        <v>2.8</v>
      </c>
      <c r="AO888" s="9">
        <v>0.06</v>
      </c>
      <c r="AQ888" s="1"/>
    </row>
    <row r="889" spans="1:43" x14ac:dyDescent="0.3">
      <c r="A889" t="s">
        <v>937</v>
      </c>
      <c r="B889" t="s">
        <v>1617</v>
      </c>
      <c r="C889">
        <v>56</v>
      </c>
      <c r="D889" s="8" t="s">
        <v>1629</v>
      </c>
      <c r="E889">
        <v>14000</v>
      </c>
      <c r="G889" t="s">
        <v>903</v>
      </c>
      <c r="H889">
        <v>8.5</v>
      </c>
      <c r="I889" s="4">
        <v>-1</v>
      </c>
      <c r="J889" s="3">
        <v>8.3333333333333329E-2</v>
      </c>
      <c r="K889" s="4">
        <v>0.5</v>
      </c>
      <c r="L889" t="s">
        <v>172</v>
      </c>
      <c r="N889" s="3">
        <v>0.2</v>
      </c>
      <c r="O889" s="3">
        <v>0</v>
      </c>
      <c r="P889">
        <v>22</v>
      </c>
      <c r="Q889">
        <v>8.5</v>
      </c>
      <c r="R889" t="s">
        <v>902</v>
      </c>
      <c r="S889">
        <v>0.2</v>
      </c>
      <c r="T889" s="6">
        <f>10^-(14-Q889)</f>
        <v>3.1622776601683767E-6</v>
      </c>
      <c r="U889" s="6">
        <v>0</v>
      </c>
      <c r="V889" s="6">
        <v>0</v>
      </c>
      <c r="W889" s="6">
        <v>0</v>
      </c>
      <c r="X889" s="6">
        <v>0.2</v>
      </c>
      <c r="Y889" t="s">
        <v>171</v>
      </c>
      <c r="AD889">
        <v>2</v>
      </c>
      <c r="AE889">
        <v>250</v>
      </c>
      <c r="AF889">
        <v>1</v>
      </c>
      <c r="AG889" s="9">
        <v>0.02</v>
      </c>
      <c r="AL889" s="9">
        <v>16.2</v>
      </c>
      <c r="AM889" s="9">
        <v>10.199999999999999</v>
      </c>
      <c r="AN889" s="9">
        <v>2.8</v>
      </c>
      <c r="AO889" s="9">
        <v>0.06</v>
      </c>
      <c r="AQ889" s="1"/>
    </row>
    <row r="890" spans="1:43" x14ac:dyDescent="0.3">
      <c r="A890" t="s">
        <v>938</v>
      </c>
      <c r="B890" t="s">
        <v>1617</v>
      </c>
      <c r="C890">
        <v>56</v>
      </c>
      <c r="D890" s="8" t="s">
        <v>1629</v>
      </c>
      <c r="E890">
        <v>14000</v>
      </c>
      <c r="G890" t="s">
        <v>903</v>
      </c>
      <c r="H890">
        <v>8.5</v>
      </c>
      <c r="I890" s="4">
        <v>-1</v>
      </c>
      <c r="J890" s="3">
        <v>8.3333333333333329E-2</v>
      </c>
      <c r="K890" s="4">
        <v>0.5</v>
      </c>
      <c r="L890" t="s">
        <v>172</v>
      </c>
      <c r="N890" s="3">
        <v>0.2</v>
      </c>
      <c r="O890" s="3">
        <v>0</v>
      </c>
      <c r="P890">
        <v>22</v>
      </c>
      <c r="Q890">
        <v>8.5</v>
      </c>
      <c r="R890" t="s">
        <v>902</v>
      </c>
      <c r="S890">
        <v>0.2</v>
      </c>
      <c r="T890" s="6">
        <f>10^-(14-Q890)</f>
        <v>3.1622776601683767E-6</v>
      </c>
      <c r="U890" s="6">
        <v>0</v>
      </c>
      <c r="V890" s="6">
        <v>0</v>
      </c>
      <c r="W890" s="6">
        <v>0</v>
      </c>
      <c r="X890" s="6">
        <v>0.2</v>
      </c>
      <c r="Y890" t="s">
        <v>171</v>
      </c>
      <c r="AD890">
        <v>2</v>
      </c>
      <c r="AE890">
        <v>280</v>
      </c>
      <c r="AF890">
        <v>1</v>
      </c>
      <c r="AG890" s="9">
        <v>0.02</v>
      </c>
      <c r="AL890" s="9">
        <v>16.2</v>
      </c>
      <c r="AM890" s="9">
        <v>10.199999999999999</v>
      </c>
      <c r="AN890" s="9">
        <v>2.8</v>
      </c>
      <c r="AO890" s="9">
        <v>0.06</v>
      </c>
      <c r="AQ890" s="1"/>
    </row>
    <row r="891" spans="1:43" x14ac:dyDescent="0.3">
      <c r="A891" t="s">
        <v>939</v>
      </c>
      <c r="B891" t="s">
        <v>1617</v>
      </c>
      <c r="C891">
        <v>56</v>
      </c>
      <c r="D891" s="8" t="s">
        <v>1629</v>
      </c>
      <c r="E891">
        <v>14000</v>
      </c>
      <c r="G891" t="s">
        <v>903</v>
      </c>
      <c r="H891">
        <v>8.5</v>
      </c>
      <c r="I891" s="4">
        <v>-1</v>
      </c>
      <c r="J891" s="3">
        <v>8.3333333333333329E-2</v>
      </c>
      <c r="K891" s="4">
        <v>0.5</v>
      </c>
      <c r="L891" t="s">
        <v>172</v>
      </c>
      <c r="N891" s="3">
        <v>0.2</v>
      </c>
      <c r="O891" s="3">
        <v>0</v>
      </c>
      <c r="P891">
        <v>22</v>
      </c>
      <c r="Q891">
        <v>8.5</v>
      </c>
      <c r="R891" t="s">
        <v>902</v>
      </c>
      <c r="S891">
        <v>0.2</v>
      </c>
      <c r="T891" s="6">
        <f>10^-(14-Q891)</f>
        <v>3.1622776601683767E-6</v>
      </c>
      <c r="U891" s="6">
        <v>0</v>
      </c>
      <c r="V891" s="6">
        <v>0</v>
      </c>
      <c r="W891" s="6">
        <v>0</v>
      </c>
      <c r="X891" s="6">
        <v>0.2</v>
      </c>
      <c r="Y891" t="s">
        <v>171</v>
      </c>
      <c r="AD891">
        <v>2</v>
      </c>
      <c r="AE891">
        <v>300</v>
      </c>
      <c r="AF891">
        <v>1</v>
      </c>
      <c r="AG891" s="9">
        <v>0.02</v>
      </c>
      <c r="AL891" s="9">
        <v>16.2</v>
      </c>
      <c r="AM891" s="9">
        <v>10.199999999999999</v>
      </c>
      <c r="AN891" s="9">
        <v>2.8</v>
      </c>
      <c r="AO891" s="9">
        <v>0.06</v>
      </c>
      <c r="AQ891" s="1"/>
    </row>
    <row r="892" spans="1:43" x14ac:dyDescent="0.3">
      <c r="A892" t="s">
        <v>940</v>
      </c>
      <c r="B892" t="s">
        <v>1617</v>
      </c>
      <c r="C892">
        <v>56</v>
      </c>
      <c r="D892" s="8" t="s">
        <v>1629</v>
      </c>
      <c r="E892">
        <v>14000</v>
      </c>
      <c r="G892" t="s">
        <v>903</v>
      </c>
      <c r="H892">
        <v>8.5</v>
      </c>
      <c r="I892" s="4">
        <v>-1</v>
      </c>
      <c r="J892" s="3">
        <v>8.3333333333333329E-2</v>
      </c>
      <c r="K892" s="4">
        <v>0.5</v>
      </c>
      <c r="L892" t="s">
        <v>172</v>
      </c>
      <c r="N892" s="3">
        <v>0.2</v>
      </c>
      <c r="O892" s="3">
        <v>0</v>
      </c>
      <c r="P892">
        <v>22</v>
      </c>
      <c r="Q892">
        <v>8.5</v>
      </c>
      <c r="R892" t="s">
        <v>902</v>
      </c>
      <c r="S892">
        <v>0.2</v>
      </c>
      <c r="T892" s="6">
        <f>10^-(14-Q892)</f>
        <v>3.1622776601683767E-6</v>
      </c>
      <c r="U892" s="6">
        <v>0</v>
      </c>
      <c r="V892" s="6">
        <v>0</v>
      </c>
      <c r="W892" s="6">
        <v>0</v>
      </c>
      <c r="X892" s="6">
        <v>0.2</v>
      </c>
      <c r="Y892" t="s">
        <v>171</v>
      </c>
      <c r="AD892">
        <v>5</v>
      </c>
      <c r="AE892">
        <v>290</v>
      </c>
      <c r="AF892">
        <v>1</v>
      </c>
      <c r="AG892" s="9">
        <v>0.02</v>
      </c>
      <c r="AL892" s="9">
        <v>16.2</v>
      </c>
      <c r="AM892" s="9">
        <v>10.199999999999999</v>
      </c>
      <c r="AN892" s="9">
        <v>2.8</v>
      </c>
      <c r="AO892" s="9">
        <v>0.06</v>
      </c>
      <c r="AQ892" s="1"/>
    </row>
    <row r="893" spans="1:43" x14ac:dyDescent="0.3">
      <c r="A893" t="s">
        <v>941</v>
      </c>
      <c r="B893" t="s">
        <v>1617</v>
      </c>
      <c r="C893">
        <v>56</v>
      </c>
      <c r="D893" s="8" t="s">
        <v>1629</v>
      </c>
      <c r="E893">
        <v>14000</v>
      </c>
      <c r="G893" t="s">
        <v>903</v>
      </c>
      <c r="H893">
        <v>8.5</v>
      </c>
      <c r="I893" s="4">
        <v>-1</v>
      </c>
      <c r="J893" s="3">
        <v>8.3333333333333329E-2</v>
      </c>
      <c r="K893" s="4">
        <v>0.5</v>
      </c>
      <c r="L893" t="s">
        <v>172</v>
      </c>
      <c r="N893" s="3">
        <v>0.2</v>
      </c>
      <c r="O893" s="3">
        <v>0</v>
      </c>
      <c r="P893">
        <v>22</v>
      </c>
      <c r="Q893">
        <v>8.5</v>
      </c>
      <c r="R893" t="s">
        <v>902</v>
      </c>
      <c r="S893">
        <v>0.2</v>
      </c>
      <c r="T893" s="6">
        <f>10^-(14-Q893)</f>
        <v>3.1622776601683767E-6</v>
      </c>
      <c r="U893" s="6">
        <v>0</v>
      </c>
      <c r="V893" s="6">
        <v>0</v>
      </c>
      <c r="W893" s="6">
        <v>0</v>
      </c>
      <c r="X893" s="6">
        <v>0.2</v>
      </c>
      <c r="Y893" t="s">
        <v>171</v>
      </c>
      <c r="AD893">
        <v>5</v>
      </c>
      <c r="AE893">
        <v>300</v>
      </c>
      <c r="AF893">
        <v>1</v>
      </c>
      <c r="AG893" s="9">
        <v>0.02</v>
      </c>
      <c r="AL893" s="9">
        <v>16.2</v>
      </c>
      <c r="AM893" s="9">
        <v>10.199999999999999</v>
      </c>
      <c r="AN893" s="9">
        <v>2.8</v>
      </c>
      <c r="AO893" s="9">
        <v>0.06</v>
      </c>
      <c r="AQ893" s="1"/>
    </row>
    <row r="894" spans="1:43" x14ac:dyDescent="0.3">
      <c r="A894" t="s">
        <v>942</v>
      </c>
      <c r="B894" t="s">
        <v>1617</v>
      </c>
      <c r="C894">
        <v>56</v>
      </c>
      <c r="D894" s="8" t="s">
        <v>1629</v>
      </c>
      <c r="E894">
        <v>14000</v>
      </c>
      <c r="G894" t="s">
        <v>903</v>
      </c>
      <c r="H894">
        <v>8.5</v>
      </c>
      <c r="I894" s="4">
        <v>-1</v>
      </c>
      <c r="J894" s="3">
        <v>8.3333333333333329E-2</v>
      </c>
      <c r="K894" s="4">
        <v>0.5</v>
      </c>
      <c r="L894" t="s">
        <v>172</v>
      </c>
      <c r="N894" s="3">
        <v>0.2</v>
      </c>
      <c r="O894" s="3">
        <v>0</v>
      </c>
      <c r="P894">
        <v>22</v>
      </c>
      <c r="Q894">
        <v>8.5</v>
      </c>
      <c r="R894" t="s">
        <v>902</v>
      </c>
      <c r="S894">
        <v>0.2</v>
      </c>
      <c r="T894" s="6">
        <f>10^-(14-Q894)</f>
        <v>3.1622776601683767E-6</v>
      </c>
      <c r="U894" s="6">
        <v>0</v>
      </c>
      <c r="V894" s="6">
        <v>0</v>
      </c>
      <c r="W894" s="6">
        <v>0</v>
      </c>
      <c r="X894" s="6">
        <v>0.2</v>
      </c>
      <c r="Y894" t="s">
        <v>171</v>
      </c>
      <c r="AD894">
        <v>5</v>
      </c>
      <c r="AE894">
        <v>310</v>
      </c>
      <c r="AF894">
        <v>1</v>
      </c>
      <c r="AG894" s="9">
        <v>0.02</v>
      </c>
      <c r="AL894" s="9">
        <v>16.2</v>
      </c>
      <c r="AM894" s="9">
        <v>10.199999999999999</v>
      </c>
      <c r="AN894" s="9">
        <v>2.8</v>
      </c>
      <c r="AO894" s="9">
        <v>0.06</v>
      </c>
      <c r="AQ894" s="1"/>
    </row>
    <row r="895" spans="1:43" x14ac:dyDescent="0.3">
      <c r="A895" t="s">
        <v>943</v>
      </c>
      <c r="B895" t="s">
        <v>1617</v>
      </c>
      <c r="C895">
        <v>56</v>
      </c>
      <c r="D895" s="8" t="s">
        <v>1629</v>
      </c>
      <c r="E895">
        <v>14000</v>
      </c>
      <c r="G895" t="s">
        <v>903</v>
      </c>
      <c r="H895">
        <v>8.5</v>
      </c>
      <c r="I895" s="4">
        <v>-1</v>
      </c>
      <c r="J895" s="3">
        <v>8.3333333333333329E-2</v>
      </c>
      <c r="K895" s="4">
        <v>0.5</v>
      </c>
      <c r="L895" t="s">
        <v>172</v>
      </c>
      <c r="N895" s="3">
        <v>0.2</v>
      </c>
      <c r="O895" s="3">
        <v>0</v>
      </c>
      <c r="P895">
        <v>22</v>
      </c>
      <c r="Q895">
        <v>8.5</v>
      </c>
      <c r="R895" t="s">
        <v>902</v>
      </c>
      <c r="S895">
        <v>0.2</v>
      </c>
      <c r="T895" s="6">
        <f>10^-(14-Q895)</f>
        <v>3.1622776601683767E-6</v>
      </c>
      <c r="U895" s="6">
        <v>0</v>
      </c>
      <c r="V895" s="6">
        <v>0</v>
      </c>
      <c r="W895" s="6">
        <v>0</v>
      </c>
      <c r="X895" s="6">
        <v>0.2</v>
      </c>
      <c r="Y895" t="s">
        <v>171</v>
      </c>
      <c r="AD895">
        <v>8</v>
      </c>
      <c r="AE895">
        <v>330</v>
      </c>
      <c r="AF895">
        <v>1</v>
      </c>
      <c r="AG895" s="9">
        <v>0.02</v>
      </c>
      <c r="AL895" s="9">
        <v>16.2</v>
      </c>
      <c r="AM895" s="9">
        <v>10.199999999999999</v>
      </c>
      <c r="AN895" s="9">
        <v>2.8</v>
      </c>
      <c r="AO895" s="9">
        <v>0.06</v>
      </c>
      <c r="AQ895" s="1"/>
    </row>
    <row r="896" spans="1:43" x14ac:dyDescent="0.3">
      <c r="A896" t="s">
        <v>944</v>
      </c>
      <c r="B896" t="s">
        <v>1617</v>
      </c>
      <c r="C896">
        <v>56</v>
      </c>
      <c r="D896" s="8" t="s">
        <v>1629</v>
      </c>
      <c r="E896">
        <v>14000</v>
      </c>
      <c r="G896" t="s">
        <v>903</v>
      </c>
      <c r="H896">
        <v>8.5</v>
      </c>
      <c r="I896" s="4">
        <v>-1</v>
      </c>
      <c r="J896" s="3">
        <v>8.3333333333333329E-2</v>
      </c>
      <c r="K896" s="4">
        <v>0.5</v>
      </c>
      <c r="L896" t="s">
        <v>172</v>
      </c>
      <c r="N896" s="3">
        <v>0.2</v>
      </c>
      <c r="O896" s="3">
        <v>0</v>
      </c>
      <c r="P896">
        <v>22</v>
      </c>
      <c r="Q896">
        <v>8.5</v>
      </c>
      <c r="R896" t="s">
        <v>902</v>
      </c>
      <c r="S896">
        <v>0.2</v>
      </c>
      <c r="T896" s="6">
        <f>10^-(14-Q896)</f>
        <v>3.1622776601683767E-6</v>
      </c>
      <c r="U896" s="6">
        <v>0</v>
      </c>
      <c r="V896" s="6">
        <v>0</v>
      </c>
      <c r="W896" s="6">
        <v>0</v>
      </c>
      <c r="X896" s="6">
        <v>0.2</v>
      </c>
      <c r="Y896" t="s">
        <v>171</v>
      </c>
      <c r="AD896">
        <v>8</v>
      </c>
      <c r="AE896">
        <v>350</v>
      </c>
      <c r="AF896">
        <v>1</v>
      </c>
      <c r="AG896" s="9">
        <v>0.02</v>
      </c>
      <c r="AL896" s="9">
        <v>16.2</v>
      </c>
      <c r="AM896" s="9">
        <v>10.199999999999999</v>
      </c>
      <c r="AN896" s="9">
        <v>2.8</v>
      </c>
      <c r="AO896" s="9">
        <v>0.06</v>
      </c>
      <c r="AQ896" s="1"/>
    </row>
    <row r="897" spans="1:43" x14ac:dyDescent="0.3">
      <c r="A897" t="s">
        <v>945</v>
      </c>
      <c r="B897" t="s">
        <v>1617</v>
      </c>
      <c r="C897">
        <v>56</v>
      </c>
      <c r="D897" s="8" t="s">
        <v>1629</v>
      </c>
      <c r="E897">
        <v>14000</v>
      </c>
      <c r="G897" t="s">
        <v>903</v>
      </c>
      <c r="H897">
        <v>8.5</v>
      </c>
      <c r="I897" s="4">
        <v>-1</v>
      </c>
      <c r="J897" s="3">
        <v>8.3333333333333329E-2</v>
      </c>
      <c r="K897" s="4">
        <v>0.5</v>
      </c>
      <c r="L897" t="s">
        <v>172</v>
      </c>
      <c r="N897" s="3">
        <v>0.2</v>
      </c>
      <c r="O897" s="3">
        <v>0</v>
      </c>
      <c r="P897">
        <v>22</v>
      </c>
      <c r="Q897">
        <v>8.5</v>
      </c>
      <c r="R897" t="s">
        <v>902</v>
      </c>
      <c r="S897">
        <v>0.2</v>
      </c>
      <c r="T897" s="6">
        <f>10^-(14-Q897)</f>
        <v>3.1622776601683767E-6</v>
      </c>
      <c r="U897" s="6">
        <v>0</v>
      </c>
      <c r="V897" s="6">
        <v>0</v>
      </c>
      <c r="W897" s="6">
        <v>0</v>
      </c>
      <c r="X897" s="6">
        <v>0.2</v>
      </c>
      <c r="Y897" t="s">
        <v>171</v>
      </c>
      <c r="AD897">
        <v>8</v>
      </c>
      <c r="AE897">
        <v>350</v>
      </c>
      <c r="AF897">
        <v>1</v>
      </c>
      <c r="AG897" s="9">
        <v>0.02</v>
      </c>
      <c r="AL897" s="9">
        <v>16.2</v>
      </c>
      <c r="AM897" s="9">
        <v>10.199999999999999</v>
      </c>
      <c r="AN897" s="9">
        <v>2.8</v>
      </c>
      <c r="AO897" s="9">
        <v>0.06</v>
      </c>
      <c r="AQ897" s="1"/>
    </row>
    <row r="898" spans="1:43" x14ac:dyDescent="0.3">
      <c r="A898" t="s">
        <v>950</v>
      </c>
      <c r="B898" t="s">
        <v>1617</v>
      </c>
      <c r="C898">
        <v>56</v>
      </c>
      <c r="D898" s="8" t="s">
        <v>1629</v>
      </c>
      <c r="E898">
        <v>14000</v>
      </c>
      <c r="G898" t="s">
        <v>903</v>
      </c>
      <c r="H898">
        <v>8.5</v>
      </c>
      <c r="I898" s="4">
        <v>-1</v>
      </c>
      <c r="J898" s="3">
        <v>8.3333333333333329E-2</v>
      </c>
      <c r="K898" s="4">
        <v>0.5</v>
      </c>
      <c r="L898" t="s">
        <v>172</v>
      </c>
      <c r="N898" s="3">
        <v>0.3</v>
      </c>
      <c r="O898" s="3">
        <v>0</v>
      </c>
      <c r="P898">
        <v>22</v>
      </c>
      <c r="Q898">
        <v>8.5</v>
      </c>
      <c r="R898" t="s">
        <v>946</v>
      </c>
      <c r="S898">
        <v>2E-3</v>
      </c>
      <c r="T898" s="6">
        <f>10^-(14-Q898)</f>
        <v>3.1622776601683767E-6</v>
      </c>
      <c r="U898" s="6">
        <v>0</v>
      </c>
      <c r="V898" s="6">
        <v>0</v>
      </c>
      <c r="W898" s="6">
        <v>2E-3</v>
      </c>
      <c r="X898" s="6">
        <v>0</v>
      </c>
      <c r="Y898" t="s">
        <v>171</v>
      </c>
      <c r="AD898">
        <v>0.5</v>
      </c>
      <c r="AE898">
        <v>230</v>
      </c>
      <c r="AF898">
        <v>1</v>
      </c>
      <c r="AG898" s="9">
        <v>0.02</v>
      </c>
      <c r="AL898" s="9">
        <v>16.2</v>
      </c>
      <c r="AM898" s="9">
        <v>10.199999999999999</v>
      </c>
      <c r="AN898" s="9">
        <v>2.8</v>
      </c>
      <c r="AO898" s="9">
        <v>0.06</v>
      </c>
      <c r="AQ898" s="1"/>
    </row>
    <row r="899" spans="1:43" x14ac:dyDescent="0.3">
      <c r="A899" t="s">
        <v>951</v>
      </c>
      <c r="B899" t="s">
        <v>1617</v>
      </c>
      <c r="C899">
        <v>56</v>
      </c>
      <c r="D899" s="8" t="s">
        <v>1629</v>
      </c>
      <c r="E899">
        <v>14000</v>
      </c>
      <c r="G899" t="s">
        <v>903</v>
      </c>
      <c r="H899">
        <v>8.5</v>
      </c>
      <c r="I899" s="4">
        <v>-1</v>
      </c>
      <c r="J899" s="3">
        <v>8.3333333333333329E-2</v>
      </c>
      <c r="K899" s="4">
        <v>0.5</v>
      </c>
      <c r="L899" t="s">
        <v>172</v>
      </c>
      <c r="N899" s="3">
        <v>0.3</v>
      </c>
      <c r="O899" s="3">
        <v>0</v>
      </c>
      <c r="P899">
        <v>22</v>
      </c>
      <c r="Q899">
        <v>8.5</v>
      </c>
      <c r="R899" t="s">
        <v>946</v>
      </c>
      <c r="S899">
        <v>2E-3</v>
      </c>
      <c r="T899" s="6">
        <f>10^-(14-Q899)</f>
        <v>3.1622776601683767E-6</v>
      </c>
      <c r="U899" s="6">
        <v>0</v>
      </c>
      <c r="V899" s="6">
        <v>0</v>
      </c>
      <c r="W899" s="6">
        <v>2E-3</v>
      </c>
      <c r="X899" s="6">
        <v>0</v>
      </c>
      <c r="Y899" t="s">
        <v>171</v>
      </c>
      <c r="AD899">
        <v>0.5</v>
      </c>
      <c r="AE899">
        <v>250</v>
      </c>
      <c r="AF899">
        <v>1</v>
      </c>
      <c r="AG899" s="9">
        <v>0.02</v>
      </c>
      <c r="AL899" s="9">
        <v>16.2</v>
      </c>
      <c r="AM899" s="9">
        <v>10.199999999999999</v>
      </c>
      <c r="AN899" s="9">
        <v>2.8</v>
      </c>
      <c r="AO899" s="9">
        <v>0.06</v>
      </c>
      <c r="AQ899" s="1"/>
    </row>
    <row r="900" spans="1:43" x14ac:dyDescent="0.3">
      <c r="A900" t="s">
        <v>952</v>
      </c>
      <c r="B900" t="s">
        <v>1617</v>
      </c>
      <c r="C900">
        <v>56</v>
      </c>
      <c r="D900" s="8" t="s">
        <v>1629</v>
      </c>
      <c r="E900">
        <v>14000</v>
      </c>
      <c r="G900" t="s">
        <v>903</v>
      </c>
      <c r="H900">
        <v>8.5</v>
      </c>
      <c r="I900" s="4">
        <v>-1</v>
      </c>
      <c r="J900" s="3">
        <v>8.3333333333333329E-2</v>
      </c>
      <c r="K900" s="4">
        <v>0.5</v>
      </c>
      <c r="L900" t="s">
        <v>172</v>
      </c>
      <c r="N900" s="3">
        <v>0.3</v>
      </c>
      <c r="O900" s="3">
        <v>0</v>
      </c>
      <c r="P900">
        <v>22</v>
      </c>
      <c r="Q900">
        <v>8.5</v>
      </c>
      <c r="R900" t="s">
        <v>946</v>
      </c>
      <c r="S900">
        <v>2E-3</v>
      </c>
      <c r="T900" s="6">
        <f>10^-(14-Q900)</f>
        <v>3.1622776601683767E-6</v>
      </c>
      <c r="U900" s="6">
        <v>0</v>
      </c>
      <c r="V900" s="6">
        <v>0</v>
      </c>
      <c r="W900" s="6">
        <v>2E-3</v>
      </c>
      <c r="X900" s="6">
        <v>0</v>
      </c>
      <c r="Y900" t="s">
        <v>171</v>
      </c>
      <c r="AD900">
        <v>0.5</v>
      </c>
      <c r="AE900">
        <v>280</v>
      </c>
      <c r="AF900">
        <v>1</v>
      </c>
      <c r="AG900" s="9">
        <v>0.02</v>
      </c>
      <c r="AL900" s="9">
        <v>16.2</v>
      </c>
      <c r="AM900" s="9">
        <v>10.199999999999999</v>
      </c>
      <c r="AN900" s="9">
        <v>2.8</v>
      </c>
      <c r="AO900" s="9">
        <v>0.06</v>
      </c>
      <c r="AQ900" s="1"/>
    </row>
    <row r="901" spans="1:43" x14ac:dyDescent="0.3">
      <c r="A901" t="s">
        <v>953</v>
      </c>
      <c r="B901" t="s">
        <v>1617</v>
      </c>
      <c r="C901">
        <v>56</v>
      </c>
      <c r="D901" s="8" t="s">
        <v>1629</v>
      </c>
      <c r="E901">
        <v>14000</v>
      </c>
      <c r="G901" t="s">
        <v>903</v>
      </c>
      <c r="H901">
        <v>8.5</v>
      </c>
      <c r="I901" s="4">
        <v>-1</v>
      </c>
      <c r="J901" s="3">
        <v>8.3333333333333329E-2</v>
      </c>
      <c r="K901" s="4">
        <v>0.5</v>
      </c>
      <c r="L901" t="s">
        <v>172</v>
      </c>
      <c r="N901" s="3">
        <v>0.3</v>
      </c>
      <c r="O901" s="3">
        <v>0</v>
      </c>
      <c r="P901">
        <v>22</v>
      </c>
      <c r="Q901">
        <v>8.5</v>
      </c>
      <c r="R901" t="s">
        <v>947</v>
      </c>
      <c r="S901">
        <v>5.0000000000000001E-3</v>
      </c>
      <c r="T901" s="6">
        <f>10^-(14-Q901)</f>
        <v>3.1622776601683767E-6</v>
      </c>
      <c r="U901" s="6">
        <v>0</v>
      </c>
      <c r="V901" s="6">
        <v>0</v>
      </c>
      <c r="W901" s="6">
        <v>5.0000000000000001E-3</v>
      </c>
      <c r="X901" s="6">
        <v>0</v>
      </c>
      <c r="Y901" t="s">
        <v>171</v>
      </c>
      <c r="AD901">
        <v>0.5</v>
      </c>
      <c r="AE901">
        <v>280</v>
      </c>
      <c r="AF901">
        <v>1</v>
      </c>
      <c r="AG901" s="9">
        <v>0.02</v>
      </c>
      <c r="AL901" s="9">
        <v>16.2</v>
      </c>
      <c r="AM901" s="9">
        <v>10.199999999999999</v>
      </c>
      <c r="AN901" s="9">
        <v>2.8</v>
      </c>
      <c r="AO901" s="9">
        <v>0.06</v>
      </c>
      <c r="AQ901" s="1"/>
    </row>
    <row r="902" spans="1:43" x14ac:dyDescent="0.3">
      <c r="A902" t="s">
        <v>954</v>
      </c>
      <c r="B902" t="s">
        <v>1617</v>
      </c>
      <c r="C902">
        <v>56</v>
      </c>
      <c r="D902" s="8" t="s">
        <v>1629</v>
      </c>
      <c r="E902">
        <v>14000</v>
      </c>
      <c r="G902" t="s">
        <v>903</v>
      </c>
      <c r="H902">
        <v>8.5</v>
      </c>
      <c r="I902" s="4">
        <v>-1</v>
      </c>
      <c r="J902" s="3">
        <v>8.3333333333333329E-2</v>
      </c>
      <c r="K902" s="4">
        <v>0.5</v>
      </c>
      <c r="L902" t="s">
        <v>172</v>
      </c>
      <c r="N902" s="3">
        <v>0.3</v>
      </c>
      <c r="O902" s="3">
        <v>0</v>
      </c>
      <c r="P902">
        <v>22</v>
      </c>
      <c r="Q902">
        <v>8.5</v>
      </c>
      <c r="R902" t="s">
        <v>947</v>
      </c>
      <c r="S902">
        <v>5.0000000000000001E-3</v>
      </c>
      <c r="T902" s="6">
        <f>10^-(14-Q902)</f>
        <v>3.1622776601683767E-6</v>
      </c>
      <c r="U902" s="6">
        <v>0</v>
      </c>
      <c r="V902" s="6">
        <v>0</v>
      </c>
      <c r="W902" s="6">
        <v>5.0000000000000001E-3</v>
      </c>
      <c r="X902" s="6">
        <v>0</v>
      </c>
      <c r="Y902" t="s">
        <v>171</v>
      </c>
      <c r="AD902">
        <v>0.5</v>
      </c>
      <c r="AE902">
        <v>290</v>
      </c>
      <c r="AF902">
        <v>1</v>
      </c>
      <c r="AG902" s="9">
        <v>0.02</v>
      </c>
      <c r="AL902" s="9">
        <v>16.2</v>
      </c>
      <c r="AM902" s="9">
        <v>10.199999999999999</v>
      </c>
      <c r="AN902" s="9">
        <v>2.8</v>
      </c>
      <c r="AO902" s="9">
        <v>0.06</v>
      </c>
      <c r="AQ902" s="1"/>
    </row>
    <row r="903" spans="1:43" x14ac:dyDescent="0.3">
      <c r="A903" t="s">
        <v>955</v>
      </c>
      <c r="B903" t="s">
        <v>1617</v>
      </c>
      <c r="C903">
        <v>56</v>
      </c>
      <c r="D903" s="8" t="s">
        <v>1629</v>
      </c>
      <c r="E903">
        <v>14000</v>
      </c>
      <c r="G903" t="s">
        <v>903</v>
      </c>
      <c r="H903">
        <v>8.5</v>
      </c>
      <c r="I903" s="4">
        <v>-1</v>
      </c>
      <c r="J903" s="3">
        <v>8.3333333333333329E-2</v>
      </c>
      <c r="K903" s="4">
        <v>0.5</v>
      </c>
      <c r="L903" t="s">
        <v>172</v>
      </c>
      <c r="N903" s="3">
        <v>0.3</v>
      </c>
      <c r="O903" s="3">
        <v>0</v>
      </c>
      <c r="P903">
        <v>22</v>
      </c>
      <c r="Q903">
        <v>8.5</v>
      </c>
      <c r="R903" t="s">
        <v>947</v>
      </c>
      <c r="S903">
        <v>5.0000000000000001E-3</v>
      </c>
      <c r="T903" s="6">
        <f>10^-(14-Q903)</f>
        <v>3.1622776601683767E-6</v>
      </c>
      <c r="U903" s="6">
        <v>0</v>
      </c>
      <c r="V903" s="6">
        <v>0</v>
      </c>
      <c r="W903" s="6">
        <v>5.0000000000000001E-3</v>
      </c>
      <c r="X903" s="6">
        <v>0</v>
      </c>
      <c r="Y903" t="s">
        <v>171</v>
      </c>
      <c r="AD903">
        <v>0.5</v>
      </c>
      <c r="AE903">
        <v>300</v>
      </c>
      <c r="AF903">
        <v>1</v>
      </c>
      <c r="AG903" s="9">
        <v>0.02</v>
      </c>
      <c r="AL903" s="9">
        <v>16.2</v>
      </c>
      <c r="AM903" s="9">
        <v>10.199999999999999</v>
      </c>
      <c r="AN903" s="9">
        <v>2.8</v>
      </c>
      <c r="AO903" s="9">
        <v>0.06</v>
      </c>
      <c r="AQ903" s="1"/>
    </row>
    <row r="904" spans="1:43" x14ac:dyDescent="0.3">
      <c r="A904" t="s">
        <v>956</v>
      </c>
      <c r="B904" t="s">
        <v>1617</v>
      </c>
      <c r="C904">
        <v>56</v>
      </c>
      <c r="D904" s="8" t="s">
        <v>1629</v>
      </c>
      <c r="E904">
        <v>14000</v>
      </c>
      <c r="G904" t="s">
        <v>903</v>
      </c>
      <c r="H904">
        <v>8.5</v>
      </c>
      <c r="I904" s="4">
        <v>-1</v>
      </c>
      <c r="J904" s="3">
        <v>8.3333333333333329E-2</v>
      </c>
      <c r="K904" s="4">
        <v>0.5</v>
      </c>
      <c r="L904" t="s">
        <v>172</v>
      </c>
      <c r="N904" s="3">
        <v>0.3</v>
      </c>
      <c r="O904" s="3">
        <v>0</v>
      </c>
      <c r="P904">
        <v>22</v>
      </c>
      <c r="Q904">
        <v>8.5</v>
      </c>
      <c r="R904" t="s">
        <v>948</v>
      </c>
      <c r="S904">
        <v>0.01</v>
      </c>
      <c r="T904" s="6">
        <f>10^-(14-Q904)</f>
        <v>3.1622776601683767E-6</v>
      </c>
      <c r="U904" s="6">
        <v>0</v>
      </c>
      <c r="V904" s="6">
        <v>0</v>
      </c>
      <c r="W904" s="6">
        <v>0.01</v>
      </c>
      <c r="X904" s="6">
        <v>0</v>
      </c>
      <c r="Y904" t="s">
        <v>171</v>
      </c>
      <c r="AD904">
        <v>0.5</v>
      </c>
      <c r="AE904">
        <v>280</v>
      </c>
      <c r="AF904">
        <v>1</v>
      </c>
      <c r="AG904" s="9">
        <v>0.02</v>
      </c>
      <c r="AL904" s="9">
        <v>16.2</v>
      </c>
      <c r="AM904" s="9">
        <v>10.199999999999999</v>
      </c>
      <c r="AN904" s="9">
        <v>2.8</v>
      </c>
      <c r="AO904" s="9">
        <v>0.06</v>
      </c>
      <c r="AQ904" s="1"/>
    </row>
    <row r="905" spans="1:43" x14ac:dyDescent="0.3">
      <c r="A905" t="s">
        <v>957</v>
      </c>
      <c r="B905" t="s">
        <v>1617</v>
      </c>
      <c r="C905">
        <v>56</v>
      </c>
      <c r="D905" s="8" t="s">
        <v>1629</v>
      </c>
      <c r="E905">
        <v>14000</v>
      </c>
      <c r="G905" t="s">
        <v>903</v>
      </c>
      <c r="H905">
        <v>8.5</v>
      </c>
      <c r="I905" s="4">
        <v>-1</v>
      </c>
      <c r="J905" s="3">
        <v>8.3333333333333329E-2</v>
      </c>
      <c r="K905" s="4">
        <v>0.5</v>
      </c>
      <c r="L905" t="s">
        <v>172</v>
      </c>
      <c r="N905" s="3">
        <v>0.3</v>
      </c>
      <c r="O905" s="3">
        <v>0</v>
      </c>
      <c r="P905">
        <v>22</v>
      </c>
      <c r="Q905">
        <v>8.5</v>
      </c>
      <c r="R905" t="s">
        <v>948</v>
      </c>
      <c r="S905">
        <v>0.01</v>
      </c>
      <c r="T905" s="6">
        <f>10^-(14-Q905)</f>
        <v>3.1622776601683767E-6</v>
      </c>
      <c r="U905" s="6">
        <v>0</v>
      </c>
      <c r="V905" s="6">
        <v>0</v>
      </c>
      <c r="W905" s="6">
        <v>0.01</v>
      </c>
      <c r="X905" s="6">
        <v>0</v>
      </c>
      <c r="Y905" t="s">
        <v>171</v>
      </c>
      <c r="AD905">
        <v>0.5</v>
      </c>
      <c r="AE905">
        <v>300</v>
      </c>
      <c r="AF905">
        <v>1</v>
      </c>
      <c r="AG905" s="9">
        <v>0.02</v>
      </c>
      <c r="AL905" s="9">
        <v>16.2</v>
      </c>
      <c r="AM905" s="9">
        <v>10.199999999999999</v>
      </c>
      <c r="AN905" s="9">
        <v>2.8</v>
      </c>
      <c r="AO905" s="9">
        <v>0.06</v>
      </c>
      <c r="AQ905" s="1"/>
    </row>
    <row r="906" spans="1:43" x14ac:dyDescent="0.3">
      <c r="A906" t="s">
        <v>958</v>
      </c>
      <c r="B906" t="s">
        <v>1617</v>
      </c>
      <c r="C906">
        <v>56</v>
      </c>
      <c r="D906" s="8" t="s">
        <v>1629</v>
      </c>
      <c r="E906">
        <v>14000</v>
      </c>
      <c r="G906" t="s">
        <v>903</v>
      </c>
      <c r="H906">
        <v>8.5</v>
      </c>
      <c r="I906" s="4">
        <v>-1</v>
      </c>
      <c r="J906" s="3">
        <v>8.3333333333333329E-2</v>
      </c>
      <c r="K906" s="4">
        <v>0.5</v>
      </c>
      <c r="L906" t="s">
        <v>172</v>
      </c>
      <c r="N906" s="3">
        <v>0.3</v>
      </c>
      <c r="O906" s="3">
        <v>0</v>
      </c>
      <c r="P906">
        <v>22</v>
      </c>
      <c r="Q906">
        <v>8.5</v>
      </c>
      <c r="R906" t="s">
        <v>948</v>
      </c>
      <c r="S906">
        <v>0.01</v>
      </c>
      <c r="T906" s="6">
        <f>10^-(14-Q906)</f>
        <v>3.1622776601683767E-6</v>
      </c>
      <c r="U906" s="6">
        <v>0</v>
      </c>
      <c r="V906" s="6">
        <v>0</v>
      </c>
      <c r="W906" s="6">
        <v>0.01</v>
      </c>
      <c r="X906" s="6">
        <v>0</v>
      </c>
      <c r="Y906" t="s">
        <v>171</v>
      </c>
      <c r="AD906">
        <v>0.5</v>
      </c>
      <c r="AE906">
        <v>300</v>
      </c>
      <c r="AF906">
        <v>1</v>
      </c>
      <c r="AG906" s="9">
        <v>0.02</v>
      </c>
      <c r="AL906" s="9">
        <v>16.2</v>
      </c>
      <c r="AM906" s="9">
        <v>10.199999999999999</v>
      </c>
      <c r="AN906" s="9">
        <v>2.8</v>
      </c>
      <c r="AO906" s="9">
        <v>0.06</v>
      </c>
      <c r="AQ906" s="1"/>
    </row>
    <row r="907" spans="1:43" x14ac:dyDescent="0.3">
      <c r="A907" t="s">
        <v>959</v>
      </c>
      <c r="B907" t="s">
        <v>1617</v>
      </c>
      <c r="C907">
        <v>56</v>
      </c>
      <c r="D907" s="8" t="s">
        <v>1629</v>
      </c>
      <c r="E907">
        <v>14000</v>
      </c>
      <c r="G907" t="s">
        <v>903</v>
      </c>
      <c r="H907">
        <v>8.5</v>
      </c>
      <c r="I907" s="4">
        <v>-1</v>
      </c>
      <c r="J907" s="3">
        <v>8.3333333333333329E-2</v>
      </c>
      <c r="K907" s="4">
        <v>0.5</v>
      </c>
      <c r="L907" t="s">
        <v>172</v>
      </c>
      <c r="N907" s="3">
        <v>0.3</v>
      </c>
      <c r="O907" s="3">
        <v>0</v>
      </c>
      <c r="P907">
        <v>22</v>
      </c>
      <c r="Q907">
        <v>8.5</v>
      </c>
      <c r="R907" t="s">
        <v>949</v>
      </c>
      <c r="S907">
        <v>2.5000000000000001E-2</v>
      </c>
      <c r="T907" s="6">
        <f>10^-(14-Q907)</f>
        <v>3.1622776601683767E-6</v>
      </c>
      <c r="U907" s="6">
        <v>0</v>
      </c>
      <c r="V907" s="6">
        <v>0</v>
      </c>
      <c r="W907" s="6">
        <v>2.5000000000000001E-2</v>
      </c>
      <c r="X907" s="6">
        <v>0</v>
      </c>
      <c r="Y907" t="s">
        <v>171</v>
      </c>
      <c r="AD907">
        <v>0.5</v>
      </c>
      <c r="AE907">
        <v>270</v>
      </c>
      <c r="AF907">
        <v>1</v>
      </c>
      <c r="AG907" s="9">
        <v>0.02</v>
      </c>
      <c r="AL907" s="9">
        <v>16.2</v>
      </c>
      <c r="AM907" s="9">
        <v>10.199999999999999</v>
      </c>
      <c r="AN907" s="9">
        <v>2.8</v>
      </c>
      <c r="AO907" s="9">
        <v>0.06</v>
      </c>
      <c r="AQ907" s="1"/>
    </row>
    <row r="908" spans="1:43" x14ac:dyDescent="0.3">
      <c r="A908" t="s">
        <v>960</v>
      </c>
      <c r="B908" t="s">
        <v>1617</v>
      </c>
      <c r="C908">
        <v>56</v>
      </c>
      <c r="D908" s="8" t="s">
        <v>1629</v>
      </c>
      <c r="E908">
        <v>14000</v>
      </c>
      <c r="G908" t="s">
        <v>903</v>
      </c>
      <c r="H908">
        <v>8.5</v>
      </c>
      <c r="I908" s="4">
        <v>-1</v>
      </c>
      <c r="J908" s="3">
        <v>8.3333333333333329E-2</v>
      </c>
      <c r="K908" s="4">
        <v>0.5</v>
      </c>
      <c r="L908" t="s">
        <v>172</v>
      </c>
      <c r="N908" s="3">
        <v>0.3</v>
      </c>
      <c r="O908" s="3">
        <v>0</v>
      </c>
      <c r="P908">
        <v>22</v>
      </c>
      <c r="Q908">
        <v>8.5</v>
      </c>
      <c r="R908" t="s">
        <v>949</v>
      </c>
      <c r="S908">
        <v>2.5000000000000001E-2</v>
      </c>
      <c r="T908" s="6">
        <f>10^-(14-Q908)</f>
        <v>3.1622776601683767E-6</v>
      </c>
      <c r="U908" s="6">
        <v>0</v>
      </c>
      <c r="V908" s="6">
        <v>0</v>
      </c>
      <c r="W908" s="6">
        <v>2.5000000000000001E-2</v>
      </c>
      <c r="X908" s="6">
        <v>0</v>
      </c>
      <c r="Y908" t="s">
        <v>171</v>
      </c>
      <c r="AD908">
        <v>0.5</v>
      </c>
      <c r="AE908">
        <v>280</v>
      </c>
      <c r="AF908">
        <v>1</v>
      </c>
      <c r="AG908" s="9">
        <v>0.02</v>
      </c>
      <c r="AL908" s="9">
        <v>16.2</v>
      </c>
      <c r="AM908" s="9">
        <v>10.199999999999999</v>
      </c>
      <c r="AN908" s="9">
        <v>2.8</v>
      </c>
      <c r="AO908" s="9">
        <v>0.06</v>
      </c>
      <c r="AQ908" s="1"/>
    </row>
    <row r="909" spans="1:43" x14ac:dyDescent="0.3">
      <c r="A909" t="s">
        <v>961</v>
      </c>
      <c r="B909" t="s">
        <v>1617</v>
      </c>
      <c r="C909">
        <v>56</v>
      </c>
      <c r="D909" s="8" t="s">
        <v>1629</v>
      </c>
      <c r="E909">
        <v>14000</v>
      </c>
      <c r="G909" t="s">
        <v>903</v>
      </c>
      <c r="H909">
        <v>8.5</v>
      </c>
      <c r="I909" s="4">
        <v>-1</v>
      </c>
      <c r="J909" s="3">
        <v>8.3333333333333329E-2</v>
      </c>
      <c r="K909" s="4">
        <v>0.5</v>
      </c>
      <c r="L909" t="s">
        <v>172</v>
      </c>
      <c r="N909" s="3">
        <v>0.3</v>
      </c>
      <c r="O909" s="3">
        <v>0</v>
      </c>
      <c r="P909">
        <v>22</v>
      </c>
      <c r="Q909">
        <v>8.5</v>
      </c>
      <c r="R909" t="s">
        <v>949</v>
      </c>
      <c r="S909">
        <v>2.5000000000000001E-2</v>
      </c>
      <c r="T909" s="6">
        <f>10^-(14-Q909)</f>
        <v>3.1622776601683767E-6</v>
      </c>
      <c r="U909" s="6">
        <v>0</v>
      </c>
      <c r="V909" s="6">
        <v>0</v>
      </c>
      <c r="W909" s="6">
        <v>2.5000000000000001E-2</v>
      </c>
      <c r="X909" s="6">
        <v>0</v>
      </c>
      <c r="Y909" t="s">
        <v>171</v>
      </c>
      <c r="AD909">
        <v>0.5</v>
      </c>
      <c r="AE909">
        <v>320</v>
      </c>
      <c r="AF909">
        <v>1</v>
      </c>
      <c r="AG909" s="9">
        <v>0.02</v>
      </c>
      <c r="AL909" s="9">
        <v>16.2</v>
      </c>
      <c r="AM909" s="9">
        <v>10.199999999999999</v>
      </c>
      <c r="AN909" s="9">
        <v>2.8</v>
      </c>
      <c r="AO909" s="9">
        <v>0.06</v>
      </c>
      <c r="AQ909" s="1"/>
    </row>
    <row r="910" spans="1:43" x14ac:dyDescent="0.3">
      <c r="A910" t="s">
        <v>962</v>
      </c>
      <c r="B910" t="s">
        <v>1617</v>
      </c>
      <c r="C910">
        <v>56</v>
      </c>
      <c r="D910" s="8" t="s">
        <v>1629</v>
      </c>
      <c r="E910">
        <v>14000</v>
      </c>
      <c r="G910" t="s">
        <v>903</v>
      </c>
      <c r="H910">
        <v>8.5</v>
      </c>
      <c r="I910" s="4">
        <v>-1</v>
      </c>
      <c r="J910" s="3">
        <v>8.3333333333333329E-2</v>
      </c>
      <c r="K910" s="4">
        <v>0.5</v>
      </c>
      <c r="L910" t="s">
        <v>172</v>
      </c>
      <c r="N910" s="3">
        <v>0.3</v>
      </c>
      <c r="O910" s="3">
        <v>0</v>
      </c>
      <c r="P910">
        <v>22</v>
      </c>
      <c r="Q910">
        <v>8.5</v>
      </c>
      <c r="R910" t="s">
        <v>948</v>
      </c>
      <c r="S910">
        <v>0.01</v>
      </c>
      <c r="T910" s="6">
        <f>10^-(14-Q910)</f>
        <v>3.1622776601683767E-6</v>
      </c>
      <c r="U910" s="6">
        <v>0</v>
      </c>
      <c r="V910" s="6">
        <v>0</v>
      </c>
      <c r="W910" s="6">
        <v>0.01</v>
      </c>
      <c r="X910" s="6">
        <v>0</v>
      </c>
      <c r="Y910" t="s">
        <v>171</v>
      </c>
      <c r="AD910">
        <v>0.5</v>
      </c>
      <c r="AE910">
        <v>270</v>
      </c>
      <c r="AF910">
        <v>1</v>
      </c>
      <c r="AG910" s="9">
        <v>0.02</v>
      </c>
      <c r="AL910" s="9">
        <v>16.2</v>
      </c>
      <c r="AM910" s="9">
        <v>10.199999999999999</v>
      </c>
      <c r="AN910" s="9">
        <v>2.8</v>
      </c>
      <c r="AO910" s="9">
        <v>0.06</v>
      </c>
      <c r="AQ910" s="1"/>
    </row>
    <row r="911" spans="1:43" x14ac:dyDescent="0.3">
      <c r="A911" t="s">
        <v>963</v>
      </c>
      <c r="B911" t="s">
        <v>1617</v>
      </c>
      <c r="C911">
        <v>56</v>
      </c>
      <c r="D911" s="8" t="s">
        <v>1629</v>
      </c>
      <c r="E911">
        <v>14000</v>
      </c>
      <c r="G911" t="s">
        <v>903</v>
      </c>
      <c r="H911">
        <v>8.5</v>
      </c>
      <c r="I911" s="4">
        <v>-1</v>
      </c>
      <c r="J911" s="3">
        <v>8.3333333333333329E-2</v>
      </c>
      <c r="K911" s="4">
        <v>0.5</v>
      </c>
      <c r="L911" t="s">
        <v>172</v>
      </c>
      <c r="N911" s="3">
        <v>0.3</v>
      </c>
      <c r="O911" s="3">
        <v>0</v>
      </c>
      <c r="P911">
        <v>22</v>
      </c>
      <c r="Q911">
        <v>8.5</v>
      </c>
      <c r="R911" t="s">
        <v>948</v>
      </c>
      <c r="S911">
        <v>0.01</v>
      </c>
      <c r="T911" s="6">
        <f>10^-(14-Q911)</f>
        <v>3.1622776601683767E-6</v>
      </c>
      <c r="U911" s="6">
        <v>0</v>
      </c>
      <c r="V911" s="6">
        <v>0</v>
      </c>
      <c r="W911" s="6">
        <v>0.01</v>
      </c>
      <c r="X911" s="6">
        <v>0</v>
      </c>
      <c r="Y911" t="s">
        <v>171</v>
      </c>
      <c r="AD911">
        <v>0.5</v>
      </c>
      <c r="AE911">
        <v>280</v>
      </c>
      <c r="AF911">
        <v>1</v>
      </c>
      <c r="AG911" s="9">
        <v>0.02</v>
      </c>
      <c r="AL911" s="9">
        <v>16.2</v>
      </c>
      <c r="AM911" s="9">
        <v>10.199999999999999</v>
      </c>
      <c r="AN911" s="9">
        <v>2.8</v>
      </c>
      <c r="AO911" s="9">
        <v>0.06</v>
      </c>
      <c r="AQ911" s="1"/>
    </row>
    <row r="912" spans="1:43" x14ac:dyDescent="0.3">
      <c r="A912" t="s">
        <v>964</v>
      </c>
      <c r="B912" t="s">
        <v>1617</v>
      </c>
      <c r="C912">
        <v>56</v>
      </c>
      <c r="D912" s="8" t="s">
        <v>1629</v>
      </c>
      <c r="E912">
        <v>14000</v>
      </c>
      <c r="G912" t="s">
        <v>903</v>
      </c>
      <c r="H912">
        <v>8.5</v>
      </c>
      <c r="I912" s="4">
        <v>-1</v>
      </c>
      <c r="J912" s="3">
        <v>8.3333333333333329E-2</v>
      </c>
      <c r="K912" s="4">
        <v>0.5</v>
      </c>
      <c r="L912" t="s">
        <v>172</v>
      </c>
      <c r="N912" s="3">
        <v>0.3</v>
      </c>
      <c r="O912" s="3">
        <v>0</v>
      </c>
      <c r="P912">
        <v>22</v>
      </c>
      <c r="Q912">
        <v>8.5</v>
      </c>
      <c r="R912" t="s">
        <v>948</v>
      </c>
      <c r="S912">
        <v>0.01</v>
      </c>
      <c r="T912" s="6">
        <f>10^-(14-Q912)</f>
        <v>3.1622776601683767E-6</v>
      </c>
      <c r="U912" s="6">
        <v>0</v>
      </c>
      <c r="V912" s="6">
        <v>0</v>
      </c>
      <c r="W912" s="6">
        <v>0.01</v>
      </c>
      <c r="X912" s="6">
        <v>0</v>
      </c>
      <c r="Y912" t="s">
        <v>171</v>
      </c>
      <c r="AD912">
        <v>0.5</v>
      </c>
      <c r="AE912">
        <v>320</v>
      </c>
      <c r="AF912">
        <v>1</v>
      </c>
      <c r="AG912" s="9">
        <v>0.02</v>
      </c>
      <c r="AL912" s="9">
        <v>16.2</v>
      </c>
      <c r="AM912" s="9">
        <v>10.199999999999999</v>
      </c>
      <c r="AN912" s="9">
        <v>2.8</v>
      </c>
      <c r="AO912" s="9">
        <v>0.06</v>
      </c>
      <c r="AQ912" s="1"/>
    </row>
    <row r="913" spans="1:43" x14ac:dyDescent="0.3">
      <c r="A913" t="s">
        <v>965</v>
      </c>
      <c r="B913" t="s">
        <v>1617</v>
      </c>
      <c r="C913">
        <v>56</v>
      </c>
      <c r="D913" s="8" t="s">
        <v>1629</v>
      </c>
      <c r="E913">
        <v>14000</v>
      </c>
      <c r="G913" t="s">
        <v>903</v>
      </c>
      <c r="H913">
        <v>8.5</v>
      </c>
      <c r="I913" s="4">
        <v>-1</v>
      </c>
      <c r="J913" s="3">
        <v>8.3333333333333329E-2</v>
      </c>
      <c r="K913" s="4">
        <v>0.5</v>
      </c>
      <c r="L913" t="s">
        <v>172</v>
      </c>
      <c r="N913" s="3">
        <v>0.1</v>
      </c>
      <c r="O913" s="3">
        <v>0</v>
      </c>
      <c r="P913">
        <v>22</v>
      </c>
      <c r="Q913">
        <v>8.5</v>
      </c>
      <c r="R913" t="s">
        <v>948</v>
      </c>
      <c r="S913">
        <v>0.01</v>
      </c>
      <c r="T913" s="6">
        <f>10^-(14-Q913)</f>
        <v>3.1622776601683767E-6</v>
      </c>
      <c r="U913" s="6">
        <v>0</v>
      </c>
      <c r="V913" s="6">
        <v>0</v>
      </c>
      <c r="W913" s="6">
        <v>0.01</v>
      </c>
      <c r="X913" s="6">
        <v>0</v>
      </c>
      <c r="Y913" t="s">
        <v>171</v>
      </c>
      <c r="AD913">
        <v>0.5</v>
      </c>
      <c r="AE913">
        <v>360</v>
      </c>
      <c r="AF913">
        <v>1</v>
      </c>
      <c r="AG913" s="9">
        <v>0.02</v>
      </c>
      <c r="AL913" s="9">
        <v>16.2</v>
      </c>
      <c r="AM913" s="9">
        <v>10.199999999999999</v>
      </c>
      <c r="AN913" s="9">
        <v>2.8</v>
      </c>
      <c r="AO913" s="9">
        <v>0.06</v>
      </c>
      <c r="AQ913" s="1"/>
    </row>
    <row r="914" spans="1:43" x14ac:dyDescent="0.3">
      <c r="A914" t="s">
        <v>966</v>
      </c>
      <c r="B914" t="s">
        <v>1617</v>
      </c>
      <c r="C914">
        <v>56</v>
      </c>
      <c r="D914" s="8" t="s">
        <v>1629</v>
      </c>
      <c r="E914">
        <v>14000</v>
      </c>
      <c r="G914" t="s">
        <v>903</v>
      </c>
      <c r="H914">
        <v>8.5</v>
      </c>
      <c r="I914" s="4">
        <v>-1</v>
      </c>
      <c r="J914" s="3">
        <v>8.3333333333333329E-2</v>
      </c>
      <c r="K914" s="4">
        <v>0.5</v>
      </c>
      <c r="L914" t="s">
        <v>172</v>
      </c>
      <c r="N914" s="3">
        <v>0.1</v>
      </c>
      <c r="O914" s="3">
        <v>0</v>
      </c>
      <c r="P914">
        <v>22</v>
      </c>
      <c r="Q914">
        <v>8.5</v>
      </c>
      <c r="R914" t="s">
        <v>948</v>
      </c>
      <c r="S914">
        <v>0.01</v>
      </c>
      <c r="T914" s="6">
        <f>10^-(14-Q914)</f>
        <v>3.1622776601683767E-6</v>
      </c>
      <c r="U914" s="6">
        <v>0</v>
      </c>
      <c r="V914" s="6">
        <v>0</v>
      </c>
      <c r="W914" s="6">
        <v>0.01</v>
      </c>
      <c r="X914" s="6">
        <v>0</v>
      </c>
      <c r="Y914" t="s">
        <v>171</v>
      </c>
      <c r="AD914">
        <v>0.5</v>
      </c>
      <c r="AE914">
        <v>370</v>
      </c>
      <c r="AF914">
        <v>1</v>
      </c>
      <c r="AG914" s="9">
        <v>0.02</v>
      </c>
      <c r="AL914" s="9">
        <v>16.2</v>
      </c>
      <c r="AM914" s="9">
        <v>10.199999999999999</v>
      </c>
      <c r="AN914" s="9">
        <v>2.8</v>
      </c>
      <c r="AO914" s="9">
        <v>0.06</v>
      </c>
      <c r="AQ914" s="1"/>
    </row>
    <row r="915" spans="1:43" x14ac:dyDescent="0.3">
      <c r="A915" t="s">
        <v>967</v>
      </c>
      <c r="B915" t="s">
        <v>1617</v>
      </c>
      <c r="C915">
        <v>56</v>
      </c>
      <c r="D915" s="8" t="s">
        <v>1629</v>
      </c>
      <c r="E915">
        <v>14000</v>
      </c>
      <c r="G915" t="s">
        <v>903</v>
      </c>
      <c r="H915">
        <v>8.5</v>
      </c>
      <c r="I915" s="4">
        <v>-1</v>
      </c>
      <c r="J915" s="3">
        <v>8.3333333333333329E-2</v>
      </c>
      <c r="K915" s="4">
        <v>0.5</v>
      </c>
      <c r="L915" t="s">
        <v>172</v>
      </c>
      <c r="N915" s="3">
        <v>0.1</v>
      </c>
      <c r="O915" s="3">
        <v>0</v>
      </c>
      <c r="P915">
        <v>22</v>
      </c>
      <c r="Q915">
        <v>8.5</v>
      </c>
      <c r="R915" t="s">
        <v>948</v>
      </c>
      <c r="S915">
        <v>0.01</v>
      </c>
      <c r="T915" s="6">
        <f>10^-(14-Q915)</f>
        <v>3.1622776601683767E-6</v>
      </c>
      <c r="U915" s="6">
        <v>0</v>
      </c>
      <c r="V915" s="6">
        <v>0</v>
      </c>
      <c r="W915" s="6">
        <v>0.01</v>
      </c>
      <c r="X915" s="6">
        <v>0</v>
      </c>
      <c r="Y915" t="s">
        <v>171</v>
      </c>
      <c r="AD915">
        <v>0.5</v>
      </c>
      <c r="AE915">
        <v>380</v>
      </c>
      <c r="AF915">
        <v>1</v>
      </c>
      <c r="AG915" s="9">
        <v>0.02</v>
      </c>
      <c r="AL915" s="9">
        <v>16.2</v>
      </c>
      <c r="AM915" s="9">
        <v>10.199999999999999</v>
      </c>
      <c r="AN915" s="9">
        <v>2.8</v>
      </c>
      <c r="AO915" s="9">
        <v>0.06</v>
      </c>
      <c r="AQ915" s="1"/>
    </row>
    <row r="916" spans="1:43" x14ac:dyDescent="0.3">
      <c r="A916" t="s">
        <v>968</v>
      </c>
      <c r="B916" t="s">
        <v>1617</v>
      </c>
      <c r="C916">
        <v>56</v>
      </c>
      <c r="D916" s="8" t="s">
        <v>1629</v>
      </c>
      <c r="E916">
        <v>14000</v>
      </c>
      <c r="G916" t="s">
        <v>903</v>
      </c>
      <c r="H916">
        <v>8.5</v>
      </c>
      <c r="I916" s="4">
        <v>-1</v>
      </c>
      <c r="J916" s="3">
        <v>8.3333333333333329E-2</v>
      </c>
      <c r="K916" s="4">
        <v>0.5</v>
      </c>
      <c r="L916" t="s">
        <v>172</v>
      </c>
      <c r="N916" s="3">
        <v>1</v>
      </c>
      <c r="O916" s="3">
        <v>0</v>
      </c>
      <c r="P916">
        <v>22</v>
      </c>
      <c r="Q916">
        <v>8.5</v>
      </c>
      <c r="R916" t="s">
        <v>948</v>
      </c>
      <c r="S916">
        <v>0.01</v>
      </c>
      <c r="T916" s="6">
        <f>10^-(14-Q916)</f>
        <v>3.1622776601683767E-6</v>
      </c>
      <c r="U916" s="6">
        <v>0</v>
      </c>
      <c r="V916" s="6">
        <v>0</v>
      </c>
      <c r="W916" s="6">
        <v>0.01</v>
      </c>
      <c r="X916" s="6">
        <v>0</v>
      </c>
      <c r="Y916" t="s">
        <v>171</v>
      </c>
      <c r="AD916">
        <v>0.5</v>
      </c>
      <c r="AE916">
        <v>200</v>
      </c>
      <c r="AF916">
        <v>1</v>
      </c>
      <c r="AG916" s="9">
        <v>0.02</v>
      </c>
      <c r="AL916" s="9">
        <v>16.2</v>
      </c>
      <c r="AM916" s="9">
        <v>10.199999999999999</v>
      </c>
      <c r="AN916" s="9">
        <v>2.8</v>
      </c>
      <c r="AO916" s="9">
        <v>0.06</v>
      </c>
      <c r="AQ916" s="1"/>
    </row>
    <row r="917" spans="1:43" x14ac:dyDescent="0.3">
      <c r="A917" t="s">
        <v>969</v>
      </c>
      <c r="B917" t="s">
        <v>1617</v>
      </c>
      <c r="C917">
        <v>56</v>
      </c>
      <c r="D917" s="8" t="s">
        <v>1629</v>
      </c>
      <c r="E917">
        <v>14000</v>
      </c>
      <c r="G917" t="s">
        <v>903</v>
      </c>
      <c r="H917">
        <v>8.5</v>
      </c>
      <c r="I917" s="4">
        <v>-1</v>
      </c>
      <c r="J917" s="3">
        <v>8.3333333333333329E-2</v>
      </c>
      <c r="K917" s="4">
        <v>0.5</v>
      </c>
      <c r="L917" t="s">
        <v>172</v>
      </c>
      <c r="N917" s="3">
        <v>1</v>
      </c>
      <c r="O917" s="3">
        <v>0</v>
      </c>
      <c r="P917">
        <v>22</v>
      </c>
      <c r="Q917">
        <v>8.5</v>
      </c>
      <c r="R917" t="s">
        <v>948</v>
      </c>
      <c r="S917">
        <v>0.01</v>
      </c>
      <c r="T917" s="6">
        <f>10^-(14-Q917)</f>
        <v>3.1622776601683767E-6</v>
      </c>
      <c r="U917" s="6">
        <v>0</v>
      </c>
      <c r="V917" s="6">
        <v>0</v>
      </c>
      <c r="W917" s="6">
        <v>0.01</v>
      </c>
      <c r="X917" s="6">
        <v>0</v>
      </c>
      <c r="Y917" t="s">
        <v>171</v>
      </c>
      <c r="AD917">
        <v>0.5</v>
      </c>
      <c r="AE917">
        <v>200</v>
      </c>
      <c r="AF917">
        <v>1</v>
      </c>
      <c r="AG917" s="9">
        <v>0.02</v>
      </c>
      <c r="AL917" s="9">
        <v>16.2</v>
      </c>
      <c r="AM917" s="9">
        <v>10.199999999999999</v>
      </c>
      <c r="AN917" s="9">
        <v>2.8</v>
      </c>
      <c r="AO917" s="9">
        <v>0.06</v>
      </c>
      <c r="AQ917" s="1"/>
    </row>
    <row r="918" spans="1:43" x14ac:dyDescent="0.3">
      <c r="A918" t="s">
        <v>970</v>
      </c>
      <c r="B918" t="s">
        <v>1617</v>
      </c>
      <c r="C918">
        <v>56</v>
      </c>
      <c r="D918" s="8" t="s">
        <v>1629</v>
      </c>
      <c r="E918">
        <v>14000</v>
      </c>
      <c r="G918" t="s">
        <v>903</v>
      </c>
      <c r="H918">
        <v>8.5</v>
      </c>
      <c r="I918" s="4">
        <v>-1</v>
      </c>
      <c r="J918" s="3">
        <v>8.3333333333333329E-2</v>
      </c>
      <c r="K918" s="4">
        <v>0.5</v>
      </c>
      <c r="L918" t="s">
        <v>172</v>
      </c>
      <c r="N918" s="3">
        <v>1</v>
      </c>
      <c r="O918" s="3">
        <v>0</v>
      </c>
      <c r="P918">
        <v>22</v>
      </c>
      <c r="Q918">
        <v>8.5</v>
      </c>
      <c r="R918" t="s">
        <v>948</v>
      </c>
      <c r="S918">
        <v>0.01</v>
      </c>
      <c r="T918" s="6">
        <f>10^-(14-Q918)</f>
        <v>3.1622776601683767E-6</v>
      </c>
      <c r="U918" s="6">
        <v>0</v>
      </c>
      <c r="V918" s="6">
        <v>0</v>
      </c>
      <c r="W918" s="6">
        <v>0.01</v>
      </c>
      <c r="X918" s="6">
        <v>0</v>
      </c>
      <c r="Y918" t="s">
        <v>171</v>
      </c>
      <c r="AD918">
        <v>0.5</v>
      </c>
      <c r="AE918">
        <v>180</v>
      </c>
      <c r="AF918">
        <v>1</v>
      </c>
      <c r="AG918" s="9">
        <v>0.02</v>
      </c>
      <c r="AL918" s="9">
        <v>16.2</v>
      </c>
      <c r="AM918" s="9">
        <v>10.199999999999999</v>
      </c>
      <c r="AN918" s="9">
        <v>2.8</v>
      </c>
      <c r="AO918" s="9">
        <v>0.06</v>
      </c>
      <c r="AQ918" s="1"/>
    </row>
    <row r="919" spans="1:43" x14ac:dyDescent="0.3">
      <c r="A919" t="s">
        <v>971</v>
      </c>
      <c r="B919" t="s">
        <v>1617</v>
      </c>
      <c r="C919">
        <v>56</v>
      </c>
      <c r="D919" s="8" t="s">
        <v>1629</v>
      </c>
      <c r="E919">
        <v>14000</v>
      </c>
      <c r="G919" t="s">
        <v>903</v>
      </c>
      <c r="H919">
        <v>8.5</v>
      </c>
      <c r="I919" s="4">
        <v>-1</v>
      </c>
      <c r="J919" s="3">
        <v>8.3333333333333329E-2</v>
      </c>
      <c r="K919" s="4">
        <v>0.5</v>
      </c>
      <c r="L919" t="s">
        <v>172</v>
      </c>
      <c r="N919" s="3">
        <v>0.01</v>
      </c>
      <c r="O919" s="3">
        <v>0</v>
      </c>
      <c r="P919">
        <v>22</v>
      </c>
      <c r="Q919">
        <v>8.5</v>
      </c>
      <c r="R919" t="s">
        <v>102</v>
      </c>
      <c r="S919">
        <v>0</v>
      </c>
      <c r="T919" s="6">
        <f>10^-(14-Q919)</f>
        <v>3.1622776601683767E-6</v>
      </c>
      <c r="U919" s="6">
        <v>0</v>
      </c>
      <c r="V919" s="6">
        <v>0</v>
      </c>
      <c r="W919" s="6">
        <v>0</v>
      </c>
      <c r="X919" s="6">
        <v>0</v>
      </c>
      <c r="Y919" t="s">
        <v>171</v>
      </c>
      <c r="AD919">
        <v>0.5</v>
      </c>
      <c r="AE919">
        <v>440</v>
      </c>
      <c r="AF919">
        <v>1</v>
      </c>
      <c r="AG919" s="9">
        <v>0.02</v>
      </c>
      <c r="AL919" s="9">
        <v>16.2</v>
      </c>
      <c r="AM919" s="9">
        <v>10.199999999999999</v>
      </c>
      <c r="AN919" s="9">
        <v>2.8</v>
      </c>
      <c r="AO919" s="9">
        <v>0.06</v>
      </c>
      <c r="AQ919" s="1"/>
    </row>
    <row r="920" spans="1:43" x14ac:dyDescent="0.3">
      <c r="A920" t="s">
        <v>972</v>
      </c>
      <c r="B920" t="s">
        <v>1617</v>
      </c>
      <c r="C920">
        <v>56</v>
      </c>
      <c r="D920" s="8" t="s">
        <v>1629</v>
      </c>
      <c r="E920">
        <v>14000</v>
      </c>
      <c r="G920" t="s">
        <v>903</v>
      </c>
      <c r="H920">
        <v>8.5</v>
      </c>
      <c r="I920" s="4">
        <v>-1</v>
      </c>
      <c r="J920" s="3">
        <v>8.3333333333333329E-2</v>
      </c>
      <c r="K920" s="4">
        <v>0.5</v>
      </c>
      <c r="L920" t="s">
        <v>172</v>
      </c>
      <c r="N920" s="3">
        <v>0.01</v>
      </c>
      <c r="O920" s="3">
        <v>0</v>
      </c>
      <c r="P920">
        <v>22</v>
      </c>
      <c r="Q920">
        <v>8.5</v>
      </c>
      <c r="R920" t="s">
        <v>102</v>
      </c>
      <c r="S920">
        <v>0</v>
      </c>
      <c r="T920" s="6">
        <f>10^-(14-Q920)</f>
        <v>3.1622776601683767E-6</v>
      </c>
      <c r="U920" s="6">
        <v>0</v>
      </c>
      <c r="V920" s="6">
        <v>0</v>
      </c>
      <c r="W920" s="6">
        <v>0</v>
      </c>
      <c r="X920" s="6">
        <v>0</v>
      </c>
      <c r="Y920" t="s">
        <v>171</v>
      </c>
      <c r="AD920">
        <v>0.5</v>
      </c>
      <c r="AE920">
        <v>480</v>
      </c>
      <c r="AF920">
        <v>1</v>
      </c>
      <c r="AG920" s="9">
        <v>0.02</v>
      </c>
      <c r="AL920" s="9">
        <v>16.2</v>
      </c>
      <c r="AM920" s="9">
        <v>10.199999999999999</v>
      </c>
      <c r="AN920" s="9">
        <v>2.8</v>
      </c>
      <c r="AO920" s="9">
        <v>0.06</v>
      </c>
      <c r="AQ920" s="1"/>
    </row>
    <row r="921" spans="1:43" x14ac:dyDescent="0.3">
      <c r="A921" t="s">
        <v>973</v>
      </c>
      <c r="B921" t="s">
        <v>1617</v>
      </c>
      <c r="C921">
        <v>56</v>
      </c>
      <c r="D921" s="8" t="s">
        <v>1629</v>
      </c>
      <c r="E921">
        <v>14000</v>
      </c>
      <c r="G921" t="s">
        <v>903</v>
      </c>
      <c r="H921">
        <v>8.5</v>
      </c>
      <c r="I921" s="4">
        <v>-1</v>
      </c>
      <c r="J921" s="3">
        <v>8.3333333333333329E-2</v>
      </c>
      <c r="K921" s="4">
        <v>0.5</v>
      </c>
      <c r="L921" t="s">
        <v>172</v>
      </c>
      <c r="N921" s="3">
        <v>0.01</v>
      </c>
      <c r="O921" s="3">
        <v>0</v>
      </c>
      <c r="P921">
        <v>22</v>
      </c>
      <c r="Q921">
        <v>8.5</v>
      </c>
      <c r="R921" t="s">
        <v>102</v>
      </c>
      <c r="S921">
        <v>0</v>
      </c>
      <c r="T921" s="6">
        <f>10^-(14-Q921)</f>
        <v>3.1622776601683767E-6</v>
      </c>
      <c r="U921" s="6">
        <v>0</v>
      </c>
      <c r="V921" s="6">
        <v>0</v>
      </c>
      <c r="W921" s="6">
        <v>0</v>
      </c>
      <c r="X921" s="6">
        <v>0</v>
      </c>
      <c r="Y921" t="s">
        <v>171</v>
      </c>
      <c r="AD921">
        <v>0.5</v>
      </c>
      <c r="AE921">
        <v>520</v>
      </c>
      <c r="AF921">
        <v>1</v>
      </c>
      <c r="AG921" s="9">
        <v>0.02</v>
      </c>
      <c r="AL921" s="9">
        <v>16.2</v>
      </c>
      <c r="AM921" s="9">
        <v>10.199999999999999</v>
      </c>
      <c r="AN921" s="9">
        <v>2.8</v>
      </c>
      <c r="AO921" s="9">
        <v>0.06</v>
      </c>
      <c r="AQ921" s="1"/>
    </row>
    <row r="922" spans="1:43" x14ac:dyDescent="0.3">
      <c r="A922" t="s">
        <v>974</v>
      </c>
      <c r="B922" t="s">
        <v>1617</v>
      </c>
      <c r="C922">
        <v>56</v>
      </c>
      <c r="D922" s="8" t="s">
        <v>1629</v>
      </c>
      <c r="E922">
        <v>14000</v>
      </c>
      <c r="G922" t="s">
        <v>903</v>
      </c>
      <c r="H922">
        <v>8.5</v>
      </c>
      <c r="I922" s="4">
        <v>-1</v>
      </c>
      <c r="J922" s="3">
        <v>8.3333333333333329E-2</v>
      </c>
      <c r="K922" s="4">
        <v>0.5</v>
      </c>
      <c r="L922" t="s">
        <v>172</v>
      </c>
      <c r="N922" s="3">
        <v>0.02</v>
      </c>
      <c r="O922" s="3">
        <v>0</v>
      </c>
      <c r="P922">
        <v>22</v>
      </c>
      <c r="Q922">
        <v>8.5</v>
      </c>
      <c r="R922" t="s">
        <v>102</v>
      </c>
      <c r="S922">
        <v>0</v>
      </c>
      <c r="T922" s="6">
        <f>10^-(14-Q922)</f>
        <v>3.1622776601683767E-6</v>
      </c>
      <c r="U922" s="6">
        <v>0</v>
      </c>
      <c r="V922" s="6">
        <v>0</v>
      </c>
      <c r="W922" s="6">
        <v>0</v>
      </c>
      <c r="X922" s="6">
        <v>0</v>
      </c>
      <c r="Y922" t="s">
        <v>171</v>
      </c>
      <c r="AD922">
        <v>0.5</v>
      </c>
      <c r="AE922">
        <v>390</v>
      </c>
      <c r="AF922">
        <v>1</v>
      </c>
      <c r="AG922" s="9">
        <v>0.02</v>
      </c>
      <c r="AL922" s="9">
        <v>16.2</v>
      </c>
      <c r="AM922" s="9">
        <v>10.199999999999999</v>
      </c>
      <c r="AN922" s="9">
        <v>2.8</v>
      </c>
      <c r="AO922" s="9">
        <v>0.06</v>
      </c>
      <c r="AQ922" s="1"/>
    </row>
    <row r="923" spans="1:43" x14ac:dyDescent="0.3">
      <c r="A923" t="s">
        <v>975</v>
      </c>
      <c r="B923" t="s">
        <v>1617</v>
      </c>
      <c r="C923">
        <v>56</v>
      </c>
      <c r="D923" s="8" t="s">
        <v>1629</v>
      </c>
      <c r="E923">
        <v>14000</v>
      </c>
      <c r="G923" t="s">
        <v>903</v>
      </c>
      <c r="H923">
        <v>8.5</v>
      </c>
      <c r="I923" s="4">
        <v>-1</v>
      </c>
      <c r="J923" s="3">
        <v>8.3333333333333329E-2</v>
      </c>
      <c r="K923" s="4">
        <v>0.5</v>
      </c>
      <c r="L923" t="s">
        <v>172</v>
      </c>
      <c r="N923" s="3">
        <v>0.02</v>
      </c>
      <c r="O923" s="3">
        <v>0</v>
      </c>
      <c r="P923">
        <v>22</v>
      </c>
      <c r="Q923">
        <v>8.5</v>
      </c>
      <c r="R923" t="s">
        <v>102</v>
      </c>
      <c r="S923">
        <v>0</v>
      </c>
      <c r="T923" s="6">
        <f>10^-(14-Q923)</f>
        <v>3.1622776601683767E-6</v>
      </c>
      <c r="U923" s="6">
        <v>0</v>
      </c>
      <c r="V923" s="6">
        <v>0</v>
      </c>
      <c r="W923" s="6">
        <v>0</v>
      </c>
      <c r="X923" s="6">
        <v>0</v>
      </c>
      <c r="Y923" t="s">
        <v>171</v>
      </c>
      <c r="AD923">
        <v>0.5</v>
      </c>
      <c r="AE923">
        <v>380</v>
      </c>
      <c r="AF923">
        <v>1</v>
      </c>
      <c r="AG923" s="9">
        <v>0.02</v>
      </c>
      <c r="AL923" s="9">
        <v>16.2</v>
      </c>
      <c r="AM923" s="9">
        <v>10.199999999999999</v>
      </c>
      <c r="AN923" s="9">
        <v>2.8</v>
      </c>
      <c r="AO923" s="9">
        <v>0.06</v>
      </c>
      <c r="AQ923" s="1"/>
    </row>
    <row r="924" spans="1:43" x14ac:dyDescent="0.3">
      <c r="A924" t="s">
        <v>976</v>
      </c>
      <c r="B924" t="s">
        <v>1617</v>
      </c>
      <c r="C924">
        <v>56</v>
      </c>
      <c r="D924" s="8" t="s">
        <v>1629</v>
      </c>
      <c r="E924">
        <v>14000</v>
      </c>
      <c r="G924" t="s">
        <v>903</v>
      </c>
      <c r="H924">
        <v>8.5</v>
      </c>
      <c r="I924" s="4">
        <v>-1</v>
      </c>
      <c r="J924" s="3">
        <v>8.3333333333333329E-2</v>
      </c>
      <c r="K924" s="4">
        <v>0.5</v>
      </c>
      <c r="L924" t="s">
        <v>172</v>
      </c>
      <c r="N924" s="3">
        <v>0.02</v>
      </c>
      <c r="O924" s="3">
        <v>0</v>
      </c>
      <c r="P924">
        <v>22</v>
      </c>
      <c r="Q924">
        <v>8.5</v>
      </c>
      <c r="R924" t="s">
        <v>102</v>
      </c>
      <c r="S924">
        <v>0</v>
      </c>
      <c r="T924" s="6">
        <f>10^-(14-Q924)</f>
        <v>3.1622776601683767E-6</v>
      </c>
      <c r="U924" s="6">
        <v>0</v>
      </c>
      <c r="V924" s="6">
        <v>0</v>
      </c>
      <c r="W924" s="6">
        <v>0</v>
      </c>
      <c r="X924" s="6">
        <v>0</v>
      </c>
      <c r="Y924" t="s">
        <v>171</v>
      </c>
      <c r="AD924">
        <v>0.5</v>
      </c>
      <c r="AE924">
        <v>330</v>
      </c>
      <c r="AF924">
        <v>1</v>
      </c>
      <c r="AG924" s="9">
        <v>0.02</v>
      </c>
      <c r="AL924" s="9">
        <v>16.2</v>
      </c>
      <c r="AM924" s="9">
        <v>10.199999999999999</v>
      </c>
      <c r="AN924" s="9">
        <v>2.8</v>
      </c>
      <c r="AO924" s="9">
        <v>0.06</v>
      </c>
      <c r="AQ924" s="1"/>
    </row>
    <row r="925" spans="1:43" x14ac:dyDescent="0.3">
      <c r="A925" t="s">
        <v>977</v>
      </c>
      <c r="B925" t="s">
        <v>1617</v>
      </c>
      <c r="C925">
        <v>56</v>
      </c>
      <c r="D925" s="8" t="s">
        <v>1629</v>
      </c>
      <c r="E925">
        <v>14000</v>
      </c>
      <c r="G925" t="s">
        <v>903</v>
      </c>
      <c r="H925">
        <v>8.5</v>
      </c>
      <c r="I925" s="4">
        <v>-1</v>
      </c>
      <c r="J925" s="3">
        <v>8.3333333333333329E-2</v>
      </c>
      <c r="K925" s="4">
        <v>0.5</v>
      </c>
      <c r="L925" t="s">
        <v>172</v>
      </c>
      <c r="N925" s="3">
        <v>0.2</v>
      </c>
      <c r="O925" s="3">
        <v>0</v>
      </c>
      <c r="P925">
        <v>22</v>
      </c>
      <c r="Q925">
        <v>8.5</v>
      </c>
      <c r="R925" t="s">
        <v>102</v>
      </c>
      <c r="S925">
        <v>0</v>
      </c>
      <c r="T925" s="6">
        <f>10^-(14-Q925)</f>
        <v>3.1622776601683767E-6</v>
      </c>
      <c r="U925" s="6">
        <v>0</v>
      </c>
      <c r="V925" s="6">
        <v>0</v>
      </c>
      <c r="W925" s="6">
        <v>0</v>
      </c>
      <c r="X925" s="6">
        <v>0</v>
      </c>
      <c r="Y925" t="s">
        <v>171</v>
      </c>
      <c r="AD925">
        <v>0.5</v>
      </c>
      <c r="AE925">
        <v>260</v>
      </c>
      <c r="AF925">
        <v>1</v>
      </c>
      <c r="AG925" s="9">
        <v>0.02</v>
      </c>
      <c r="AL925" s="9">
        <v>16.2</v>
      </c>
      <c r="AM925" s="9">
        <v>10.199999999999999</v>
      </c>
      <c r="AN925" s="9">
        <v>2.8</v>
      </c>
      <c r="AO925" s="9">
        <v>0.06</v>
      </c>
      <c r="AQ925" s="1"/>
    </row>
    <row r="926" spans="1:43" x14ac:dyDescent="0.3">
      <c r="A926" t="s">
        <v>978</v>
      </c>
      <c r="B926" t="s">
        <v>1617</v>
      </c>
      <c r="C926">
        <v>56</v>
      </c>
      <c r="D926" s="8" t="s">
        <v>1629</v>
      </c>
      <c r="E926">
        <v>14000</v>
      </c>
      <c r="G926" t="s">
        <v>903</v>
      </c>
      <c r="H926">
        <v>8.5</v>
      </c>
      <c r="I926" s="4">
        <v>-1</v>
      </c>
      <c r="J926" s="3">
        <v>8.3333333333333329E-2</v>
      </c>
      <c r="K926" s="4">
        <v>0.5</v>
      </c>
      <c r="L926" t="s">
        <v>172</v>
      </c>
      <c r="N926" s="3">
        <v>0.2</v>
      </c>
      <c r="O926" s="3">
        <v>0</v>
      </c>
      <c r="P926">
        <v>22</v>
      </c>
      <c r="Q926">
        <v>8.5</v>
      </c>
      <c r="R926" t="s">
        <v>102</v>
      </c>
      <c r="S926">
        <v>0</v>
      </c>
      <c r="T926" s="6">
        <f>10^-(14-Q926)</f>
        <v>3.1622776601683767E-6</v>
      </c>
      <c r="U926" s="6">
        <v>0</v>
      </c>
      <c r="V926" s="6">
        <v>0</v>
      </c>
      <c r="W926" s="6">
        <v>0</v>
      </c>
      <c r="X926" s="6">
        <v>0</v>
      </c>
      <c r="Y926" t="s">
        <v>171</v>
      </c>
      <c r="AD926">
        <v>0.5</v>
      </c>
      <c r="AE926">
        <v>240</v>
      </c>
      <c r="AF926">
        <v>1</v>
      </c>
      <c r="AG926" s="9">
        <v>0.02</v>
      </c>
      <c r="AL926" s="9">
        <v>16.2</v>
      </c>
      <c r="AM926" s="9">
        <v>10.199999999999999</v>
      </c>
      <c r="AN926" s="9">
        <v>2.8</v>
      </c>
      <c r="AO926" s="9">
        <v>0.06</v>
      </c>
      <c r="AQ926" s="1"/>
    </row>
    <row r="927" spans="1:43" x14ac:dyDescent="0.3">
      <c r="A927" t="s">
        <v>979</v>
      </c>
      <c r="B927" t="s">
        <v>1617</v>
      </c>
      <c r="C927">
        <v>56</v>
      </c>
      <c r="D927" s="8" t="s">
        <v>1629</v>
      </c>
      <c r="E927">
        <v>14000</v>
      </c>
      <c r="G927" t="s">
        <v>903</v>
      </c>
      <c r="H927">
        <v>8.5</v>
      </c>
      <c r="I927" s="4">
        <v>-1</v>
      </c>
      <c r="J927" s="3">
        <v>8.3333333333333329E-2</v>
      </c>
      <c r="K927" s="4">
        <v>0.5</v>
      </c>
      <c r="L927" t="s">
        <v>172</v>
      </c>
      <c r="N927" s="3">
        <v>0.2</v>
      </c>
      <c r="O927" s="3">
        <v>0</v>
      </c>
      <c r="P927">
        <v>22</v>
      </c>
      <c r="Q927">
        <v>8.5</v>
      </c>
      <c r="R927" t="s">
        <v>102</v>
      </c>
      <c r="S927">
        <v>0</v>
      </c>
      <c r="T927" s="6">
        <f>10^-(14-Q927)</f>
        <v>3.1622776601683767E-6</v>
      </c>
      <c r="U927" s="6">
        <v>0</v>
      </c>
      <c r="V927" s="6">
        <v>0</v>
      </c>
      <c r="W927" s="6">
        <v>0</v>
      </c>
      <c r="X927" s="6">
        <v>0</v>
      </c>
      <c r="Y927" t="s">
        <v>171</v>
      </c>
      <c r="AD927">
        <v>0.5</v>
      </c>
      <c r="AE927">
        <v>240</v>
      </c>
      <c r="AF927">
        <v>1</v>
      </c>
      <c r="AG927" s="9">
        <v>0.02</v>
      </c>
      <c r="AL927" s="9">
        <v>16.2</v>
      </c>
      <c r="AM927" s="9">
        <v>10.199999999999999</v>
      </c>
      <c r="AN927" s="9">
        <v>2.8</v>
      </c>
      <c r="AO927" s="9">
        <v>0.06</v>
      </c>
      <c r="AQ927" s="1"/>
    </row>
    <row r="928" spans="1:43" x14ac:dyDescent="0.3">
      <c r="A928" t="s">
        <v>980</v>
      </c>
      <c r="B928" t="s">
        <v>1617</v>
      </c>
      <c r="C928">
        <v>56</v>
      </c>
      <c r="D928" s="8" t="s">
        <v>1629</v>
      </c>
      <c r="E928">
        <v>14000</v>
      </c>
      <c r="G928" t="s">
        <v>903</v>
      </c>
      <c r="H928">
        <v>8.5</v>
      </c>
      <c r="I928" s="4">
        <v>-1</v>
      </c>
      <c r="J928" s="3">
        <v>8.3333333333333329E-2</v>
      </c>
      <c r="K928" s="4">
        <v>0.5</v>
      </c>
      <c r="L928" t="s">
        <v>172</v>
      </c>
      <c r="N928" s="3">
        <v>1</v>
      </c>
      <c r="O928" s="3">
        <v>0</v>
      </c>
      <c r="P928">
        <v>22</v>
      </c>
      <c r="Q928">
        <v>8.5</v>
      </c>
      <c r="R928" t="s">
        <v>102</v>
      </c>
      <c r="S928">
        <v>0</v>
      </c>
      <c r="T928" s="6">
        <f>10^-(14-Q928)</f>
        <v>3.1622776601683767E-6</v>
      </c>
      <c r="U928" s="6">
        <v>0</v>
      </c>
      <c r="V928" s="6">
        <v>0</v>
      </c>
      <c r="W928" s="6">
        <v>0</v>
      </c>
      <c r="X928" s="6">
        <v>0</v>
      </c>
      <c r="Y928" t="s">
        <v>171</v>
      </c>
      <c r="AD928">
        <v>0.5</v>
      </c>
      <c r="AE928">
        <v>130</v>
      </c>
      <c r="AF928">
        <v>1</v>
      </c>
      <c r="AG928" s="9">
        <v>0.02</v>
      </c>
      <c r="AL928" s="9">
        <v>16.2</v>
      </c>
      <c r="AM928" s="9">
        <v>10.199999999999999</v>
      </c>
      <c r="AN928" s="9">
        <v>2.8</v>
      </c>
      <c r="AO928" s="9">
        <v>0.06</v>
      </c>
      <c r="AQ928" s="1"/>
    </row>
    <row r="929" spans="1:43" x14ac:dyDescent="0.3">
      <c r="A929" t="s">
        <v>981</v>
      </c>
      <c r="B929" t="s">
        <v>1617</v>
      </c>
      <c r="C929">
        <v>56</v>
      </c>
      <c r="D929" s="8" t="s">
        <v>1629</v>
      </c>
      <c r="E929">
        <v>14000</v>
      </c>
      <c r="G929" t="s">
        <v>903</v>
      </c>
      <c r="H929">
        <v>8.5</v>
      </c>
      <c r="I929" s="4">
        <v>-1</v>
      </c>
      <c r="J929" s="3">
        <v>8.3333333333333329E-2</v>
      </c>
      <c r="K929" s="4">
        <v>0.5</v>
      </c>
      <c r="L929" t="s">
        <v>172</v>
      </c>
      <c r="N929" s="3">
        <v>1</v>
      </c>
      <c r="O929" s="3">
        <v>0</v>
      </c>
      <c r="P929">
        <v>22</v>
      </c>
      <c r="Q929">
        <v>8.5</v>
      </c>
      <c r="R929" t="s">
        <v>102</v>
      </c>
      <c r="S929">
        <v>0</v>
      </c>
      <c r="T929" s="6">
        <f>10^-(14-Q929)</f>
        <v>3.1622776601683767E-6</v>
      </c>
      <c r="U929" s="6">
        <v>0</v>
      </c>
      <c r="V929" s="6">
        <v>0</v>
      </c>
      <c r="W929" s="6">
        <v>0</v>
      </c>
      <c r="X929" s="6">
        <v>0</v>
      </c>
      <c r="Y929" t="s">
        <v>171</v>
      </c>
      <c r="AD929">
        <v>0.5</v>
      </c>
      <c r="AE929">
        <v>150</v>
      </c>
      <c r="AF929">
        <v>1</v>
      </c>
      <c r="AG929" s="9">
        <v>0.02</v>
      </c>
      <c r="AL929" s="9">
        <v>16.2</v>
      </c>
      <c r="AM929" s="9">
        <v>10.199999999999999</v>
      </c>
      <c r="AN929" s="9">
        <v>2.8</v>
      </c>
      <c r="AO929" s="9">
        <v>0.06</v>
      </c>
      <c r="AQ929" s="1"/>
    </row>
    <row r="930" spans="1:43" x14ac:dyDescent="0.3">
      <c r="A930" t="s">
        <v>982</v>
      </c>
      <c r="B930" t="s">
        <v>1617</v>
      </c>
      <c r="C930">
        <v>56</v>
      </c>
      <c r="D930" s="8" t="s">
        <v>1629</v>
      </c>
      <c r="E930">
        <v>14000</v>
      </c>
      <c r="G930" t="s">
        <v>903</v>
      </c>
      <c r="H930">
        <v>8.5</v>
      </c>
      <c r="I930" s="4">
        <v>-1</v>
      </c>
      <c r="J930" s="3">
        <v>8.3333333333333329E-2</v>
      </c>
      <c r="K930" s="4">
        <v>0.5</v>
      </c>
      <c r="L930" t="s">
        <v>172</v>
      </c>
      <c r="N930" s="3">
        <v>1</v>
      </c>
      <c r="O930" s="3">
        <v>0</v>
      </c>
      <c r="P930">
        <v>22</v>
      </c>
      <c r="Q930">
        <v>8.5</v>
      </c>
      <c r="R930" t="s">
        <v>102</v>
      </c>
      <c r="S930">
        <v>0</v>
      </c>
      <c r="T930" s="6">
        <f>10^-(14-Q930)</f>
        <v>3.1622776601683767E-6</v>
      </c>
      <c r="U930" s="6">
        <v>0</v>
      </c>
      <c r="V930" s="6">
        <v>0</v>
      </c>
      <c r="W930" s="6">
        <v>0</v>
      </c>
      <c r="X930" s="6">
        <v>0</v>
      </c>
      <c r="Y930" t="s">
        <v>171</v>
      </c>
      <c r="AD930">
        <v>0.5</v>
      </c>
      <c r="AE930">
        <v>160</v>
      </c>
      <c r="AF930">
        <v>1</v>
      </c>
      <c r="AG930" s="9">
        <v>0.02</v>
      </c>
      <c r="AL930" s="9">
        <v>16.2</v>
      </c>
      <c r="AM930" s="9">
        <v>10.199999999999999</v>
      </c>
      <c r="AN930" s="9">
        <v>2.8</v>
      </c>
      <c r="AO930" s="9">
        <v>0.06</v>
      </c>
      <c r="AQ930" s="1"/>
    </row>
    <row r="931" spans="1:43" x14ac:dyDescent="0.3">
      <c r="A931" t="s">
        <v>1396</v>
      </c>
      <c r="B931" s="8" t="s">
        <v>1591</v>
      </c>
      <c r="C931">
        <v>57</v>
      </c>
      <c r="D931" s="8">
        <v>1.4300999999999999</v>
      </c>
      <c r="E931">
        <v>1000</v>
      </c>
      <c r="G931" t="s">
        <v>29</v>
      </c>
      <c r="H931" t="s">
        <v>987</v>
      </c>
      <c r="N931" s="3">
        <v>1.8244170096021945E-3</v>
      </c>
      <c r="O931" s="3">
        <v>0</v>
      </c>
      <c r="P931">
        <v>60</v>
      </c>
      <c r="Q931">
        <v>7</v>
      </c>
      <c r="R931" t="s">
        <v>1375</v>
      </c>
      <c r="S931">
        <v>0</v>
      </c>
      <c r="T931" s="6">
        <f>10^-(14-Q931)</f>
        <v>9.9999999999999995E-8</v>
      </c>
      <c r="U931" s="6">
        <v>0</v>
      </c>
      <c r="V931" s="6">
        <v>0</v>
      </c>
      <c r="W931" s="6">
        <v>0</v>
      </c>
      <c r="X931" s="6">
        <v>0</v>
      </c>
      <c r="Y931" t="s">
        <v>171</v>
      </c>
      <c r="Z931" s="5">
        <v>-200</v>
      </c>
      <c r="AB931" s="2">
        <v>11.4</v>
      </c>
      <c r="AC931" s="2">
        <f>600-AB931/10.4*400</f>
        <v>161.53846153846149</v>
      </c>
      <c r="AD931">
        <v>0.33333333333333331</v>
      </c>
      <c r="AE931" s="1">
        <v>475</v>
      </c>
      <c r="AF931">
        <v>1</v>
      </c>
      <c r="AG931" s="9">
        <v>0.05</v>
      </c>
      <c r="AH931" s="9">
        <v>1.38</v>
      </c>
      <c r="AI931" s="9">
        <v>0.49</v>
      </c>
      <c r="AJ931" s="9">
        <v>0.02</v>
      </c>
      <c r="AK931" s="9">
        <v>1E-3</v>
      </c>
      <c r="AL931" s="9">
        <v>17.079999999999998</v>
      </c>
      <c r="AM931" s="9">
        <v>8.01</v>
      </c>
      <c r="AO931" s="9" t="s">
        <v>987</v>
      </c>
      <c r="AQ931" s="1"/>
    </row>
    <row r="932" spans="1:43" x14ac:dyDescent="0.3">
      <c r="A932" t="s">
        <v>1397</v>
      </c>
      <c r="B932" s="8" t="s">
        <v>1591</v>
      </c>
      <c r="C932">
        <v>57</v>
      </c>
      <c r="D932" s="8">
        <v>1.4300999999999999</v>
      </c>
      <c r="E932">
        <v>1000</v>
      </c>
      <c r="G932" t="s">
        <v>29</v>
      </c>
      <c r="H932" t="s">
        <v>987</v>
      </c>
      <c r="N932" s="3">
        <v>4.8696844993141282E-3</v>
      </c>
      <c r="O932" s="3">
        <v>0</v>
      </c>
      <c r="P932">
        <v>60</v>
      </c>
      <c r="Q932">
        <v>7</v>
      </c>
      <c r="R932" t="s">
        <v>1375</v>
      </c>
      <c r="S932">
        <v>0</v>
      </c>
      <c r="T932" s="6">
        <f>10^-(14-Q932)</f>
        <v>9.9999999999999995E-8</v>
      </c>
      <c r="U932" s="6">
        <v>0</v>
      </c>
      <c r="V932" s="6">
        <v>0</v>
      </c>
      <c r="W932" s="6">
        <v>0</v>
      </c>
      <c r="X932" s="6">
        <v>0</v>
      </c>
      <c r="Y932" t="s">
        <v>171</v>
      </c>
      <c r="Z932" s="5">
        <v>-200</v>
      </c>
      <c r="AD932">
        <v>0.33333333333333331</v>
      </c>
      <c r="AE932" s="1">
        <v>450</v>
      </c>
      <c r="AF932">
        <v>1</v>
      </c>
      <c r="AG932" s="9">
        <v>0.05</v>
      </c>
      <c r="AH932" s="9">
        <v>1.38</v>
      </c>
      <c r="AI932" s="9">
        <v>0.49</v>
      </c>
      <c r="AJ932" s="9">
        <v>0.02</v>
      </c>
      <c r="AK932" s="9">
        <v>1E-3</v>
      </c>
      <c r="AL932" s="9">
        <v>17.079999999999998</v>
      </c>
      <c r="AM932" s="9">
        <v>8.01</v>
      </c>
      <c r="AO932" s="9" t="s">
        <v>987</v>
      </c>
      <c r="AQ932" s="1"/>
    </row>
    <row r="933" spans="1:43" x14ac:dyDescent="0.3">
      <c r="A933" t="s">
        <v>1398</v>
      </c>
      <c r="B933" s="8" t="s">
        <v>1591</v>
      </c>
      <c r="C933">
        <v>57</v>
      </c>
      <c r="D933" s="8">
        <v>1.4300999999999999</v>
      </c>
      <c r="E933">
        <v>1000</v>
      </c>
      <c r="G933" t="s">
        <v>29</v>
      </c>
      <c r="H933" t="s">
        <v>987</v>
      </c>
      <c r="N933" s="3">
        <v>7.3113854595336075E-3</v>
      </c>
      <c r="O933" s="3">
        <v>0</v>
      </c>
      <c r="P933">
        <v>60</v>
      </c>
      <c r="Q933">
        <v>7</v>
      </c>
      <c r="R933" t="s">
        <v>1375</v>
      </c>
      <c r="S933">
        <v>0</v>
      </c>
      <c r="T933" s="6">
        <f>10^-(14-Q933)</f>
        <v>9.9999999999999995E-8</v>
      </c>
      <c r="U933" s="6">
        <v>0</v>
      </c>
      <c r="V933" s="6">
        <v>0</v>
      </c>
      <c r="W933" s="6">
        <v>0</v>
      </c>
      <c r="X933" s="6">
        <v>0</v>
      </c>
      <c r="Y933" t="s">
        <v>171</v>
      </c>
      <c r="Z933" s="5">
        <v>-200</v>
      </c>
      <c r="AD933">
        <v>0.33333333333333331</v>
      </c>
      <c r="AE933" s="1">
        <v>370</v>
      </c>
      <c r="AF933">
        <v>1</v>
      </c>
      <c r="AG933" s="9">
        <v>0.05</v>
      </c>
      <c r="AH933" s="9">
        <v>1.38</v>
      </c>
      <c r="AI933" s="9">
        <v>0.49</v>
      </c>
      <c r="AJ933" s="9">
        <v>0.02</v>
      </c>
      <c r="AK933" s="9">
        <v>1E-3</v>
      </c>
      <c r="AL933" s="9">
        <v>17.079999999999998</v>
      </c>
      <c r="AM933" s="9">
        <v>8.01</v>
      </c>
      <c r="AO933" s="9" t="s">
        <v>987</v>
      </c>
      <c r="AQ933" s="1"/>
    </row>
    <row r="934" spans="1:43" x14ac:dyDescent="0.3">
      <c r="A934" t="s">
        <v>1399</v>
      </c>
      <c r="B934" s="8" t="s">
        <v>1591</v>
      </c>
      <c r="C934">
        <v>57</v>
      </c>
      <c r="D934" s="8">
        <v>1.4300999999999999</v>
      </c>
      <c r="E934">
        <v>1000</v>
      </c>
      <c r="G934" t="s">
        <v>29</v>
      </c>
      <c r="H934" t="s">
        <v>987</v>
      </c>
      <c r="N934" s="3">
        <v>1.4609053497942386E-2</v>
      </c>
      <c r="O934" s="3">
        <v>0</v>
      </c>
      <c r="P934">
        <v>60</v>
      </c>
      <c r="Q934">
        <v>7</v>
      </c>
      <c r="R934" t="s">
        <v>1375</v>
      </c>
      <c r="S934">
        <v>0</v>
      </c>
      <c r="T934" s="6">
        <f>10^-(14-Q934)</f>
        <v>9.9999999999999995E-8</v>
      </c>
      <c r="U934" s="6">
        <v>0</v>
      </c>
      <c r="V934" s="6">
        <v>0</v>
      </c>
      <c r="W934" s="6">
        <v>0</v>
      </c>
      <c r="X934" s="6">
        <v>0</v>
      </c>
      <c r="Y934" t="s">
        <v>171</v>
      </c>
      <c r="Z934" s="5">
        <v>-200</v>
      </c>
      <c r="AD934">
        <v>0.33333333333333331</v>
      </c>
      <c r="AE934" s="1">
        <v>305</v>
      </c>
      <c r="AF934">
        <v>1</v>
      </c>
      <c r="AG934" s="9">
        <v>0.05</v>
      </c>
      <c r="AH934" s="9">
        <v>1.38</v>
      </c>
      <c r="AI934" s="9">
        <v>0.49</v>
      </c>
      <c r="AJ934" s="9">
        <v>0.02</v>
      </c>
      <c r="AK934" s="9">
        <v>1E-3</v>
      </c>
      <c r="AL934" s="9">
        <v>17.079999999999998</v>
      </c>
      <c r="AM934" s="9">
        <v>8.01</v>
      </c>
      <c r="AO934" s="9" t="s">
        <v>987</v>
      </c>
      <c r="AQ934" s="1"/>
    </row>
    <row r="935" spans="1:43" x14ac:dyDescent="0.3">
      <c r="A935" t="s">
        <v>1400</v>
      </c>
      <c r="B935" s="8" t="s">
        <v>1591</v>
      </c>
      <c r="C935">
        <v>57</v>
      </c>
      <c r="D935" s="8">
        <v>1.4300999999999999</v>
      </c>
      <c r="E935">
        <v>1000</v>
      </c>
      <c r="G935" t="s">
        <v>29</v>
      </c>
      <c r="N935" s="3">
        <v>1.9478737997256513E-2</v>
      </c>
      <c r="O935" s="3">
        <v>0</v>
      </c>
      <c r="P935">
        <v>60</v>
      </c>
      <c r="Q935">
        <v>7</v>
      </c>
      <c r="R935" t="s">
        <v>1375</v>
      </c>
      <c r="S935">
        <v>0</v>
      </c>
      <c r="T935" s="6">
        <f>10^-(14-Q935)</f>
        <v>9.9999999999999995E-8</v>
      </c>
      <c r="U935" s="6">
        <v>0</v>
      </c>
      <c r="V935" s="6">
        <v>0</v>
      </c>
      <c r="W935" s="6">
        <v>0</v>
      </c>
      <c r="X935" s="6">
        <v>0</v>
      </c>
      <c r="Y935" t="s">
        <v>171</v>
      </c>
      <c r="Z935" s="5">
        <v>-200</v>
      </c>
      <c r="AD935">
        <v>0.33333333333333331</v>
      </c>
      <c r="AE935" s="1">
        <v>280</v>
      </c>
      <c r="AF935">
        <v>1</v>
      </c>
      <c r="AG935" s="9">
        <v>0.05</v>
      </c>
      <c r="AH935" s="9">
        <v>1.38</v>
      </c>
      <c r="AI935" s="9">
        <v>0.49</v>
      </c>
      <c r="AJ935" s="9">
        <v>0.02</v>
      </c>
      <c r="AK935" s="9">
        <v>1E-3</v>
      </c>
      <c r="AL935" s="9">
        <v>17.079999999999998</v>
      </c>
      <c r="AM935" s="9">
        <v>8.01</v>
      </c>
      <c r="AO935" s="9" t="s">
        <v>987</v>
      </c>
      <c r="AQ935" s="1"/>
    </row>
    <row r="936" spans="1:43" x14ac:dyDescent="0.3">
      <c r="A936" t="s">
        <v>1401</v>
      </c>
      <c r="B936" s="8" t="s">
        <v>1591</v>
      </c>
      <c r="C936">
        <v>57</v>
      </c>
      <c r="D936" s="8">
        <v>1.4300999999999999</v>
      </c>
      <c r="E936">
        <v>1000</v>
      </c>
      <c r="G936" t="s">
        <v>29</v>
      </c>
      <c r="N936" s="3">
        <v>3.8957475994513026E-2</v>
      </c>
      <c r="O936" s="3">
        <v>0</v>
      </c>
      <c r="P936">
        <v>60</v>
      </c>
      <c r="Q936">
        <v>7</v>
      </c>
      <c r="R936" t="s">
        <v>1375</v>
      </c>
      <c r="S936">
        <v>0</v>
      </c>
      <c r="T936" s="6">
        <f>10^-(14-Q936)</f>
        <v>9.9999999999999995E-8</v>
      </c>
      <c r="U936" s="6">
        <v>0</v>
      </c>
      <c r="V936" s="6">
        <v>0</v>
      </c>
      <c r="W936" s="6">
        <v>0</v>
      </c>
      <c r="X936" s="6">
        <v>0</v>
      </c>
      <c r="Y936" t="s">
        <v>171</v>
      </c>
      <c r="Z936" s="5">
        <v>-200</v>
      </c>
      <c r="AD936">
        <v>0.33333333333333331</v>
      </c>
      <c r="AE936" s="1">
        <v>210</v>
      </c>
      <c r="AF936">
        <v>1</v>
      </c>
      <c r="AG936" s="9">
        <v>0.05</v>
      </c>
      <c r="AH936" s="9">
        <v>1.38</v>
      </c>
      <c r="AI936" s="9">
        <v>0.49</v>
      </c>
      <c r="AJ936" s="9">
        <v>0.02</v>
      </c>
      <c r="AK936" s="9">
        <v>1E-3</v>
      </c>
      <c r="AL936" s="9">
        <v>17.079999999999998</v>
      </c>
      <c r="AM936" s="9">
        <v>8.01</v>
      </c>
      <c r="AO936" s="9" t="s">
        <v>987</v>
      </c>
      <c r="AQ936" s="1"/>
    </row>
    <row r="937" spans="1:43" x14ac:dyDescent="0.3">
      <c r="A937" t="s">
        <v>1402</v>
      </c>
      <c r="B937" s="8" t="s">
        <v>1591</v>
      </c>
      <c r="C937">
        <v>57</v>
      </c>
      <c r="D937" s="8">
        <v>1.4300999999999999</v>
      </c>
      <c r="E937">
        <v>1000</v>
      </c>
      <c r="G937" t="s">
        <v>29</v>
      </c>
      <c r="N937" s="3">
        <v>7.0521861777150904E-2</v>
      </c>
      <c r="O937" s="3">
        <v>0</v>
      </c>
      <c r="P937">
        <v>60</v>
      </c>
      <c r="Q937">
        <v>7</v>
      </c>
      <c r="R937" t="s">
        <v>1375</v>
      </c>
      <c r="S937">
        <v>0</v>
      </c>
      <c r="T937" s="6">
        <f>10^-(14-Q937)</f>
        <v>9.9999999999999995E-8</v>
      </c>
      <c r="U937" s="6">
        <v>0</v>
      </c>
      <c r="V937" s="6">
        <v>0</v>
      </c>
      <c r="W937" s="6">
        <v>0</v>
      </c>
      <c r="X937" s="6">
        <v>0</v>
      </c>
      <c r="Y937" t="s">
        <v>171</v>
      </c>
      <c r="Z937" s="5">
        <v>-200</v>
      </c>
      <c r="AD937">
        <v>0.33333333333333331</v>
      </c>
      <c r="AE937" s="1">
        <v>195</v>
      </c>
      <c r="AF937">
        <v>1</v>
      </c>
      <c r="AG937" s="9">
        <v>0.05</v>
      </c>
      <c r="AH937" s="9">
        <v>1.38</v>
      </c>
      <c r="AI937" s="9">
        <v>0.49</v>
      </c>
      <c r="AJ937" s="9">
        <v>0.02</v>
      </c>
      <c r="AK937" s="9">
        <v>1E-3</v>
      </c>
      <c r="AL937" s="9">
        <v>17.079999999999998</v>
      </c>
      <c r="AM937" s="9">
        <v>8.01</v>
      </c>
      <c r="AO937" s="9" t="s">
        <v>987</v>
      </c>
      <c r="AQ937" s="1"/>
    </row>
    <row r="938" spans="1:43" x14ac:dyDescent="0.3">
      <c r="A938" t="s">
        <v>1403</v>
      </c>
      <c r="B938" s="8" t="s">
        <v>1591</v>
      </c>
      <c r="C938">
        <v>57</v>
      </c>
      <c r="D938" s="8">
        <v>1.4300999999999999</v>
      </c>
      <c r="E938">
        <v>1000</v>
      </c>
      <c r="G938" t="s">
        <v>29</v>
      </c>
      <c r="N938" s="3">
        <v>0.1</v>
      </c>
      <c r="O938" s="3">
        <v>0</v>
      </c>
      <c r="P938">
        <v>60</v>
      </c>
      <c r="Q938">
        <v>7</v>
      </c>
      <c r="R938" t="s">
        <v>1375</v>
      </c>
      <c r="S938">
        <v>0</v>
      </c>
      <c r="T938" s="6">
        <f>10^-(14-Q938)</f>
        <v>9.9999999999999995E-8</v>
      </c>
      <c r="U938" s="6">
        <v>0</v>
      </c>
      <c r="V938" s="6">
        <v>0</v>
      </c>
      <c r="W938" s="6">
        <v>0</v>
      </c>
      <c r="X938" s="6">
        <v>0</v>
      </c>
      <c r="Y938" t="s">
        <v>171</v>
      </c>
      <c r="Z938" s="5">
        <v>-200</v>
      </c>
      <c r="AD938">
        <v>0.33333333333333331</v>
      </c>
      <c r="AE938" s="1">
        <v>180</v>
      </c>
      <c r="AF938">
        <v>1</v>
      </c>
      <c r="AG938" s="9">
        <v>0.05</v>
      </c>
      <c r="AH938" s="9">
        <v>1.38</v>
      </c>
      <c r="AI938" s="9">
        <v>0.49</v>
      </c>
      <c r="AJ938" s="9">
        <v>0.02</v>
      </c>
      <c r="AK938" s="9">
        <v>1E-3</v>
      </c>
      <c r="AL938" s="9">
        <v>17.079999999999998</v>
      </c>
      <c r="AM938" s="9">
        <v>8.01</v>
      </c>
      <c r="AO938" s="9" t="s">
        <v>987</v>
      </c>
      <c r="AQ938" s="1"/>
    </row>
    <row r="939" spans="1:43" x14ac:dyDescent="0.3">
      <c r="A939" t="s">
        <v>1404</v>
      </c>
      <c r="B939" s="8" t="s">
        <v>1591</v>
      </c>
      <c r="C939">
        <v>57</v>
      </c>
      <c r="D939" s="8">
        <v>1.4300999999999999</v>
      </c>
      <c r="E939">
        <v>1000</v>
      </c>
      <c r="G939" t="s">
        <v>29</v>
      </c>
      <c r="N939" s="3">
        <v>0.14104372355430181</v>
      </c>
      <c r="O939" s="3">
        <v>0</v>
      </c>
      <c r="P939">
        <v>60</v>
      </c>
      <c r="Q939">
        <v>7</v>
      </c>
      <c r="R939" t="s">
        <v>1375</v>
      </c>
      <c r="S939">
        <v>0</v>
      </c>
      <c r="T939" s="6">
        <f>10^-(14-Q939)</f>
        <v>9.9999999999999995E-8</v>
      </c>
      <c r="U939" s="6">
        <v>0</v>
      </c>
      <c r="V939" s="6">
        <v>0</v>
      </c>
      <c r="W939" s="6">
        <v>0</v>
      </c>
      <c r="X939" s="6">
        <v>0</v>
      </c>
      <c r="Y939" t="s">
        <v>171</v>
      </c>
      <c r="Z939" s="5">
        <v>-200</v>
      </c>
      <c r="AD939">
        <v>0.33333333333333331</v>
      </c>
      <c r="AE939" s="1">
        <v>160</v>
      </c>
      <c r="AF939">
        <v>1</v>
      </c>
      <c r="AG939" s="9">
        <v>0.05</v>
      </c>
      <c r="AH939" s="9">
        <v>1.38</v>
      </c>
      <c r="AI939" s="9">
        <v>0.49</v>
      </c>
      <c r="AJ939" s="9">
        <v>0.02</v>
      </c>
      <c r="AK939" s="9">
        <v>1E-3</v>
      </c>
      <c r="AL939" s="9">
        <v>17.079999999999998</v>
      </c>
      <c r="AM939" s="9">
        <v>8.01</v>
      </c>
      <c r="AO939" s="9" t="s">
        <v>987</v>
      </c>
      <c r="AQ939" s="1"/>
    </row>
    <row r="940" spans="1:43" x14ac:dyDescent="0.3">
      <c r="A940" t="s">
        <v>1051</v>
      </c>
      <c r="B940" t="s">
        <v>1621</v>
      </c>
      <c r="C940">
        <v>58</v>
      </c>
      <c r="D940" s="8">
        <v>1.4300999999999999</v>
      </c>
      <c r="E940">
        <v>400</v>
      </c>
      <c r="F940">
        <v>0.2</v>
      </c>
      <c r="G940" t="s">
        <v>102</v>
      </c>
      <c r="K940" s="4">
        <v>0.5</v>
      </c>
      <c r="M940" t="s">
        <v>28</v>
      </c>
      <c r="N940">
        <v>2E-3</v>
      </c>
      <c r="O940" s="3">
        <v>0</v>
      </c>
      <c r="P940">
        <v>40</v>
      </c>
      <c r="Q940">
        <v>6.5</v>
      </c>
      <c r="R940" t="s">
        <v>102</v>
      </c>
      <c r="S940">
        <v>0</v>
      </c>
      <c r="T940" s="6">
        <f>10^-(14-Q940)</f>
        <v>3.1622776601683699E-8</v>
      </c>
      <c r="U940" s="6">
        <v>0</v>
      </c>
      <c r="V940" s="6">
        <v>0</v>
      </c>
      <c r="W940" s="6">
        <v>0</v>
      </c>
      <c r="X940" s="6">
        <v>0</v>
      </c>
      <c r="Y940" t="s">
        <v>171</v>
      </c>
      <c r="AD940">
        <v>0.1</v>
      </c>
      <c r="AE940">
        <v>530</v>
      </c>
      <c r="AF940">
        <v>1</v>
      </c>
      <c r="AQ940" s="1"/>
    </row>
    <row r="941" spans="1:43" x14ac:dyDescent="0.3">
      <c r="A941" t="s">
        <v>1052</v>
      </c>
      <c r="B941" t="s">
        <v>1621</v>
      </c>
      <c r="C941">
        <v>58</v>
      </c>
      <c r="D941" s="8">
        <v>1.4300999999999999</v>
      </c>
      <c r="E941">
        <v>400</v>
      </c>
      <c r="F941">
        <v>0.2</v>
      </c>
      <c r="G941" t="s">
        <v>102</v>
      </c>
      <c r="K941" s="4">
        <v>0.5</v>
      </c>
      <c r="M941" t="s">
        <v>28</v>
      </c>
      <c r="N941">
        <v>2E-3</v>
      </c>
      <c r="O941" s="3">
        <v>0</v>
      </c>
      <c r="P941">
        <v>40</v>
      </c>
      <c r="Q941">
        <v>6.5</v>
      </c>
      <c r="R941" t="s">
        <v>102</v>
      </c>
      <c r="S941">
        <v>0</v>
      </c>
      <c r="T941" s="6">
        <f>10^-(14-Q941)</f>
        <v>3.1622776601683699E-8</v>
      </c>
      <c r="U941" s="6">
        <v>0</v>
      </c>
      <c r="V941" s="6">
        <v>0</v>
      </c>
      <c r="W941" s="6">
        <v>0</v>
      </c>
      <c r="X941" s="6">
        <v>0</v>
      </c>
      <c r="Y941" t="s">
        <v>171</v>
      </c>
      <c r="AD941">
        <v>0.1</v>
      </c>
      <c r="AE941">
        <v>510</v>
      </c>
      <c r="AF941">
        <v>1</v>
      </c>
      <c r="AQ941" s="1"/>
    </row>
    <row r="942" spans="1:43" x14ac:dyDescent="0.3">
      <c r="A942" t="s">
        <v>1053</v>
      </c>
      <c r="B942" t="s">
        <v>1621</v>
      </c>
      <c r="C942">
        <v>58</v>
      </c>
      <c r="D942" s="8">
        <v>1.4300999999999999</v>
      </c>
      <c r="E942">
        <v>400</v>
      </c>
      <c r="F942">
        <v>0.2</v>
      </c>
      <c r="G942" t="s">
        <v>102</v>
      </c>
      <c r="K942" s="4">
        <v>0.5</v>
      </c>
      <c r="M942" t="s">
        <v>28</v>
      </c>
      <c r="N942">
        <v>4.0000000000000001E-3</v>
      </c>
      <c r="O942" s="3">
        <v>0</v>
      </c>
      <c r="P942">
        <v>40</v>
      </c>
      <c r="Q942">
        <v>6.5</v>
      </c>
      <c r="R942" t="s">
        <v>102</v>
      </c>
      <c r="S942">
        <v>0</v>
      </c>
      <c r="T942" s="6">
        <f>10^-(14-Q942)</f>
        <v>3.1622776601683699E-8</v>
      </c>
      <c r="U942" s="6">
        <v>0</v>
      </c>
      <c r="V942" s="6">
        <v>0</v>
      </c>
      <c r="W942" s="6">
        <v>0</v>
      </c>
      <c r="X942" s="6">
        <v>0</v>
      </c>
      <c r="Y942" t="s">
        <v>171</v>
      </c>
      <c r="AD942">
        <v>0.1</v>
      </c>
      <c r="AE942">
        <v>420</v>
      </c>
      <c r="AF942">
        <v>1</v>
      </c>
      <c r="AQ942" s="1"/>
    </row>
    <row r="943" spans="1:43" x14ac:dyDescent="0.3">
      <c r="A943" t="s">
        <v>1054</v>
      </c>
      <c r="B943" t="s">
        <v>1621</v>
      </c>
      <c r="C943">
        <v>58</v>
      </c>
      <c r="D943" s="8">
        <v>1.4300999999999999</v>
      </c>
      <c r="E943">
        <v>400</v>
      </c>
      <c r="F943">
        <v>0.2</v>
      </c>
      <c r="G943" t="s">
        <v>102</v>
      </c>
      <c r="K943" s="4">
        <v>0.5</v>
      </c>
      <c r="M943" t="s">
        <v>28</v>
      </c>
      <c r="N943">
        <v>0.01</v>
      </c>
      <c r="O943" s="3">
        <v>0</v>
      </c>
      <c r="P943">
        <v>40</v>
      </c>
      <c r="Q943">
        <v>6.5</v>
      </c>
      <c r="R943" t="s">
        <v>102</v>
      </c>
      <c r="S943">
        <v>0</v>
      </c>
      <c r="T943" s="6">
        <f>10^-(14-Q943)</f>
        <v>3.1622776601683699E-8</v>
      </c>
      <c r="U943" s="6">
        <v>0</v>
      </c>
      <c r="V943" s="6">
        <v>0</v>
      </c>
      <c r="W943" s="6">
        <v>0</v>
      </c>
      <c r="X943" s="6">
        <v>0</v>
      </c>
      <c r="Y943" t="s">
        <v>171</v>
      </c>
      <c r="AD943">
        <v>0.1</v>
      </c>
      <c r="AE943">
        <v>340</v>
      </c>
      <c r="AF943">
        <v>1</v>
      </c>
      <c r="AQ943" s="1"/>
    </row>
    <row r="944" spans="1:43" x14ac:dyDescent="0.3">
      <c r="A944" t="s">
        <v>1055</v>
      </c>
      <c r="B944" t="s">
        <v>1621</v>
      </c>
      <c r="C944">
        <v>58</v>
      </c>
      <c r="D944" s="8">
        <v>1.4300999999999999</v>
      </c>
      <c r="E944">
        <v>400</v>
      </c>
      <c r="F944">
        <v>0.2</v>
      </c>
      <c r="G944" t="s">
        <v>102</v>
      </c>
      <c r="K944" s="4">
        <v>0.5</v>
      </c>
      <c r="M944" t="s">
        <v>28</v>
      </c>
      <c r="N944">
        <v>0.01</v>
      </c>
      <c r="O944" s="3">
        <v>0</v>
      </c>
      <c r="P944">
        <v>40</v>
      </c>
      <c r="Q944">
        <v>6.5</v>
      </c>
      <c r="R944" t="s">
        <v>102</v>
      </c>
      <c r="S944">
        <v>0</v>
      </c>
      <c r="T944" s="6">
        <f>10^-(14-Q944)</f>
        <v>3.1622776601683699E-8</v>
      </c>
      <c r="U944" s="6">
        <v>0</v>
      </c>
      <c r="V944" s="6">
        <v>0</v>
      </c>
      <c r="W944" s="6">
        <v>0</v>
      </c>
      <c r="X944" s="6">
        <v>0</v>
      </c>
      <c r="Y944" t="s">
        <v>171</v>
      </c>
      <c r="AD944">
        <v>0.1</v>
      </c>
      <c r="AE944">
        <v>410</v>
      </c>
      <c r="AF944">
        <v>1</v>
      </c>
      <c r="AQ944" s="1"/>
    </row>
    <row r="945" spans="1:43" x14ac:dyDescent="0.3">
      <c r="A945" t="s">
        <v>1056</v>
      </c>
      <c r="B945" t="s">
        <v>1621</v>
      </c>
      <c r="C945">
        <v>58</v>
      </c>
      <c r="D945" s="8">
        <v>1.4300999999999999</v>
      </c>
      <c r="E945">
        <v>400</v>
      </c>
      <c r="F945">
        <v>0.2</v>
      </c>
      <c r="G945" t="s">
        <v>102</v>
      </c>
      <c r="K945" s="4">
        <v>0.5</v>
      </c>
      <c r="M945" t="s">
        <v>28</v>
      </c>
      <c r="N945">
        <v>0.1</v>
      </c>
      <c r="O945" s="3">
        <v>0</v>
      </c>
      <c r="P945">
        <v>40</v>
      </c>
      <c r="Q945">
        <v>6.5</v>
      </c>
      <c r="R945" t="s">
        <v>102</v>
      </c>
      <c r="S945">
        <v>0</v>
      </c>
      <c r="T945" s="6">
        <f>10^-(14-Q945)</f>
        <v>3.1622776601683699E-8</v>
      </c>
      <c r="U945" s="6">
        <v>0</v>
      </c>
      <c r="V945" s="6">
        <v>0</v>
      </c>
      <c r="W945" s="6">
        <v>0</v>
      </c>
      <c r="X945" s="6">
        <v>0</v>
      </c>
      <c r="Y945" t="s">
        <v>171</v>
      </c>
      <c r="AD945">
        <v>0.1</v>
      </c>
      <c r="AE945">
        <v>220</v>
      </c>
      <c r="AF945">
        <v>1</v>
      </c>
      <c r="AQ945" s="1"/>
    </row>
    <row r="946" spans="1:43" x14ac:dyDescent="0.3">
      <c r="A946" t="s">
        <v>1057</v>
      </c>
      <c r="B946" t="s">
        <v>1621</v>
      </c>
      <c r="C946">
        <v>58</v>
      </c>
      <c r="D946" s="8">
        <v>1.4300999999999999</v>
      </c>
      <c r="E946">
        <v>400</v>
      </c>
      <c r="F946">
        <v>0.2</v>
      </c>
      <c r="G946" t="s">
        <v>102</v>
      </c>
      <c r="K946" s="4">
        <v>0.5</v>
      </c>
      <c r="M946" t="s">
        <v>28</v>
      </c>
      <c r="N946">
        <v>0.1</v>
      </c>
      <c r="O946" s="3">
        <v>0</v>
      </c>
      <c r="P946">
        <v>40</v>
      </c>
      <c r="Q946">
        <v>6.5</v>
      </c>
      <c r="R946" t="s">
        <v>102</v>
      </c>
      <c r="S946">
        <v>0</v>
      </c>
      <c r="T946" s="6">
        <f>10^-(14-Q946)</f>
        <v>3.1622776601683699E-8</v>
      </c>
      <c r="U946" s="6">
        <v>0</v>
      </c>
      <c r="V946" s="6">
        <v>0</v>
      </c>
      <c r="W946" s="6">
        <v>0</v>
      </c>
      <c r="X946" s="6">
        <v>0</v>
      </c>
      <c r="Y946" t="s">
        <v>171</v>
      </c>
      <c r="AD946">
        <v>0.1</v>
      </c>
      <c r="AE946">
        <v>240</v>
      </c>
      <c r="AF946">
        <v>1</v>
      </c>
      <c r="AQ946" s="1"/>
    </row>
    <row r="947" spans="1:43" x14ac:dyDescent="0.3">
      <c r="A947" t="s">
        <v>1058</v>
      </c>
      <c r="B947" t="s">
        <v>1621</v>
      </c>
      <c r="C947">
        <v>58</v>
      </c>
      <c r="D947" s="8">
        <v>1.4300999999999999</v>
      </c>
      <c r="E947">
        <v>400</v>
      </c>
      <c r="F947">
        <v>0.2</v>
      </c>
      <c r="G947" t="s">
        <v>102</v>
      </c>
      <c r="K947" s="4">
        <v>0.5</v>
      </c>
      <c r="M947" t="s">
        <v>28</v>
      </c>
      <c r="N947">
        <v>0.1</v>
      </c>
      <c r="O947" s="3">
        <v>0</v>
      </c>
      <c r="P947">
        <v>40</v>
      </c>
      <c r="Q947">
        <v>6.5</v>
      </c>
      <c r="R947" t="s">
        <v>102</v>
      </c>
      <c r="S947">
        <v>0</v>
      </c>
      <c r="T947" s="6">
        <f>10^-(14-Q947)</f>
        <v>3.1622776601683699E-8</v>
      </c>
      <c r="U947" s="6">
        <v>0</v>
      </c>
      <c r="V947" s="6">
        <v>0</v>
      </c>
      <c r="W947" s="6">
        <v>0</v>
      </c>
      <c r="X947" s="6">
        <v>0</v>
      </c>
      <c r="Y947" t="s">
        <v>171</v>
      </c>
      <c r="AD947">
        <v>0.1</v>
      </c>
      <c r="AE947">
        <v>260</v>
      </c>
      <c r="AF947">
        <v>1</v>
      </c>
      <c r="AQ947" s="1"/>
    </row>
    <row r="948" spans="1:43" x14ac:dyDescent="0.3">
      <c r="A948" t="s">
        <v>1059</v>
      </c>
      <c r="B948" t="s">
        <v>1621</v>
      </c>
      <c r="C948">
        <v>58</v>
      </c>
      <c r="D948" s="8">
        <v>1.4300999999999999</v>
      </c>
      <c r="E948">
        <v>400</v>
      </c>
      <c r="F948">
        <v>0.2</v>
      </c>
      <c r="G948" t="s">
        <v>102</v>
      </c>
      <c r="K948" s="4">
        <v>0.5</v>
      </c>
      <c r="M948" t="s">
        <v>28</v>
      </c>
      <c r="N948">
        <v>1</v>
      </c>
      <c r="O948" s="3">
        <v>0</v>
      </c>
      <c r="P948">
        <v>40</v>
      </c>
      <c r="Q948">
        <v>6.5</v>
      </c>
      <c r="R948" t="s">
        <v>102</v>
      </c>
      <c r="S948">
        <v>0</v>
      </c>
      <c r="T948" s="6">
        <f>10^-(14-Q948)</f>
        <v>3.1622776601683699E-8</v>
      </c>
      <c r="U948" s="6">
        <v>0</v>
      </c>
      <c r="V948" s="6">
        <v>0</v>
      </c>
      <c r="W948" s="6">
        <v>0</v>
      </c>
      <c r="X948" s="6">
        <v>0</v>
      </c>
      <c r="Y948" t="s">
        <v>171</v>
      </c>
      <c r="AD948">
        <v>0.1</v>
      </c>
      <c r="AE948">
        <v>80</v>
      </c>
      <c r="AF948">
        <v>1</v>
      </c>
      <c r="AQ948" s="1"/>
    </row>
    <row r="949" spans="1:43" x14ac:dyDescent="0.3">
      <c r="A949" t="s">
        <v>1060</v>
      </c>
      <c r="B949" t="s">
        <v>1621</v>
      </c>
      <c r="C949">
        <v>58</v>
      </c>
      <c r="D949" s="8">
        <v>1.4300999999999999</v>
      </c>
      <c r="E949">
        <v>400</v>
      </c>
      <c r="F949">
        <v>0.2</v>
      </c>
      <c r="G949" t="s">
        <v>102</v>
      </c>
      <c r="K949" s="4">
        <v>0.5</v>
      </c>
      <c r="M949" t="s">
        <v>28</v>
      </c>
      <c r="N949">
        <v>1</v>
      </c>
      <c r="O949" s="3">
        <v>0</v>
      </c>
      <c r="P949">
        <v>40</v>
      </c>
      <c r="Q949">
        <v>6.5</v>
      </c>
      <c r="R949" t="s">
        <v>102</v>
      </c>
      <c r="S949">
        <v>0</v>
      </c>
      <c r="T949" s="6">
        <f>10^-(14-Q949)</f>
        <v>3.1622776601683699E-8</v>
      </c>
      <c r="U949" s="6">
        <v>0</v>
      </c>
      <c r="V949" s="6">
        <v>0</v>
      </c>
      <c r="W949" s="6">
        <v>0</v>
      </c>
      <c r="X949" s="6">
        <v>0</v>
      </c>
      <c r="Y949" t="s">
        <v>171</v>
      </c>
      <c r="AD949">
        <v>0.1</v>
      </c>
      <c r="AE949">
        <v>100</v>
      </c>
      <c r="AF949">
        <v>1</v>
      </c>
      <c r="AQ949" s="1"/>
    </row>
    <row r="950" spans="1:43" x14ac:dyDescent="0.3">
      <c r="A950" t="s">
        <v>1061</v>
      </c>
      <c r="B950" t="s">
        <v>1621</v>
      </c>
      <c r="C950">
        <v>58</v>
      </c>
      <c r="D950" s="8">
        <v>1.4300999999999999</v>
      </c>
      <c r="E950">
        <v>400</v>
      </c>
      <c r="F950">
        <v>0.2</v>
      </c>
      <c r="G950" t="s">
        <v>102</v>
      </c>
      <c r="K950" s="4">
        <v>0.5</v>
      </c>
      <c r="M950" t="s">
        <v>28</v>
      </c>
      <c r="N950">
        <v>2</v>
      </c>
      <c r="O950" s="3">
        <v>0</v>
      </c>
      <c r="P950">
        <v>40</v>
      </c>
      <c r="Q950">
        <v>6.5</v>
      </c>
      <c r="R950" t="s">
        <v>102</v>
      </c>
      <c r="S950">
        <v>0</v>
      </c>
      <c r="T950" s="6">
        <f>10^-(14-Q950)</f>
        <v>3.1622776601683699E-8</v>
      </c>
      <c r="U950" s="6">
        <v>0</v>
      </c>
      <c r="V950" s="6">
        <v>0</v>
      </c>
      <c r="W950" s="6">
        <v>0</v>
      </c>
      <c r="X950" s="6">
        <v>0</v>
      </c>
      <c r="Y950" t="s">
        <v>171</v>
      </c>
      <c r="AD950">
        <v>0.1</v>
      </c>
      <c r="AE950">
        <v>60</v>
      </c>
      <c r="AF950">
        <v>1</v>
      </c>
      <c r="AQ950" s="1"/>
    </row>
    <row r="951" spans="1:43" x14ac:dyDescent="0.3">
      <c r="A951" t="s">
        <v>1062</v>
      </c>
      <c r="B951" t="s">
        <v>1621</v>
      </c>
      <c r="C951">
        <v>58</v>
      </c>
      <c r="D951" s="8">
        <v>1.4300999999999999</v>
      </c>
      <c r="E951">
        <v>400</v>
      </c>
      <c r="F951">
        <v>0.2</v>
      </c>
      <c r="G951" t="s">
        <v>102</v>
      </c>
      <c r="K951" s="4">
        <v>0.5</v>
      </c>
      <c r="M951" t="s">
        <v>28</v>
      </c>
      <c r="N951">
        <v>5</v>
      </c>
      <c r="O951" s="3">
        <v>0</v>
      </c>
      <c r="P951">
        <v>40</v>
      </c>
      <c r="Q951">
        <v>6.5</v>
      </c>
      <c r="R951" t="s">
        <v>102</v>
      </c>
      <c r="S951">
        <v>0</v>
      </c>
      <c r="T951" s="6">
        <f>10^-(14-Q951)</f>
        <v>3.1622776601683699E-8</v>
      </c>
      <c r="U951" s="6">
        <v>0</v>
      </c>
      <c r="V951" s="6">
        <v>0</v>
      </c>
      <c r="W951" s="6">
        <v>0</v>
      </c>
      <c r="X951" s="6">
        <v>0</v>
      </c>
      <c r="Y951" t="s">
        <v>171</v>
      </c>
      <c r="AD951">
        <v>0.1</v>
      </c>
      <c r="AE951">
        <v>-100</v>
      </c>
      <c r="AF951">
        <v>1</v>
      </c>
      <c r="AQ951" s="1"/>
    </row>
    <row r="952" spans="1:43" x14ac:dyDescent="0.3">
      <c r="A952" t="s">
        <v>1063</v>
      </c>
      <c r="B952" t="s">
        <v>1621</v>
      </c>
      <c r="C952">
        <v>58</v>
      </c>
      <c r="D952" s="8">
        <v>1.4300999999999999</v>
      </c>
      <c r="E952">
        <v>400</v>
      </c>
      <c r="F952">
        <v>0.2</v>
      </c>
      <c r="G952" t="s">
        <v>102</v>
      </c>
      <c r="K952" s="4">
        <v>0.5</v>
      </c>
      <c r="M952" t="s">
        <v>28</v>
      </c>
      <c r="N952">
        <v>4.0000000000000001E-3</v>
      </c>
      <c r="O952" s="3">
        <v>0</v>
      </c>
      <c r="P952">
        <v>22</v>
      </c>
      <c r="Q952">
        <v>6.5</v>
      </c>
      <c r="R952" t="s">
        <v>102</v>
      </c>
      <c r="S952">
        <v>0</v>
      </c>
      <c r="T952" s="6">
        <f>10^-(14-Q952)</f>
        <v>3.1622776601683699E-8</v>
      </c>
      <c r="U952" s="6">
        <v>0</v>
      </c>
      <c r="V952" s="6">
        <v>0</v>
      </c>
      <c r="W952" s="6">
        <v>0</v>
      </c>
      <c r="X952" s="6">
        <v>0</v>
      </c>
      <c r="Y952" t="s">
        <v>171</v>
      </c>
      <c r="AD952">
        <v>0.1</v>
      </c>
      <c r="AE952">
        <v>600</v>
      </c>
      <c r="AF952">
        <v>2</v>
      </c>
      <c r="AQ952" s="1"/>
    </row>
    <row r="953" spans="1:43" x14ac:dyDescent="0.3">
      <c r="A953" t="s">
        <v>1064</v>
      </c>
      <c r="B953" t="s">
        <v>1621</v>
      </c>
      <c r="C953">
        <v>58</v>
      </c>
      <c r="D953" s="8">
        <v>1.4300999999999999</v>
      </c>
      <c r="E953">
        <v>400</v>
      </c>
      <c r="F953">
        <v>0.2</v>
      </c>
      <c r="G953" t="s">
        <v>102</v>
      </c>
      <c r="K953" s="4">
        <v>0.5</v>
      </c>
      <c r="M953" t="s">
        <v>28</v>
      </c>
      <c r="N953">
        <v>0.1</v>
      </c>
      <c r="O953" s="3">
        <v>0</v>
      </c>
      <c r="P953">
        <v>22</v>
      </c>
      <c r="Q953">
        <v>6.5</v>
      </c>
      <c r="R953" t="s">
        <v>102</v>
      </c>
      <c r="S953">
        <v>0</v>
      </c>
      <c r="T953" s="6">
        <f>10^-(14-Q953)</f>
        <v>3.1622776601683699E-8</v>
      </c>
      <c r="U953" s="6">
        <v>0</v>
      </c>
      <c r="V953" s="6">
        <v>0</v>
      </c>
      <c r="W953" s="6">
        <v>0</v>
      </c>
      <c r="X953" s="6">
        <v>0</v>
      </c>
      <c r="Y953" t="s">
        <v>171</v>
      </c>
      <c r="AD953">
        <v>0.1</v>
      </c>
      <c r="AE953">
        <v>250</v>
      </c>
      <c r="AF953">
        <v>2</v>
      </c>
      <c r="AQ953" s="1"/>
    </row>
    <row r="954" spans="1:43" x14ac:dyDescent="0.3">
      <c r="A954" t="s">
        <v>1065</v>
      </c>
      <c r="B954" t="s">
        <v>1621</v>
      </c>
      <c r="C954">
        <v>58</v>
      </c>
      <c r="D954" s="8">
        <v>1.4300999999999999</v>
      </c>
      <c r="E954">
        <v>400</v>
      </c>
      <c r="F954">
        <v>0.2</v>
      </c>
      <c r="G954" t="s">
        <v>102</v>
      </c>
      <c r="K954" s="4">
        <v>0.5</v>
      </c>
      <c r="M954" t="s">
        <v>28</v>
      </c>
      <c r="N954">
        <v>0.02</v>
      </c>
      <c r="O954" s="3">
        <v>0</v>
      </c>
      <c r="P954">
        <v>22</v>
      </c>
      <c r="Q954">
        <v>6.5</v>
      </c>
      <c r="R954" t="s">
        <v>102</v>
      </c>
      <c r="S954">
        <v>0</v>
      </c>
      <c r="T954" s="6">
        <f>10^-(14-Q954)</f>
        <v>3.1622776601683699E-8</v>
      </c>
      <c r="U954" s="6">
        <v>0</v>
      </c>
      <c r="V954" s="6">
        <v>0</v>
      </c>
      <c r="W954" s="6">
        <v>0</v>
      </c>
      <c r="X954" s="6">
        <v>0</v>
      </c>
      <c r="Y954" t="s">
        <v>171</v>
      </c>
      <c r="AD954">
        <v>0.1</v>
      </c>
      <c r="AE954">
        <v>320</v>
      </c>
      <c r="AF954">
        <v>1</v>
      </c>
      <c r="AQ954" s="1"/>
    </row>
    <row r="955" spans="1:43" x14ac:dyDescent="0.3">
      <c r="A955" t="s">
        <v>1066</v>
      </c>
      <c r="B955" t="s">
        <v>1621</v>
      </c>
      <c r="C955">
        <v>58</v>
      </c>
      <c r="D955" s="8">
        <v>1.4300999999999999</v>
      </c>
      <c r="E955">
        <v>400</v>
      </c>
      <c r="F955">
        <v>0.2</v>
      </c>
      <c r="G955" t="s">
        <v>102</v>
      </c>
      <c r="K955" s="4">
        <v>0.5</v>
      </c>
      <c r="M955" t="s">
        <v>28</v>
      </c>
      <c r="N955">
        <v>0.02</v>
      </c>
      <c r="O955" s="3">
        <v>0</v>
      </c>
      <c r="P955">
        <v>22</v>
      </c>
      <c r="Q955">
        <v>6.5</v>
      </c>
      <c r="R955" t="s">
        <v>102</v>
      </c>
      <c r="S955">
        <v>0</v>
      </c>
      <c r="T955" s="6">
        <f>10^-(14-Q955)</f>
        <v>3.1622776601683699E-8</v>
      </c>
      <c r="U955" s="6">
        <v>0</v>
      </c>
      <c r="V955" s="6">
        <v>0</v>
      </c>
      <c r="W955" s="6">
        <v>0</v>
      </c>
      <c r="X955" s="6">
        <v>0</v>
      </c>
      <c r="Y955" t="s">
        <v>171</v>
      </c>
      <c r="AD955">
        <v>0.1</v>
      </c>
      <c r="AE955">
        <v>340</v>
      </c>
      <c r="AF955">
        <v>1</v>
      </c>
      <c r="AQ955" s="1"/>
    </row>
    <row r="956" spans="1:43" x14ac:dyDescent="0.3">
      <c r="A956" t="s">
        <v>1067</v>
      </c>
      <c r="B956" t="s">
        <v>1621</v>
      </c>
      <c r="C956">
        <v>58</v>
      </c>
      <c r="D956" s="8">
        <v>1.4300999999999999</v>
      </c>
      <c r="E956">
        <v>400</v>
      </c>
      <c r="F956">
        <v>0.2</v>
      </c>
      <c r="G956" t="s">
        <v>102</v>
      </c>
      <c r="K956" s="4">
        <v>0.5</v>
      </c>
      <c r="M956" t="s">
        <v>28</v>
      </c>
      <c r="N956">
        <v>0.02</v>
      </c>
      <c r="O956" s="3">
        <v>0</v>
      </c>
      <c r="P956">
        <v>22</v>
      </c>
      <c r="Q956">
        <v>6.5</v>
      </c>
      <c r="R956" t="s">
        <v>102</v>
      </c>
      <c r="S956">
        <v>0</v>
      </c>
      <c r="T956" s="6">
        <f>10^-(14-Q956)</f>
        <v>3.1622776601683699E-8</v>
      </c>
      <c r="U956" s="6">
        <v>0</v>
      </c>
      <c r="V956" s="6">
        <v>0</v>
      </c>
      <c r="W956" s="6">
        <v>0</v>
      </c>
      <c r="X956" s="6">
        <v>0</v>
      </c>
      <c r="Y956" t="s">
        <v>171</v>
      </c>
      <c r="AD956">
        <v>0.1</v>
      </c>
      <c r="AE956">
        <v>360</v>
      </c>
      <c r="AF956">
        <v>1</v>
      </c>
      <c r="AQ956" s="1"/>
    </row>
    <row r="957" spans="1:43" x14ac:dyDescent="0.3">
      <c r="A957" t="s">
        <v>1068</v>
      </c>
      <c r="B957" t="s">
        <v>1621</v>
      </c>
      <c r="C957">
        <v>58</v>
      </c>
      <c r="D957" s="8">
        <v>1.4300999999999999</v>
      </c>
      <c r="E957">
        <v>400</v>
      </c>
      <c r="F957">
        <v>0.2</v>
      </c>
      <c r="G957" t="s">
        <v>102</v>
      </c>
      <c r="K957" s="4">
        <v>0.5</v>
      </c>
      <c r="M957" t="s">
        <v>28</v>
      </c>
      <c r="N957">
        <v>2</v>
      </c>
      <c r="O957" s="3">
        <v>0</v>
      </c>
      <c r="P957">
        <v>22</v>
      </c>
      <c r="Q957">
        <v>6.5</v>
      </c>
      <c r="R957" t="s">
        <v>102</v>
      </c>
      <c r="S957">
        <v>0</v>
      </c>
      <c r="T957" s="6">
        <f>10^-(14-Q957)</f>
        <v>3.1622776601683699E-8</v>
      </c>
      <c r="U957" s="6">
        <v>0</v>
      </c>
      <c r="V957" s="6">
        <v>0</v>
      </c>
      <c r="W957" s="6">
        <v>0</v>
      </c>
      <c r="X957" s="6">
        <v>0</v>
      </c>
      <c r="Y957" t="s">
        <v>171</v>
      </c>
      <c r="AD957">
        <v>0.1</v>
      </c>
      <c r="AE957">
        <v>110</v>
      </c>
      <c r="AF957">
        <v>1</v>
      </c>
      <c r="AQ957" s="1"/>
    </row>
    <row r="958" spans="1:43" x14ac:dyDescent="0.3">
      <c r="A958" t="s">
        <v>1069</v>
      </c>
      <c r="B958" t="s">
        <v>1621</v>
      </c>
      <c r="C958">
        <v>58</v>
      </c>
      <c r="D958" s="8">
        <v>1.4300999999999999</v>
      </c>
      <c r="E958">
        <v>400</v>
      </c>
      <c r="F958">
        <v>0.2</v>
      </c>
      <c r="G958" t="s">
        <v>102</v>
      </c>
      <c r="K958" s="4">
        <v>0.5</v>
      </c>
      <c r="M958" t="s">
        <v>28</v>
      </c>
      <c r="N958">
        <v>2</v>
      </c>
      <c r="O958" s="3">
        <v>0</v>
      </c>
      <c r="P958">
        <v>22</v>
      </c>
      <c r="Q958">
        <v>6.5</v>
      </c>
      <c r="R958" t="s">
        <v>102</v>
      </c>
      <c r="S958">
        <v>0</v>
      </c>
      <c r="T958" s="6">
        <f>10^-(14-Q958)</f>
        <v>3.1622776601683699E-8</v>
      </c>
      <c r="U958" s="6">
        <v>0</v>
      </c>
      <c r="V958" s="6">
        <v>0</v>
      </c>
      <c r="W958" s="6">
        <v>0</v>
      </c>
      <c r="X958" s="6">
        <v>0</v>
      </c>
      <c r="Y958" t="s">
        <v>171</v>
      </c>
      <c r="AD958">
        <v>0.1</v>
      </c>
      <c r="AE958">
        <v>80</v>
      </c>
      <c r="AF958">
        <v>1</v>
      </c>
      <c r="AQ958" s="1"/>
    </row>
    <row r="959" spans="1:43" x14ac:dyDescent="0.3">
      <c r="A959" t="s">
        <v>1070</v>
      </c>
      <c r="B959" t="s">
        <v>1621</v>
      </c>
      <c r="C959">
        <v>58</v>
      </c>
      <c r="D959" s="8">
        <v>1.4300999999999999</v>
      </c>
      <c r="E959">
        <v>400</v>
      </c>
      <c r="F959">
        <v>0.2</v>
      </c>
      <c r="G959" t="s">
        <v>102</v>
      </c>
      <c r="K959" s="4">
        <v>0.5</v>
      </c>
      <c r="M959" t="s">
        <v>28</v>
      </c>
      <c r="N959">
        <v>5</v>
      </c>
      <c r="O959" s="3">
        <v>0</v>
      </c>
      <c r="P959">
        <v>22</v>
      </c>
      <c r="Q959">
        <v>6.5</v>
      </c>
      <c r="R959" t="s">
        <v>102</v>
      </c>
      <c r="S959">
        <v>0</v>
      </c>
      <c r="T959" s="6">
        <f>10^-(14-Q959)</f>
        <v>3.1622776601683699E-8</v>
      </c>
      <c r="U959" s="6">
        <v>0</v>
      </c>
      <c r="V959" s="6">
        <v>0</v>
      </c>
      <c r="W959" s="6">
        <v>0</v>
      </c>
      <c r="X959" s="6">
        <v>0</v>
      </c>
      <c r="Y959" t="s">
        <v>171</v>
      </c>
      <c r="AD959">
        <v>0.1</v>
      </c>
      <c r="AE959">
        <v>-20</v>
      </c>
      <c r="AF959">
        <v>1</v>
      </c>
      <c r="AQ959" s="1"/>
    </row>
    <row r="960" spans="1:43" x14ac:dyDescent="0.3">
      <c r="A960" t="s">
        <v>1071</v>
      </c>
      <c r="B960" t="s">
        <v>1621</v>
      </c>
      <c r="C960">
        <v>58</v>
      </c>
      <c r="D960" s="8">
        <v>1.4300999999999999</v>
      </c>
      <c r="E960">
        <v>400</v>
      </c>
      <c r="F960">
        <v>0.2</v>
      </c>
      <c r="G960" t="s">
        <v>102</v>
      </c>
      <c r="K960" s="4">
        <v>0.5</v>
      </c>
      <c r="M960" t="s">
        <v>28</v>
      </c>
      <c r="N960">
        <v>0.25</v>
      </c>
      <c r="O960" s="3">
        <v>0</v>
      </c>
      <c r="P960">
        <v>40</v>
      </c>
      <c r="Q960">
        <v>6.5</v>
      </c>
      <c r="R960" t="s">
        <v>1083</v>
      </c>
      <c r="S960">
        <v>1</v>
      </c>
      <c r="T960" s="6">
        <f>10^-(14-Q960)</f>
        <v>3.1622776601683699E-8</v>
      </c>
      <c r="U960" s="6">
        <v>1</v>
      </c>
      <c r="V960" s="6">
        <v>0</v>
      </c>
      <c r="W960" s="6">
        <v>0</v>
      </c>
      <c r="X960" s="6">
        <v>0</v>
      </c>
      <c r="Y960" t="s">
        <v>171</v>
      </c>
      <c r="AD960">
        <v>0.1</v>
      </c>
      <c r="AE960">
        <v>800</v>
      </c>
      <c r="AF960">
        <v>1</v>
      </c>
      <c r="AQ960" s="1"/>
    </row>
    <row r="961" spans="1:43" x14ac:dyDescent="0.3">
      <c r="A961" t="s">
        <v>1072</v>
      </c>
      <c r="B961" t="s">
        <v>1621</v>
      </c>
      <c r="C961">
        <v>58</v>
      </c>
      <c r="D961" s="8">
        <v>1.4300999999999999</v>
      </c>
      <c r="E961">
        <v>400</v>
      </c>
      <c r="F961">
        <v>0.2</v>
      </c>
      <c r="G961" t="s">
        <v>102</v>
      </c>
      <c r="K961" s="4">
        <v>0.5</v>
      </c>
      <c r="M961" t="s">
        <v>28</v>
      </c>
      <c r="N961">
        <v>0.25</v>
      </c>
      <c r="O961" s="3">
        <v>0</v>
      </c>
      <c r="P961">
        <v>22</v>
      </c>
      <c r="Q961">
        <v>6.5</v>
      </c>
      <c r="R961" t="s">
        <v>1083</v>
      </c>
      <c r="S961">
        <v>1</v>
      </c>
      <c r="T961" s="6">
        <f>10^-(14-Q961)</f>
        <v>3.1622776601683699E-8</v>
      </c>
      <c r="U961" s="6">
        <v>1</v>
      </c>
      <c r="V961" s="6">
        <v>0</v>
      </c>
      <c r="W961" s="6">
        <v>0</v>
      </c>
      <c r="X961" s="6">
        <v>0</v>
      </c>
      <c r="Y961" t="s">
        <v>171</v>
      </c>
      <c r="AD961">
        <v>0.1</v>
      </c>
      <c r="AE961">
        <v>700</v>
      </c>
      <c r="AF961">
        <v>2</v>
      </c>
      <c r="AQ961" s="1"/>
    </row>
    <row r="962" spans="1:43" x14ac:dyDescent="0.3">
      <c r="A962" t="s">
        <v>1073</v>
      </c>
      <c r="B962" t="s">
        <v>1621</v>
      </c>
      <c r="C962">
        <v>58</v>
      </c>
      <c r="D962" s="8">
        <v>1.4300999999999999</v>
      </c>
      <c r="E962">
        <v>400</v>
      </c>
      <c r="F962">
        <v>0.2</v>
      </c>
      <c r="G962" t="s">
        <v>102</v>
      </c>
      <c r="K962" s="4">
        <v>0.5</v>
      </c>
      <c r="M962" t="s">
        <v>28</v>
      </c>
      <c r="N962">
        <v>0.5</v>
      </c>
      <c r="O962" s="3">
        <v>0</v>
      </c>
      <c r="P962">
        <v>40</v>
      </c>
      <c r="Q962">
        <v>6.5</v>
      </c>
      <c r="R962" t="s">
        <v>1083</v>
      </c>
      <c r="S962">
        <v>1</v>
      </c>
      <c r="T962" s="6">
        <f>10^-(14-Q962)</f>
        <v>3.1622776601683699E-8</v>
      </c>
      <c r="U962" s="6">
        <v>1</v>
      </c>
      <c r="V962" s="6">
        <v>0</v>
      </c>
      <c r="W962" s="6">
        <v>0</v>
      </c>
      <c r="X962" s="6">
        <v>0</v>
      </c>
      <c r="Y962" t="s">
        <v>171</v>
      </c>
      <c r="AD962">
        <v>0.1</v>
      </c>
      <c r="AE962">
        <v>350</v>
      </c>
      <c r="AF962">
        <v>1</v>
      </c>
      <c r="AQ962" s="1"/>
    </row>
    <row r="963" spans="1:43" x14ac:dyDescent="0.3">
      <c r="A963" t="s">
        <v>1074</v>
      </c>
      <c r="B963" t="s">
        <v>1621</v>
      </c>
      <c r="C963">
        <v>58</v>
      </c>
      <c r="D963" s="8">
        <v>1.4300999999999999</v>
      </c>
      <c r="E963">
        <v>400</v>
      </c>
      <c r="F963">
        <v>0.2</v>
      </c>
      <c r="G963" t="s">
        <v>102</v>
      </c>
      <c r="K963" s="4">
        <v>0.5</v>
      </c>
      <c r="M963" t="s">
        <v>28</v>
      </c>
      <c r="N963">
        <v>0.5</v>
      </c>
      <c r="O963" s="3">
        <v>0</v>
      </c>
      <c r="P963">
        <v>40</v>
      </c>
      <c r="Q963">
        <v>6.5</v>
      </c>
      <c r="R963" t="s">
        <v>1083</v>
      </c>
      <c r="S963">
        <v>1</v>
      </c>
      <c r="T963" s="6">
        <f>10^-(14-Q963)</f>
        <v>3.1622776601683699E-8</v>
      </c>
      <c r="U963" s="6">
        <v>1</v>
      </c>
      <c r="V963" s="6">
        <v>0</v>
      </c>
      <c r="W963" s="6">
        <v>0</v>
      </c>
      <c r="X963" s="6">
        <v>0</v>
      </c>
      <c r="Y963" t="s">
        <v>171</v>
      </c>
      <c r="AD963">
        <v>0.1</v>
      </c>
      <c r="AE963">
        <v>250</v>
      </c>
      <c r="AF963">
        <v>1</v>
      </c>
      <c r="AQ963" s="1"/>
    </row>
    <row r="964" spans="1:43" x14ac:dyDescent="0.3">
      <c r="A964" t="s">
        <v>1075</v>
      </c>
      <c r="B964" t="s">
        <v>1621</v>
      </c>
      <c r="C964">
        <v>58</v>
      </c>
      <c r="D964" s="8">
        <v>1.4300999999999999</v>
      </c>
      <c r="E964">
        <v>400</v>
      </c>
      <c r="F964">
        <v>0.2</v>
      </c>
      <c r="G964" t="s">
        <v>102</v>
      </c>
      <c r="K964" s="4">
        <v>0.5</v>
      </c>
      <c r="M964" t="s">
        <v>28</v>
      </c>
      <c r="N964">
        <v>1</v>
      </c>
      <c r="O964" s="3">
        <v>0</v>
      </c>
      <c r="P964">
        <v>40</v>
      </c>
      <c r="Q964">
        <v>6.5</v>
      </c>
      <c r="R964" t="s">
        <v>1083</v>
      </c>
      <c r="S964">
        <v>1</v>
      </c>
      <c r="T964" s="6">
        <f>10^-(14-Q964)</f>
        <v>3.1622776601683699E-8</v>
      </c>
      <c r="U964" s="6">
        <v>1</v>
      </c>
      <c r="V964" s="6">
        <v>0</v>
      </c>
      <c r="W964" s="6">
        <v>0</v>
      </c>
      <c r="X964" s="6">
        <v>0</v>
      </c>
      <c r="Y964" t="s">
        <v>171</v>
      </c>
      <c r="AD964">
        <v>0.1</v>
      </c>
      <c r="AE964">
        <v>110</v>
      </c>
      <c r="AF964">
        <v>1</v>
      </c>
      <c r="AQ964" s="1"/>
    </row>
    <row r="965" spans="1:43" x14ac:dyDescent="0.3">
      <c r="A965" t="s">
        <v>1076</v>
      </c>
      <c r="B965" t="s">
        <v>1621</v>
      </c>
      <c r="C965">
        <v>58</v>
      </c>
      <c r="D965" s="8">
        <v>1.4300999999999999</v>
      </c>
      <c r="E965">
        <v>400</v>
      </c>
      <c r="F965">
        <v>0.2</v>
      </c>
      <c r="G965" t="s">
        <v>102</v>
      </c>
      <c r="K965" s="4">
        <v>0.5</v>
      </c>
      <c r="M965" t="s">
        <v>28</v>
      </c>
      <c r="N965">
        <v>1</v>
      </c>
      <c r="O965" s="3">
        <v>0</v>
      </c>
      <c r="P965">
        <v>22</v>
      </c>
      <c r="Q965">
        <v>6.5</v>
      </c>
      <c r="R965" t="s">
        <v>1083</v>
      </c>
      <c r="S965">
        <v>1</v>
      </c>
      <c r="T965" s="6">
        <f>10^-(14-Q965)</f>
        <v>3.1622776601683699E-8</v>
      </c>
      <c r="U965" s="6">
        <v>1</v>
      </c>
      <c r="V965" s="6">
        <v>0</v>
      </c>
      <c r="W965" s="6">
        <v>0</v>
      </c>
      <c r="X965" s="6">
        <v>0</v>
      </c>
      <c r="Y965" t="s">
        <v>171</v>
      </c>
      <c r="AD965">
        <v>0.1</v>
      </c>
      <c r="AE965">
        <v>200</v>
      </c>
      <c r="AF965">
        <v>1</v>
      </c>
      <c r="AQ965" s="1"/>
    </row>
    <row r="966" spans="1:43" x14ac:dyDescent="0.3">
      <c r="A966" t="s">
        <v>1077</v>
      </c>
      <c r="B966" t="s">
        <v>1621</v>
      </c>
      <c r="C966">
        <v>58</v>
      </c>
      <c r="D966" s="8">
        <v>1.4300999999999999</v>
      </c>
      <c r="E966">
        <v>400</v>
      </c>
      <c r="F966">
        <v>0.2</v>
      </c>
      <c r="G966" t="s">
        <v>102</v>
      </c>
      <c r="K966" s="4">
        <v>0.5</v>
      </c>
      <c r="M966" t="s">
        <v>28</v>
      </c>
      <c r="N966">
        <v>1</v>
      </c>
      <c r="O966" s="3">
        <v>0</v>
      </c>
      <c r="P966">
        <v>22</v>
      </c>
      <c r="Q966">
        <v>6.5</v>
      </c>
      <c r="R966" t="s">
        <v>1083</v>
      </c>
      <c r="S966">
        <v>1</v>
      </c>
      <c r="T966" s="6">
        <f>10^-(14-Q966)</f>
        <v>3.1622776601683699E-8</v>
      </c>
      <c r="U966" s="6">
        <v>1</v>
      </c>
      <c r="V966" s="6">
        <v>0</v>
      </c>
      <c r="W966" s="6">
        <v>0</v>
      </c>
      <c r="X966" s="6">
        <v>0</v>
      </c>
      <c r="Y966" t="s">
        <v>171</v>
      </c>
      <c r="AD966">
        <v>0.1</v>
      </c>
      <c r="AE966">
        <v>150</v>
      </c>
      <c r="AF966">
        <v>2</v>
      </c>
      <c r="AQ966" s="1"/>
    </row>
    <row r="967" spans="1:43" x14ac:dyDescent="0.3">
      <c r="A967" t="s">
        <v>1078</v>
      </c>
      <c r="B967" t="s">
        <v>1621</v>
      </c>
      <c r="C967">
        <v>58</v>
      </c>
      <c r="D967" s="8">
        <v>1.4300999999999999</v>
      </c>
      <c r="E967">
        <v>400</v>
      </c>
      <c r="F967">
        <v>0.2</v>
      </c>
      <c r="G967" t="s">
        <v>102</v>
      </c>
      <c r="K967" s="4">
        <v>0.5</v>
      </c>
      <c r="M967" t="s">
        <v>28</v>
      </c>
      <c r="N967">
        <v>1</v>
      </c>
      <c r="O967" s="3">
        <v>0</v>
      </c>
      <c r="P967">
        <v>22</v>
      </c>
      <c r="Q967">
        <v>6.5</v>
      </c>
      <c r="R967" t="s">
        <v>1083</v>
      </c>
      <c r="S967">
        <v>1</v>
      </c>
      <c r="T967" s="6">
        <f>10^-(14-Q967)</f>
        <v>3.1622776601683699E-8</v>
      </c>
      <c r="U967" s="6">
        <v>1</v>
      </c>
      <c r="V967" s="6">
        <v>0</v>
      </c>
      <c r="W967" s="6">
        <v>0</v>
      </c>
      <c r="X967" s="6">
        <v>0</v>
      </c>
      <c r="Y967" t="s">
        <v>171</v>
      </c>
      <c r="AD967">
        <v>0.1</v>
      </c>
      <c r="AE967">
        <v>140</v>
      </c>
      <c r="AF967">
        <v>1</v>
      </c>
      <c r="AQ967" s="1"/>
    </row>
    <row r="968" spans="1:43" x14ac:dyDescent="0.3">
      <c r="A968" t="s">
        <v>1079</v>
      </c>
      <c r="B968" t="s">
        <v>1621</v>
      </c>
      <c r="C968">
        <v>58</v>
      </c>
      <c r="D968" s="8">
        <v>1.4300999999999999</v>
      </c>
      <c r="E968">
        <v>400</v>
      </c>
      <c r="F968">
        <v>0.2</v>
      </c>
      <c r="G968" t="s">
        <v>102</v>
      </c>
      <c r="K968" s="4">
        <v>0.5</v>
      </c>
      <c r="M968" t="s">
        <v>28</v>
      </c>
      <c r="N968">
        <v>4</v>
      </c>
      <c r="O968" s="3">
        <v>0</v>
      </c>
      <c r="P968">
        <v>22</v>
      </c>
      <c r="Q968">
        <v>6.5</v>
      </c>
      <c r="R968" t="s">
        <v>1083</v>
      </c>
      <c r="S968">
        <v>1</v>
      </c>
      <c r="T968" s="6">
        <f>10^-(14-Q968)</f>
        <v>3.1622776601683699E-8</v>
      </c>
      <c r="U968" s="6">
        <v>1</v>
      </c>
      <c r="V968" s="6">
        <v>0</v>
      </c>
      <c r="W968" s="6">
        <v>0</v>
      </c>
      <c r="X968" s="6">
        <v>0</v>
      </c>
      <c r="Y968" t="s">
        <v>171</v>
      </c>
      <c r="AD968">
        <v>0.1</v>
      </c>
      <c r="AE968">
        <v>30</v>
      </c>
      <c r="AF968">
        <v>1</v>
      </c>
      <c r="AQ968" s="1"/>
    </row>
    <row r="969" spans="1:43" x14ac:dyDescent="0.3">
      <c r="A969" t="s">
        <v>1080</v>
      </c>
      <c r="B969" t="s">
        <v>1621</v>
      </c>
      <c r="C969">
        <v>58</v>
      </c>
      <c r="D969" s="8">
        <v>1.4300999999999999</v>
      </c>
      <c r="E969">
        <v>400</v>
      </c>
      <c r="F969">
        <v>0.2</v>
      </c>
      <c r="G969" t="s">
        <v>102</v>
      </c>
      <c r="K969" s="4">
        <v>0.5</v>
      </c>
      <c r="M969" t="s">
        <v>28</v>
      </c>
      <c r="N969">
        <v>4</v>
      </c>
      <c r="O969" s="3">
        <v>0</v>
      </c>
      <c r="P969">
        <v>40</v>
      </c>
      <c r="Q969">
        <v>6.5</v>
      </c>
      <c r="R969" t="s">
        <v>1083</v>
      </c>
      <c r="S969">
        <v>1</v>
      </c>
      <c r="T969" s="6">
        <f>10^-(14-Q969)</f>
        <v>3.1622776601683699E-8</v>
      </c>
      <c r="U969" s="6">
        <v>1</v>
      </c>
      <c r="V969" s="6">
        <v>0</v>
      </c>
      <c r="W969" s="6">
        <v>0</v>
      </c>
      <c r="X969" s="6">
        <v>0</v>
      </c>
      <c r="Y969" t="s">
        <v>171</v>
      </c>
      <c r="AD969">
        <v>0.1</v>
      </c>
      <c r="AE969">
        <v>-50</v>
      </c>
      <c r="AF969">
        <v>1</v>
      </c>
      <c r="AQ969" s="1"/>
    </row>
    <row r="970" spans="1:43" x14ac:dyDescent="0.3">
      <c r="A970" t="s">
        <v>1081</v>
      </c>
      <c r="B970" t="s">
        <v>1621</v>
      </c>
      <c r="C970">
        <v>58</v>
      </c>
      <c r="D970" s="8">
        <v>1.4300999999999999</v>
      </c>
      <c r="E970">
        <v>400</v>
      </c>
      <c r="F970">
        <v>0.2</v>
      </c>
      <c r="G970" t="s">
        <v>102</v>
      </c>
      <c r="K970" s="4">
        <v>0.5</v>
      </c>
      <c r="M970" t="s">
        <v>28</v>
      </c>
      <c r="N970">
        <v>0.1</v>
      </c>
      <c r="O970" s="3">
        <v>0</v>
      </c>
      <c r="P970">
        <v>40</v>
      </c>
      <c r="Q970">
        <v>6.5</v>
      </c>
      <c r="R970" t="s">
        <v>1084</v>
      </c>
      <c r="S970">
        <v>0.02</v>
      </c>
      <c r="T970" s="6">
        <f>10^-(14-Q970)</f>
        <v>3.1622776601683699E-8</v>
      </c>
      <c r="U970" s="6">
        <v>0.02</v>
      </c>
      <c r="V970" s="6">
        <v>0</v>
      </c>
      <c r="W970" s="6">
        <v>0</v>
      </c>
      <c r="X970" s="6">
        <v>0</v>
      </c>
      <c r="Y970" t="s">
        <v>171</v>
      </c>
      <c r="AD970">
        <v>0.1</v>
      </c>
      <c r="AE970">
        <v>275</v>
      </c>
      <c r="AF970">
        <v>1</v>
      </c>
      <c r="AQ970" s="1"/>
    </row>
    <row r="971" spans="1:43" x14ac:dyDescent="0.3">
      <c r="A971" t="s">
        <v>1082</v>
      </c>
      <c r="B971" t="s">
        <v>1621</v>
      </c>
      <c r="C971">
        <v>58</v>
      </c>
      <c r="D971" s="8">
        <v>1.4300999999999999</v>
      </c>
      <c r="E971">
        <v>400</v>
      </c>
      <c r="F971">
        <v>0.2</v>
      </c>
      <c r="G971" t="s">
        <v>102</v>
      </c>
      <c r="K971" s="4">
        <v>0.5</v>
      </c>
      <c r="M971" t="s">
        <v>28</v>
      </c>
      <c r="N971">
        <v>5.0000000000000001E-3</v>
      </c>
      <c r="O971" s="3">
        <v>0</v>
      </c>
      <c r="P971">
        <v>40</v>
      </c>
      <c r="Q971">
        <v>6.5</v>
      </c>
      <c r="R971" t="s">
        <v>1084</v>
      </c>
      <c r="S971">
        <v>0.02</v>
      </c>
      <c r="T971" s="6">
        <f>10^-(14-Q971)</f>
        <v>3.1622776601683699E-8</v>
      </c>
      <c r="U971" s="6">
        <v>0.02</v>
      </c>
      <c r="V971" s="6">
        <v>0</v>
      </c>
      <c r="W971" s="6">
        <v>0</v>
      </c>
      <c r="X971" s="6">
        <v>0</v>
      </c>
      <c r="Y971" t="s">
        <v>171</v>
      </c>
      <c r="AD971">
        <v>0.1</v>
      </c>
      <c r="AE971">
        <v>900</v>
      </c>
      <c r="AF971">
        <v>2</v>
      </c>
      <c r="AQ971" s="1"/>
    </row>
    <row r="972" spans="1:43" x14ac:dyDescent="0.3">
      <c r="A972" t="s">
        <v>1087</v>
      </c>
      <c r="B972" t="s">
        <v>1621</v>
      </c>
      <c r="C972">
        <v>58</v>
      </c>
      <c r="D972" s="8">
        <v>1.4300999999999999</v>
      </c>
      <c r="E972">
        <v>400</v>
      </c>
      <c r="F972">
        <v>0.2</v>
      </c>
      <c r="G972" t="s">
        <v>102</v>
      </c>
      <c r="K972" s="4">
        <v>0.5</v>
      </c>
      <c r="M972" t="s">
        <v>28</v>
      </c>
      <c r="N972">
        <v>0.01</v>
      </c>
      <c r="O972" s="3">
        <v>0</v>
      </c>
      <c r="P972">
        <v>40</v>
      </c>
      <c r="Q972">
        <v>6.5</v>
      </c>
      <c r="R972" t="s">
        <v>1084</v>
      </c>
      <c r="S972">
        <v>0.02</v>
      </c>
      <c r="T972" s="6">
        <f>10^-(14-Q972)</f>
        <v>3.1622776601683699E-8</v>
      </c>
      <c r="U972" s="6">
        <v>0.02</v>
      </c>
      <c r="V972" s="6">
        <v>0</v>
      </c>
      <c r="W972" s="6">
        <v>0</v>
      </c>
      <c r="X972" s="6">
        <v>0</v>
      </c>
      <c r="Y972" t="s">
        <v>171</v>
      </c>
      <c r="AD972">
        <v>0.1</v>
      </c>
      <c r="AE972">
        <v>900</v>
      </c>
      <c r="AF972">
        <v>2</v>
      </c>
      <c r="AQ972" s="1"/>
    </row>
    <row r="973" spans="1:43" x14ac:dyDescent="0.3">
      <c r="A973" t="s">
        <v>1088</v>
      </c>
      <c r="B973" t="s">
        <v>1621</v>
      </c>
      <c r="C973">
        <v>58</v>
      </c>
      <c r="D973" s="8">
        <v>1.4300999999999999</v>
      </c>
      <c r="E973">
        <v>400</v>
      </c>
      <c r="F973">
        <v>0.2</v>
      </c>
      <c r="G973" t="s">
        <v>102</v>
      </c>
      <c r="K973" s="4">
        <v>0.5</v>
      </c>
      <c r="M973" t="s">
        <v>28</v>
      </c>
      <c r="N973">
        <v>1</v>
      </c>
      <c r="O973" s="3">
        <v>0</v>
      </c>
      <c r="P973">
        <v>40</v>
      </c>
      <c r="Q973">
        <v>6.5</v>
      </c>
      <c r="R973" t="s">
        <v>1084</v>
      </c>
      <c r="S973">
        <v>0.02</v>
      </c>
      <c r="T973" s="6">
        <f>10^-(14-Q973)</f>
        <v>3.1622776601683699E-8</v>
      </c>
      <c r="U973" s="6">
        <v>0.02</v>
      </c>
      <c r="V973" s="6">
        <v>0</v>
      </c>
      <c r="W973" s="6">
        <v>0</v>
      </c>
      <c r="X973" s="6">
        <v>0</v>
      </c>
      <c r="Y973" t="s">
        <v>171</v>
      </c>
      <c r="AD973">
        <v>0.1</v>
      </c>
      <c r="AE973">
        <v>90</v>
      </c>
      <c r="AF973">
        <v>1</v>
      </c>
      <c r="AQ973" s="1"/>
    </row>
    <row r="974" spans="1:43" x14ac:dyDescent="0.3">
      <c r="A974" t="s">
        <v>1089</v>
      </c>
      <c r="B974" t="s">
        <v>1621</v>
      </c>
      <c r="C974">
        <v>58</v>
      </c>
      <c r="D974" s="8">
        <v>1.4300999999999999</v>
      </c>
      <c r="E974">
        <v>400</v>
      </c>
      <c r="F974">
        <v>0.2</v>
      </c>
      <c r="G974" t="s">
        <v>102</v>
      </c>
      <c r="K974" s="4">
        <v>0.5</v>
      </c>
      <c r="M974" t="s">
        <v>28</v>
      </c>
      <c r="N974">
        <v>0.1</v>
      </c>
      <c r="O974" s="3">
        <v>0</v>
      </c>
      <c r="P974">
        <v>40</v>
      </c>
      <c r="Q974">
        <v>6.5</v>
      </c>
      <c r="R974" t="s">
        <v>1085</v>
      </c>
      <c r="S974">
        <v>0.2</v>
      </c>
      <c r="T974" s="6">
        <f>10^-(14-Q974)</f>
        <v>3.1622776601683699E-8</v>
      </c>
      <c r="U974" s="6">
        <v>0.2</v>
      </c>
      <c r="V974" s="6">
        <v>0</v>
      </c>
      <c r="W974" s="6">
        <v>0</v>
      </c>
      <c r="X974" s="6">
        <v>0</v>
      </c>
      <c r="Y974" t="s">
        <v>171</v>
      </c>
      <c r="AD974">
        <v>0.1</v>
      </c>
      <c r="AE974">
        <v>700</v>
      </c>
      <c r="AF974">
        <v>1</v>
      </c>
      <c r="AQ974" s="1"/>
    </row>
    <row r="975" spans="1:43" x14ac:dyDescent="0.3">
      <c r="A975" t="s">
        <v>1090</v>
      </c>
      <c r="B975" t="s">
        <v>1621</v>
      </c>
      <c r="C975">
        <v>58</v>
      </c>
      <c r="D975" s="8">
        <v>1.4300999999999999</v>
      </c>
      <c r="E975">
        <v>400</v>
      </c>
      <c r="F975">
        <v>0.2</v>
      </c>
      <c r="G975" t="s">
        <v>102</v>
      </c>
      <c r="K975" s="4">
        <v>0.5</v>
      </c>
      <c r="M975" t="s">
        <v>28</v>
      </c>
      <c r="N975">
        <v>0.2</v>
      </c>
      <c r="O975" s="3">
        <v>0</v>
      </c>
      <c r="P975">
        <v>40</v>
      </c>
      <c r="Q975">
        <v>6.5</v>
      </c>
      <c r="R975" t="s">
        <v>1085</v>
      </c>
      <c r="S975">
        <v>0.2</v>
      </c>
      <c r="T975" s="6">
        <f>10^-(14-Q975)</f>
        <v>3.1622776601683699E-8</v>
      </c>
      <c r="U975" s="6">
        <v>0.2</v>
      </c>
      <c r="V975" s="6">
        <v>0</v>
      </c>
      <c r="W975" s="6">
        <v>0</v>
      </c>
      <c r="X975" s="6">
        <v>0</v>
      </c>
      <c r="Y975" t="s">
        <v>171</v>
      </c>
      <c r="AD975">
        <v>0.1</v>
      </c>
      <c r="AE975">
        <v>250</v>
      </c>
      <c r="AF975">
        <v>1</v>
      </c>
      <c r="AQ975" s="1"/>
    </row>
    <row r="976" spans="1:43" x14ac:dyDescent="0.3">
      <c r="A976" t="s">
        <v>1091</v>
      </c>
      <c r="B976" t="s">
        <v>1621</v>
      </c>
      <c r="C976">
        <v>58</v>
      </c>
      <c r="D976" s="8">
        <v>1.4300999999999999</v>
      </c>
      <c r="E976">
        <v>400</v>
      </c>
      <c r="F976">
        <v>0.2</v>
      </c>
      <c r="G976" t="s">
        <v>102</v>
      </c>
      <c r="K976" s="4">
        <v>0.5</v>
      </c>
      <c r="M976" t="s">
        <v>28</v>
      </c>
      <c r="N976">
        <v>0.5</v>
      </c>
      <c r="O976" s="3">
        <v>0</v>
      </c>
      <c r="P976">
        <v>40</v>
      </c>
      <c r="Q976">
        <v>6.5</v>
      </c>
      <c r="R976" t="s">
        <v>1085</v>
      </c>
      <c r="S976">
        <v>0.2</v>
      </c>
      <c r="T976" s="6">
        <f>10^-(14-Q976)</f>
        <v>3.1622776601683699E-8</v>
      </c>
      <c r="U976" s="6">
        <v>0.2</v>
      </c>
      <c r="V976" s="6">
        <v>0</v>
      </c>
      <c r="W976" s="6">
        <v>0</v>
      </c>
      <c r="X976" s="6">
        <v>0</v>
      </c>
      <c r="Y976" t="s">
        <v>171</v>
      </c>
      <c r="AD976">
        <v>0.1</v>
      </c>
      <c r="AE976">
        <v>150</v>
      </c>
      <c r="AF976">
        <v>1</v>
      </c>
      <c r="AQ976" s="1"/>
    </row>
    <row r="977" spans="1:43" x14ac:dyDescent="0.3">
      <c r="A977" t="s">
        <v>1092</v>
      </c>
      <c r="B977" t="s">
        <v>1621</v>
      </c>
      <c r="C977">
        <v>58</v>
      </c>
      <c r="D977" s="8">
        <v>1.4300999999999999</v>
      </c>
      <c r="E977">
        <v>400</v>
      </c>
      <c r="F977">
        <v>0.2</v>
      </c>
      <c r="G977" t="s">
        <v>102</v>
      </c>
      <c r="K977" s="4">
        <v>0.5</v>
      </c>
      <c r="M977" t="s">
        <v>28</v>
      </c>
      <c r="N977">
        <v>1</v>
      </c>
      <c r="O977" s="3">
        <v>0</v>
      </c>
      <c r="P977">
        <v>40</v>
      </c>
      <c r="Q977">
        <v>6.5</v>
      </c>
      <c r="R977" t="s">
        <v>1085</v>
      </c>
      <c r="S977">
        <v>0.2</v>
      </c>
      <c r="T977" s="6">
        <f>10^-(14-Q977)</f>
        <v>3.1622776601683699E-8</v>
      </c>
      <c r="U977" s="6">
        <v>0.2</v>
      </c>
      <c r="V977" s="6">
        <v>0</v>
      </c>
      <c r="W977" s="6">
        <v>0</v>
      </c>
      <c r="X977" s="6">
        <v>0</v>
      </c>
      <c r="Y977" t="s">
        <v>171</v>
      </c>
      <c r="AD977">
        <v>0.1</v>
      </c>
      <c r="AE977">
        <v>80</v>
      </c>
      <c r="AF977">
        <v>1</v>
      </c>
      <c r="AQ977" s="1"/>
    </row>
    <row r="978" spans="1:43" x14ac:dyDescent="0.3">
      <c r="A978" t="s">
        <v>1093</v>
      </c>
      <c r="B978" t="s">
        <v>1621</v>
      </c>
      <c r="C978">
        <v>58</v>
      </c>
      <c r="D978" s="8">
        <v>1.4300999999999999</v>
      </c>
      <c r="E978">
        <v>400</v>
      </c>
      <c r="F978">
        <v>0.2</v>
      </c>
      <c r="G978" t="s">
        <v>102</v>
      </c>
      <c r="K978" s="4">
        <v>0.5</v>
      </c>
      <c r="M978" t="s">
        <v>28</v>
      </c>
      <c r="N978">
        <v>2</v>
      </c>
      <c r="O978" s="3">
        <v>0</v>
      </c>
      <c r="P978">
        <v>40</v>
      </c>
      <c r="Q978">
        <v>6.5</v>
      </c>
      <c r="R978" t="s">
        <v>1085</v>
      </c>
      <c r="S978">
        <v>0.2</v>
      </c>
      <c r="T978" s="6">
        <f>10^-(14-Q978)</f>
        <v>3.1622776601683699E-8</v>
      </c>
      <c r="U978" s="6">
        <v>0.2</v>
      </c>
      <c r="V978" s="6">
        <v>0</v>
      </c>
      <c r="W978" s="6">
        <v>0</v>
      </c>
      <c r="X978" s="6">
        <v>0</v>
      </c>
      <c r="Y978" t="s">
        <v>171</v>
      </c>
      <c r="AD978">
        <v>0.1</v>
      </c>
      <c r="AE978">
        <v>60</v>
      </c>
      <c r="AF978">
        <v>1</v>
      </c>
      <c r="AQ978" s="1"/>
    </row>
    <row r="979" spans="1:43" x14ac:dyDescent="0.3">
      <c r="A979" t="s">
        <v>1094</v>
      </c>
      <c r="B979" t="s">
        <v>1621</v>
      </c>
      <c r="C979">
        <v>58</v>
      </c>
      <c r="D979" s="8">
        <v>1.4300999999999999</v>
      </c>
      <c r="E979">
        <v>400</v>
      </c>
      <c r="F979">
        <v>0.2</v>
      </c>
      <c r="G979" t="s">
        <v>102</v>
      </c>
      <c r="K979" s="4">
        <v>0.5</v>
      </c>
      <c r="M979" t="s">
        <v>28</v>
      </c>
      <c r="N979">
        <v>2</v>
      </c>
      <c r="O979" s="3">
        <v>0</v>
      </c>
      <c r="P979">
        <v>40</v>
      </c>
      <c r="Q979">
        <v>6.5</v>
      </c>
      <c r="R979" t="s">
        <v>1085</v>
      </c>
      <c r="S979">
        <v>0.2</v>
      </c>
      <c r="T979" s="6">
        <f>10^-(14-Q979)</f>
        <v>3.1622776601683699E-8</v>
      </c>
      <c r="U979" s="6">
        <v>0.2</v>
      </c>
      <c r="V979" s="6">
        <v>0</v>
      </c>
      <c r="W979" s="6">
        <v>0</v>
      </c>
      <c r="X979" s="6">
        <v>0</v>
      </c>
      <c r="Y979" t="s">
        <v>171</v>
      </c>
      <c r="AD979">
        <v>0.1</v>
      </c>
      <c r="AE979">
        <v>20</v>
      </c>
      <c r="AF979">
        <v>1</v>
      </c>
      <c r="AQ979" s="1"/>
    </row>
    <row r="980" spans="1:43" x14ac:dyDescent="0.3">
      <c r="A980" t="s">
        <v>1095</v>
      </c>
      <c r="B980" t="s">
        <v>1621</v>
      </c>
      <c r="C980">
        <v>58</v>
      </c>
      <c r="D980" s="8">
        <v>1.4300999999999999</v>
      </c>
      <c r="E980">
        <v>400</v>
      </c>
      <c r="F980">
        <v>0.2</v>
      </c>
      <c r="G980" t="s">
        <v>102</v>
      </c>
      <c r="K980" s="4">
        <v>0.5</v>
      </c>
      <c r="M980" t="s">
        <v>28</v>
      </c>
      <c r="N980">
        <v>5</v>
      </c>
      <c r="O980" s="3">
        <v>0</v>
      </c>
      <c r="P980">
        <v>40</v>
      </c>
      <c r="Q980">
        <v>6.5</v>
      </c>
      <c r="R980" t="s">
        <v>1085</v>
      </c>
      <c r="S980">
        <v>0.2</v>
      </c>
      <c r="T980" s="6">
        <f>10^-(14-Q980)</f>
        <v>3.1622776601683699E-8</v>
      </c>
      <c r="U980" s="6">
        <v>0.2</v>
      </c>
      <c r="V980" s="6">
        <v>0</v>
      </c>
      <c r="W980" s="6">
        <v>0</v>
      </c>
      <c r="X980" s="6">
        <v>0</v>
      </c>
      <c r="Y980" t="s">
        <v>171</v>
      </c>
      <c r="AD980">
        <v>0.1</v>
      </c>
      <c r="AE980">
        <v>-40</v>
      </c>
      <c r="AF980">
        <v>1</v>
      </c>
      <c r="AQ980" s="1"/>
    </row>
    <row r="981" spans="1:43" x14ac:dyDescent="0.3">
      <c r="A981" t="s">
        <v>1096</v>
      </c>
      <c r="B981" t="s">
        <v>1621</v>
      </c>
      <c r="C981">
        <v>58</v>
      </c>
      <c r="D981" s="8">
        <v>1.4300999999999999</v>
      </c>
      <c r="E981">
        <v>400</v>
      </c>
      <c r="F981">
        <v>0.2</v>
      </c>
      <c r="G981" t="s">
        <v>102</v>
      </c>
      <c r="K981" s="4">
        <v>0.5</v>
      </c>
      <c r="M981" t="s">
        <v>28</v>
      </c>
      <c r="N981">
        <v>5</v>
      </c>
      <c r="O981" s="3">
        <v>0</v>
      </c>
      <c r="P981">
        <v>40</v>
      </c>
      <c r="Q981">
        <v>6.5</v>
      </c>
      <c r="R981" t="s">
        <v>1085</v>
      </c>
      <c r="S981">
        <v>0.2</v>
      </c>
      <c r="T981" s="6">
        <f>10^-(14-Q981)</f>
        <v>3.1622776601683699E-8</v>
      </c>
      <c r="U981" s="6">
        <v>0.2</v>
      </c>
      <c r="V981" s="6">
        <v>0</v>
      </c>
      <c r="W981" s="6">
        <v>0</v>
      </c>
      <c r="X981" s="6">
        <v>0</v>
      </c>
      <c r="Y981" t="s">
        <v>171</v>
      </c>
      <c r="AD981">
        <v>0.1</v>
      </c>
      <c r="AE981">
        <v>-100</v>
      </c>
      <c r="AF981">
        <v>1</v>
      </c>
      <c r="AQ981" s="1"/>
    </row>
    <row r="982" spans="1:43" x14ac:dyDescent="0.3">
      <c r="A982" t="s">
        <v>1097</v>
      </c>
      <c r="B982" t="s">
        <v>1621</v>
      </c>
      <c r="C982">
        <v>58</v>
      </c>
      <c r="D982" s="8">
        <v>1.4300999999999999</v>
      </c>
      <c r="E982">
        <v>400</v>
      </c>
      <c r="F982">
        <v>0.2</v>
      </c>
      <c r="G982" t="s">
        <v>102</v>
      </c>
      <c r="K982" s="4">
        <v>0.5</v>
      </c>
      <c r="M982" t="s">
        <v>28</v>
      </c>
      <c r="N982">
        <v>0.25</v>
      </c>
      <c r="O982" s="3">
        <v>0</v>
      </c>
      <c r="P982">
        <v>40</v>
      </c>
      <c r="Q982">
        <v>6.5</v>
      </c>
      <c r="R982" t="s">
        <v>1086</v>
      </c>
      <c r="S982">
        <v>1</v>
      </c>
      <c r="T982" s="6">
        <f>10^-(14-Q982)</f>
        <v>3.1622776601683699E-8</v>
      </c>
      <c r="U982" s="6">
        <v>1</v>
      </c>
      <c r="V982" s="6">
        <v>0</v>
      </c>
      <c r="W982" s="6">
        <v>0</v>
      </c>
      <c r="X982" s="6">
        <v>0</v>
      </c>
      <c r="Y982" t="s">
        <v>171</v>
      </c>
      <c r="AD982">
        <v>0.1</v>
      </c>
      <c r="AE982">
        <v>800</v>
      </c>
      <c r="AF982">
        <v>2</v>
      </c>
      <c r="AQ982" s="1"/>
    </row>
    <row r="983" spans="1:43" x14ac:dyDescent="0.3">
      <c r="A983" t="s">
        <v>1098</v>
      </c>
      <c r="B983" t="s">
        <v>1621</v>
      </c>
      <c r="C983">
        <v>58</v>
      </c>
      <c r="D983" s="8">
        <v>1.4300999999999999</v>
      </c>
      <c r="E983">
        <v>400</v>
      </c>
      <c r="F983">
        <v>0.2</v>
      </c>
      <c r="G983" t="s">
        <v>102</v>
      </c>
      <c r="K983" s="4">
        <v>0.5</v>
      </c>
      <c r="M983" t="s">
        <v>28</v>
      </c>
      <c r="N983">
        <v>0.5</v>
      </c>
      <c r="O983" s="3">
        <v>0</v>
      </c>
      <c r="P983">
        <v>40</v>
      </c>
      <c r="Q983">
        <v>6.5</v>
      </c>
      <c r="R983" t="s">
        <v>1086</v>
      </c>
      <c r="S983">
        <v>1</v>
      </c>
      <c r="T983" s="6">
        <f>10^-(14-Q983)</f>
        <v>3.1622776601683699E-8</v>
      </c>
      <c r="U983" s="6">
        <v>1</v>
      </c>
      <c r="V983" s="6">
        <v>0</v>
      </c>
      <c r="W983" s="6">
        <v>0</v>
      </c>
      <c r="X983" s="6">
        <v>0</v>
      </c>
      <c r="Y983" t="s">
        <v>171</v>
      </c>
      <c r="AD983">
        <v>0.1</v>
      </c>
      <c r="AE983">
        <v>250</v>
      </c>
      <c r="AF983">
        <v>1</v>
      </c>
      <c r="AQ983" s="1"/>
    </row>
    <row r="984" spans="1:43" x14ac:dyDescent="0.3">
      <c r="A984" t="s">
        <v>1099</v>
      </c>
      <c r="B984" t="s">
        <v>1621</v>
      </c>
      <c r="C984">
        <v>58</v>
      </c>
      <c r="D984" s="8">
        <v>1.4300999999999999</v>
      </c>
      <c r="E984">
        <v>400</v>
      </c>
      <c r="F984">
        <v>0.2</v>
      </c>
      <c r="G984" t="s">
        <v>102</v>
      </c>
      <c r="K984" s="4">
        <v>0.5</v>
      </c>
      <c r="M984" t="s">
        <v>28</v>
      </c>
      <c r="N984">
        <v>4</v>
      </c>
      <c r="O984" s="3">
        <v>0</v>
      </c>
      <c r="P984">
        <v>40</v>
      </c>
      <c r="Q984">
        <v>6.5</v>
      </c>
      <c r="R984" t="s">
        <v>1086</v>
      </c>
      <c r="S984">
        <v>1</v>
      </c>
      <c r="T984" s="6">
        <f>10^-(14-Q984)</f>
        <v>3.1622776601683699E-8</v>
      </c>
      <c r="U984" s="6">
        <v>1</v>
      </c>
      <c r="V984" s="6">
        <v>0</v>
      </c>
      <c r="W984" s="6">
        <v>0</v>
      </c>
      <c r="X984" s="6">
        <v>0</v>
      </c>
      <c r="Y984" t="s">
        <v>171</v>
      </c>
      <c r="AD984">
        <v>0.1</v>
      </c>
      <c r="AE984">
        <v>-50</v>
      </c>
      <c r="AF984">
        <v>1</v>
      </c>
      <c r="AQ984" s="1"/>
    </row>
    <row r="985" spans="1:43" x14ac:dyDescent="0.3">
      <c r="A985" t="s">
        <v>1100</v>
      </c>
      <c r="B985" t="s">
        <v>1621</v>
      </c>
      <c r="C985">
        <v>58</v>
      </c>
      <c r="D985" s="8">
        <v>1.4003000000000001</v>
      </c>
      <c r="E985">
        <v>60</v>
      </c>
      <c r="F985">
        <v>2.9</v>
      </c>
      <c r="G985" t="s">
        <v>102</v>
      </c>
      <c r="K985" s="4">
        <v>0.5</v>
      </c>
      <c r="M985" t="s">
        <v>28</v>
      </c>
      <c r="N985">
        <v>5.0000000000000001E-4</v>
      </c>
      <c r="O985" s="3">
        <v>0</v>
      </c>
      <c r="P985">
        <v>22</v>
      </c>
      <c r="Q985">
        <v>6.5</v>
      </c>
      <c r="R985" t="s">
        <v>102</v>
      </c>
      <c r="S985">
        <v>0</v>
      </c>
      <c r="T985" s="6">
        <f>10^-(14-Q985)</f>
        <v>3.1622776601683699E-8</v>
      </c>
      <c r="U985" s="6">
        <v>0</v>
      </c>
      <c r="V985" s="6">
        <v>0</v>
      </c>
      <c r="W985" s="6">
        <v>0</v>
      </c>
      <c r="X985" s="6">
        <v>0</v>
      </c>
      <c r="Y985" t="s">
        <v>171</v>
      </c>
      <c r="AD985">
        <v>0.1</v>
      </c>
      <c r="AE985">
        <v>300</v>
      </c>
      <c r="AF985">
        <v>1</v>
      </c>
      <c r="AQ985" s="1"/>
    </row>
    <row r="986" spans="1:43" x14ac:dyDescent="0.3">
      <c r="A986" t="s">
        <v>1101</v>
      </c>
      <c r="B986" t="s">
        <v>1621</v>
      </c>
      <c r="C986">
        <v>58</v>
      </c>
      <c r="D986" s="8">
        <v>1.4003000000000001</v>
      </c>
      <c r="E986">
        <v>60</v>
      </c>
      <c r="F986">
        <v>2.9</v>
      </c>
      <c r="G986" t="s">
        <v>102</v>
      </c>
      <c r="K986" s="4">
        <v>0.5</v>
      </c>
      <c r="M986" t="s">
        <v>28</v>
      </c>
      <c r="N986">
        <v>2E-3</v>
      </c>
      <c r="O986" s="3">
        <v>0</v>
      </c>
      <c r="P986">
        <v>22</v>
      </c>
      <c r="Q986">
        <v>6.5</v>
      </c>
      <c r="R986" t="s">
        <v>102</v>
      </c>
      <c r="S986">
        <v>0</v>
      </c>
      <c r="T986" s="6">
        <f>10^-(14-Q986)</f>
        <v>3.1622776601683699E-8</v>
      </c>
      <c r="U986" s="6">
        <v>0</v>
      </c>
      <c r="V986" s="6">
        <v>0</v>
      </c>
      <c r="W986" s="6">
        <v>0</v>
      </c>
      <c r="X986" s="6">
        <v>0</v>
      </c>
      <c r="Y986" t="s">
        <v>171</v>
      </c>
      <c r="AD986">
        <v>0.1</v>
      </c>
      <c r="AE986">
        <v>220</v>
      </c>
      <c r="AF986">
        <v>1</v>
      </c>
      <c r="AQ986" s="1"/>
    </row>
    <row r="987" spans="1:43" x14ac:dyDescent="0.3">
      <c r="A987" t="s">
        <v>1102</v>
      </c>
      <c r="B987" t="s">
        <v>1621</v>
      </c>
      <c r="C987">
        <v>58</v>
      </c>
      <c r="D987" s="8">
        <v>1.4003000000000001</v>
      </c>
      <c r="E987">
        <v>60</v>
      </c>
      <c r="F987">
        <v>2.9</v>
      </c>
      <c r="G987" t="s">
        <v>102</v>
      </c>
      <c r="K987" s="4">
        <v>0.5</v>
      </c>
      <c r="M987" t="s">
        <v>28</v>
      </c>
      <c r="N987">
        <v>2E-3</v>
      </c>
      <c r="O987" s="3">
        <v>0</v>
      </c>
      <c r="P987">
        <v>22</v>
      </c>
      <c r="Q987">
        <v>6.5</v>
      </c>
      <c r="R987" t="s">
        <v>102</v>
      </c>
      <c r="S987">
        <v>0</v>
      </c>
      <c r="T987" s="6">
        <f>10^-(14-Q987)</f>
        <v>3.1622776601683699E-8</v>
      </c>
      <c r="U987" s="6">
        <v>0</v>
      </c>
      <c r="V987" s="6">
        <v>0</v>
      </c>
      <c r="W987" s="6">
        <v>0</v>
      </c>
      <c r="X987" s="6">
        <v>0</v>
      </c>
      <c r="Y987" t="s">
        <v>171</v>
      </c>
      <c r="AD987">
        <v>0.1</v>
      </c>
      <c r="AE987">
        <v>200</v>
      </c>
      <c r="AF987">
        <v>1</v>
      </c>
      <c r="AQ987" s="1"/>
    </row>
    <row r="988" spans="1:43" x14ac:dyDescent="0.3">
      <c r="A988" t="s">
        <v>1103</v>
      </c>
      <c r="B988" t="s">
        <v>1621</v>
      </c>
      <c r="C988">
        <v>58</v>
      </c>
      <c r="D988" s="8">
        <v>1.4003000000000001</v>
      </c>
      <c r="E988">
        <v>60</v>
      </c>
      <c r="F988">
        <v>2.9</v>
      </c>
      <c r="G988" t="s">
        <v>102</v>
      </c>
      <c r="K988" s="4">
        <v>0.5</v>
      </c>
      <c r="M988" t="s">
        <v>28</v>
      </c>
      <c r="N988">
        <v>0.01</v>
      </c>
      <c r="O988" s="3">
        <v>0</v>
      </c>
      <c r="P988">
        <v>22</v>
      </c>
      <c r="Q988">
        <v>6.5</v>
      </c>
      <c r="R988" t="s">
        <v>102</v>
      </c>
      <c r="S988">
        <v>0</v>
      </c>
      <c r="T988" s="6">
        <f>10^-(14-Q988)</f>
        <v>3.1622776601683699E-8</v>
      </c>
      <c r="U988" s="6">
        <v>0</v>
      </c>
      <c r="V988" s="6">
        <v>0</v>
      </c>
      <c r="W988" s="6">
        <v>0</v>
      </c>
      <c r="X988" s="6">
        <v>0</v>
      </c>
      <c r="Y988" t="s">
        <v>171</v>
      </c>
      <c r="AD988">
        <v>0.1</v>
      </c>
      <c r="AE988">
        <v>80</v>
      </c>
      <c r="AF988">
        <v>1</v>
      </c>
      <c r="AQ988" s="1"/>
    </row>
    <row r="989" spans="1:43" x14ac:dyDescent="0.3">
      <c r="A989" t="s">
        <v>1104</v>
      </c>
      <c r="B989" t="s">
        <v>1621</v>
      </c>
      <c r="C989">
        <v>58</v>
      </c>
      <c r="D989" s="8">
        <v>1.4003000000000001</v>
      </c>
      <c r="E989">
        <v>60</v>
      </c>
      <c r="F989">
        <v>2.9</v>
      </c>
      <c r="G989" t="s">
        <v>102</v>
      </c>
      <c r="K989" s="4">
        <v>0.5</v>
      </c>
      <c r="M989" t="s">
        <v>28</v>
      </c>
      <c r="N989">
        <v>0.1</v>
      </c>
      <c r="O989" s="3">
        <v>0</v>
      </c>
      <c r="P989">
        <v>22</v>
      </c>
      <c r="Q989">
        <v>6.5</v>
      </c>
      <c r="R989" t="s">
        <v>102</v>
      </c>
      <c r="S989">
        <v>0</v>
      </c>
      <c r="T989" s="6">
        <f>10^-(14-Q989)</f>
        <v>3.1622776601683699E-8</v>
      </c>
      <c r="U989" s="6">
        <v>0</v>
      </c>
      <c r="V989" s="6">
        <v>0</v>
      </c>
      <c r="W989" s="6">
        <v>0</v>
      </c>
      <c r="X989" s="6">
        <v>0</v>
      </c>
      <c r="Y989" t="s">
        <v>171</v>
      </c>
      <c r="AD989">
        <v>0.1</v>
      </c>
      <c r="AE989">
        <v>0</v>
      </c>
      <c r="AF989">
        <v>1</v>
      </c>
      <c r="AQ989" s="1"/>
    </row>
    <row r="990" spans="1:43" x14ac:dyDescent="0.3">
      <c r="A990" t="s">
        <v>1105</v>
      </c>
      <c r="B990" t="s">
        <v>1621</v>
      </c>
      <c r="C990">
        <v>58</v>
      </c>
      <c r="D990" s="8">
        <v>1.4003000000000001</v>
      </c>
      <c r="E990">
        <v>60</v>
      </c>
      <c r="F990">
        <v>2.9</v>
      </c>
      <c r="G990" t="s">
        <v>102</v>
      </c>
      <c r="K990" s="4">
        <v>0.5</v>
      </c>
      <c r="M990" t="s">
        <v>28</v>
      </c>
      <c r="N990">
        <v>1</v>
      </c>
      <c r="O990" s="3">
        <v>0</v>
      </c>
      <c r="P990">
        <v>22</v>
      </c>
      <c r="Q990">
        <v>6.5</v>
      </c>
      <c r="R990" t="s">
        <v>102</v>
      </c>
      <c r="S990">
        <v>0</v>
      </c>
      <c r="T990" s="6">
        <f>10^-(14-Q990)</f>
        <v>3.1622776601683699E-8</v>
      </c>
      <c r="U990" s="6">
        <v>0</v>
      </c>
      <c r="V990" s="6">
        <v>0</v>
      </c>
      <c r="W990" s="6">
        <v>0</v>
      </c>
      <c r="X990" s="6">
        <v>0</v>
      </c>
      <c r="Y990" t="s">
        <v>171</v>
      </c>
      <c r="AD990">
        <v>0.1</v>
      </c>
      <c r="AE990">
        <v>-60</v>
      </c>
      <c r="AF990">
        <v>1</v>
      </c>
      <c r="AQ990" s="1"/>
    </row>
    <row r="991" spans="1:43" x14ac:dyDescent="0.3">
      <c r="A991" t="s">
        <v>1106</v>
      </c>
      <c r="B991" t="s">
        <v>1621</v>
      </c>
      <c r="C991">
        <v>58</v>
      </c>
      <c r="D991" s="8">
        <v>1.4003000000000001</v>
      </c>
      <c r="E991">
        <v>60</v>
      </c>
      <c r="F991">
        <v>2.9</v>
      </c>
      <c r="G991" t="s">
        <v>102</v>
      </c>
      <c r="K991" s="4">
        <v>0.5</v>
      </c>
      <c r="M991" t="s">
        <v>28</v>
      </c>
      <c r="N991">
        <v>5</v>
      </c>
      <c r="O991" s="3">
        <v>0</v>
      </c>
      <c r="P991">
        <v>22</v>
      </c>
      <c r="Q991">
        <v>6.5</v>
      </c>
      <c r="R991" t="s">
        <v>102</v>
      </c>
      <c r="S991">
        <v>0</v>
      </c>
      <c r="T991" s="6">
        <f>10^-(14-Q991)</f>
        <v>3.1622776601683699E-8</v>
      </c>
      <c r="U991" s="6">
        <v>0</v>
      </c>
      <c r="V991" s="6">
        <v>0</v>
      </c>
      <c r="W991" s="6">
        <v>0</v>
      </c>
      <c r="X991" s="6">
        <v>0</v>
      </c>
      <c r="Y991" t="s">
        <v>171</v>
      </c>
      <c r="AD991">
        <v>0.1</v>
      </c>
      <c r="AE991">
        <v>-320</v>
      </c>
      <c r="AF991">
        <v>1</v>
      </c>
      <c r="AQ991" s="1"/>
    </row>
    <row r="992" spans="1:43" x14ac:dyDescent="0.3">
      <c r="A992" t="s">
        <v>1107</v>
      </c>
      <c r="B992" t="s">
        <v>1621</v>
      </c>
      <c r="C992">
        <v>58</v>
      </c>
      <c r="D992" s="8">
        <v>1.4432</v>
      </c>
      <c r="E992">
        <v>400</v>
      </c>
      <c r="F992">
        <v>0.2</v>
      </c>
      <c r="G992" t="s">
        <v>102</v>
      </c>
      <c r="K992" s="4">
        <v>0.5</v>
      </c>
      <c r="M992" t="s">
        <v>28</v>
      </c>
      <c r="N992">
        <v>0.2</v>
      </c>
      <c r="O992" s="3">
        <v>0</v>
      </c>
      <c r="P992">
        <v>22</v>
      </c>
      <c r="Q992">
        <v>6.5</v>
      </c>
      <c r="R992" t="s">
        <v>102</v>
      </c>
      <c r="S992">
        <v>0</v>
      </c>
      <c r="T992" s="6">
        <f>10^-(14-Q992)</f>
        <v>3.1622776601683699E-8</v>
      </c>
      <c r="U992" s="6">
        <v>0</v>
      </c>
      <c r="V992" s="6">
        <v>0</v>
      </c>
      <c r="W992" s="6">
        <v>0</v>
      </c>
      <c r="X992" s="6">
        <v>0</v>
      </c>
      <c r="Y992" t="s">
        <v>171</v>
      </c>
      <c r="AD992">
        <v>0.1</v>
      </c>
      <c r="AE992">
        <v>380</v>
      </c>
      <c r="AF992">
        <v>1</v>
      </c>
      <c r="AQ992" s="1"/>
    </row>
    <row r="993" spans="1:43" x14ac:dyDescent="0.3">
      <c r="A993" t="s">
        <v>1108</v>
      </c>
      <c r="B993" t="s">
        <v>1621</v>
      </c>
      <c r="C993">
        <v>58</v>
      </c>
      <c r="D993" s="8">
        <v>1.4432</v>
      </c>
      <c r="E993">
        <v>400</v>
      </c>
      <c r="F993">
        <v>0.2</v>
      </c>
      <c r="G993" t="s">
        <v>102</v>
      </c>
      <c r="K993" s="4">
        <v>0.5</v>
      </c>
      <c r="M993" t="s">
        <v>28</v>
      </c>
      <c r="N993">
        <v>0.5</v>
      </c>
      <c r="O993" s="3">
        <v>0</v>
      </c>
      <c r="P993">
        <v>22</v>
      </c>
      <c r="Q993">
        <v>6.5</v>
      </c>
      <c r="R993" t="s">
        <v>102</v>
      </c>
      <c r="S993">
        <v>0</v>
      </c>
      <c r="T993" s="6">
        <f>10^-(14-Q993)</f>
        <v>3.1622776601683699E-8</v>
      </c>
      <c r="U993" s="6">
        <v>0</v>
      </c>
      <c r="V993" s="6">
        <v>0</v>
      </c>
      <c r="W993" s="6">
        <v>0</v>
      </c>
      <c r="X993" s="6">
        <v>0</v>
      </c>
      <c r="Y993" t="s">
        <v>171</v>
      </c>
      <c r="AD993">
        <v>0.1</v>
      </c>
      <c r="AE993">
        <v>300</v>
      </c>
      <c r="AF993">
        <v>1</v>
      </c>
      <c r="AQ993" s="1"/>
    </row>
    <row r="994" spans="1:43" x14ac:dyDescent="0.3">
      <c r="A994" t="s">
        <v>1109</v>
      </c>
      <c r="B994" t="s">
        <v>1621</v>
      </c>
      <c r="C994">
        <v>58</v>
      </c>
      <c r="D994" s="8">
        <v>1.4432</v>
      </c>
      <c r="E994">
        <v>400</v>
      </c>
      <c r="F994">
        <v>0.2</v>
      </c>
      <c r="G994" t="s">
        <v>102</v>
      </c>
      <c r="K994" s="4">
        <v>0.5</v>
      </c>
      <c r="M994" t="s">
        <v>28</v>
      </c>
      <c r="N994">
        <v>2</v>
      </c>
      <c r="O994" s="3">
        <v>0</v>
      </c>
      <c r="P994">
        <v>22</v>
      </c>
      <c r="Q994">
        <v>6.5</v>
      </c>
      <c r="R994" t="s">
        <v>102</v>
      </c>
      <c r="S994">
        <v>0</v>
      </c>
      <c r="T994" s="6">
        <f>10^-(14-Q994)</f>
        <v>3.1622776601683699E-8</v>
      </c>
      <c r="U994" s="6">
        <v>0</v>
      </c>
      <c r="V994" s="6">
        <v>0</v>
      </c>
      <c r="W994" s="6">
        <v>0</v>
      </c>
      <c r="X994" s="6">
        <v>0</v>
      </c>
      <c r="Y994" t="s">
        <v>171</v>
      </c>
      <c r="AD994">
        <v>0.1</v>
      </c>
      <c r="AE994">
        <v>250</v>
      </c>
      <c r="AF994">
        <v>1</v>
      </c>
      <c r="AQ994" s="1"/>
    </row>
    <row r="995" spans="1:43" x14ac:dyDescent="0.3">
      <c r="A995" t="s">
        <v>1110</v>
      </c>
      <c r="B995" t="s">
        <v>1621</v>
      </c>
      <c r="C995">
        <v>58</v>
      </c>
      <c r="D995" s="8">
        <v>1.4432</v>
      </c>
      <c r="E995">
        <v>400</v>
      </c>
      <c r="F995">
        <v>0.2</v>
      </c>
      <c r="G995" t="s">
        <v>102</v>
      </c>
      <c r="K995" s="4">
        <v>0.5</v>
      </c>
      <c r="M995" t="s">
        <v>28</v>
      </c>
      <c r="N995">
        <v>4</v>
      </c>
      <c r="O995" s="3">
        <v>0</v>
      </c>
      <c r="P995">
        <v>22</v>
      </c>
      <c r="Q995">
        <v>6.5</v>
      </c>
      <c r="R995" t="s">
        <v>102</v>
      </c>
      <c r="S995">
        <v>0</v>
      </c>
      <c r="T995" s="6">
        <f>10^-(14-Q995)</f>
        <v>3.1622776601683699E-8</v>
      </c>
      <c r="U995" s="6">
        <v>0</v>
      </c>
      <c r="V995" s="6">
        <v>0</v>
      </c>
      <c r="W995" s="6">
        <v>0</v>
      </c>
      <c r="X995" s="6">
        <v>0</v>
      </c>
      <c r="Y995" t="s">
        <v>171</v>
      </c>
      <c r="AD995">
        <v>0.1</v>
      </c>
      <c r="AE995">
        <v>120</v>
      </c>
      <c r="AF995">
        <v>1</v>
      </c>
      <c r="AQ995" s="1"/>
    </row>
    <row r="996" spans="1:43" x14ac:dyDescent="0.3">
      <c r="A996" t="s">
        <v>1111</v>
      </c>
      <c r="B996" t="s">
        <v>1621</v>
      </c>
      <c r="C996">
        <v>58</v>
      </c>
      <c r="D996" s="8">
        <v>1.4003000000000001</v>
      </c>
      <c r="E996">
        <v>60</v>
      </c>
      <c r="F996">
        <v>2.9</v>
      </c>
      <c r="G996" t="s">
        <v>102</v>
      </c>
      <c r="K996" s="4">
        <v>0.5</v>
      </c>
      <c r="M996" t="s">
        <v>28</v>
      </c>
      <c r="N996">
        <v>0.01</v>
      </c>
      <c r="O996" s="3">
        <v>0</v>
      </c>
      <c r="P996">
        <v>22</v>
      </c>
      <c r="Q996">
        <v>6.5</v>
      </c>
      <c r="R996" t="s">
        <v>1083</v>
      </c>
      <c r="S996">
        <v>1</v>
      </c>
      <c r="T996" s="6">
        <f>10^-(14-Q996)</f>
        <v>3.1622776601683699E-8</v>
      </c>
      <c r="U996" s="6">
        <v>1</v>
      </c>
      <c r="V996" s="6">
        <v>0</v>
      </c>
      <c r="W996" s="6">
        <v>0</v>
      </c>
      <c r="X996" s="6">
        <v>0</v>
      </c>
      <c r="Y996" t="s">
        <v>171</v>
      </c>
      <c r="AD996">
        <v>0.1</v>
      </c>
      <c r="AE996">
        <v>800</v>
      </c>
      <c r="AF996">
        <v>2</v>
      </c>
      <c r="AQ996" s="1"/>
    </row>
    <row r="997" spans="1:43" x14ac:dyDescent="0.3">
      <c r="A997" t="s">
        <v>1112</v>
      </c>
      <c r="B997" t="s">
        <v>1621</v>
      </c>
      <c r="C997">
        <v>58</v>
      </c>
      <c r="D997" s="8">
        <v>1.4003000000000001</v>
      </c>
      <c r="E997">
        <v>60</v>
      </c>
      <c r="F997">
        <v>2.9</v>
      </c>
      <c r="G997" t="s">
        <v>102</v>
      </c>
      <c r="K997" s="4">
        <v>0.5</v>
      </c>
      <c r="M997" t="s">
        <v>28</v>
      </c>
      <c r="N997">
        <v>0.1</v>
      </c>
      <c r="O997" s="3">
        <v>0</v>
      </c>
      <c r="P997">
        <v>22</v>
      </c>
      <c r="Q997">
        <v>6.5</v>
      </c>
      <c r="R997" t="s">
        <v>1083</v>
      </c>
      <c r="S997">
        <v>1</v>
      </c>
      <c r="T997" s="6">
        <f>10^-(14-Q997)</f>
        <v>3.1622776601683699E-8</v>
      </c>
      <c r="U997" s="6">
        <v>1</v>
      </c>
      <c r="V997" s="6">
        <v>0</v>
      </c>
      <c r="W997" s="6">
        <v>0</v>
      </c>
      <c r="X997" s="6">
        <v>0</v>
      </c>
      <c r="Y997" t="s">
        <v>171</v>
      </c>
      <c r="AD997">
        <v>0.1</v>
      </c>
      <c r="AE997">
        <v>800</v>
      </c>
      <c r="AF997">
        <v>2</v>
      </c>
      <c r="AQ997" s="1"/>
    </row>
    <row r="998" spans="1:43" x14ac:dyDescent="0.3">
      <c r="A998" t="s">
        <v>1113</v>
      </c>
      <c r="B998" t="s">
        <v>1621</v>
      </c>
      <c r="C998">
        <v>58</v>
      </c>
      <c r="D998" s="8">
        <v>1.4003000000000001</v>
      </c>
      <c r="E998">
        <v>60</v>
      </c>
      <c r="F998">
        <v>2.9</v>
      </c>
      <c r="G998" t="s">
        <v>102</v>
      </c>
      <c r="K998" s="4">
        <v>0.5</v>
      </c>
      <c r="M998" t="s">
        <v>28</v>
      </c>
      <c r="N998">
        <v>0.5</v>
      </c>
      <c r="O998" s="3">
        <v>0</v>
      </c>
      <c r="P998">
        <v>22</v>
      </c>
      <c r="Q998">
        <v>6.5</v>
      </c>
      <c r="R998" t="s">
        <v>1083</v>
      </c>
      <c r="S998">
        <v>1</v>
      </c>
      <c r="T998" s="6">
        <f>10^-(14-Q998)</f>
        <v>3.1622776601683699E-8</v>
      </c>
      <c r="U998" s="6">
        <v>1</v>
      </c>
      <c r="V998" s="6">
        <v>0</v>
      </c>
      <c r="W998" s="6">
        <v>0</v>
      </c>
      <c r="X998" s="6">
        <v>0</v>
      </c>
      <c r="Y998" t="s">
        <v>171</v>
      </c>
      <c r="AD998">
        <v>0.1</v>
      </c>
      <c r="AE998">
        <v>0</v>
      </c>
      <c r="AF998">
        <v>1</v>
      </c>
      <c r="AQ998" s="1"/>
    </row>
    <row r="999" spans="1:43" x14ac:dyDescent="0.3">
      <c r="A999" t="s">
        <v>1114</v>
      </c>
      <c r="B999" t="s">
        <v>1621</v>
      </c>
      <c r="C999">
        <v>58</v>
      </c>
      <c r="D999" s="8">
        <v>1.4003000000000001</v>
      </c>
      <c r="E999">
        <v>60</v>
      </c>
      <c r="F999">
        <v>2.9</v>
      </c>
      <c r="G999" t="s">
        <v>102</v>
      </c>
      <c r="K999" s="4">
        <v>0.5</v>
      </c>
      <c r="M999" t="s">
        <v>28</v>
      </c>
      <c r="N999">
        <v>1</v>
      </c>
      <c r="O999" s="3">
        <v>0</v>
      </c>
      <c r="P999">
        <v>22</v>
      </c>
      <c r="Q999">
        <v>6.5</v>
      </c>
      <c r="R999" t="s">
        <v>1083</v>
      </c>
      <c r="S999">
        <v>1</v>
      </c>
      <c r="T999" s="6">
        <f>10^-(14-Q999)</f>
        <v>3.1622776601683699E-8</v>
      </c>
      <c r="U999" s="6">
        <v>1</v>
      </c>
      <c r="V999" s="6">
        <v>0</v>
      </c>
      <c r="W999" s="6">
        <v>0</v>
      </c>
      <c r="X999" s="6">
        <v>0</v>
      </c>
      <c r="Y999" t="s">
        <v>171</v>
      </c>
      <c r="AD999">
        <v>0.1</v>
      </c>
      <c r="AE999">
        <v>-50</v>
      </c>
      <c r="AF999">
        <v>1</v>
      </c>
      <c r="AQ999" s="1"/>
    </row>
    <row r="1000" spans="1:43" x14ac:dyDescent="0.3">
      <c r="A1000" t="s">
        <v>1115</v>
      </c>
      <c r="B1000" t="s">
        <v>1621</v>
      </c>
      <c r="C1000">
        <v>58</v>
      </c>
      <c r="D1000" s="8">
        <v>1.4432</v>
      </c>
      <c r="E1000">
        <v>400</v>
      </c>
      <c r="F1000">
        <v>0.2</v>
      </c>
      <c r="G1000" t="s">
        <v>102</v>
      </c>
      <c r="K1000" s="4">
        <v>0.5</v>
      </c>
      <c r="M1000" t="s">
        <v>28</v>
      </c>
      <c r="N1000">
        <v>0.1</v>
      </c>
      <c r="O1000" s="3">
        <v>0</v>
      </c>
      <c r="P1000">
        <v>22</v>
      </c>
      <c r="Q1000">
        <v>6.5</v>
      </c>
      <c r="R1000" t="s">
        <v>1083</v>
      </c>
      <c r="S1000">
        <v>1</v>
      </c>
      <c r="T1000" s="6">
        <f>10^-(14-Q1000)</f>
        <v>3.1622776601683699E-8</v>
      </c>
      <c r="U1000" s="6">
        <v>1</v>
      </c>
      <c r="V1000" s="6">
        <v>0</v>
      </c>
      <c r="W1000" s="6">
        <v>0</v>
      </c>
      <c r="X1000" s="6">
        <v>0</v>
      </c>
      <c r="Y1000" t="s">
        <v>171</v>
      </c>
      <c r="AD1000">
        <v>0.1</v>
      </c>
      <c r="AE1000">
        <v>800</v>
      </c>
      <c r="AF1000">
        <v>2</v>
      </c>
      <c r="AQ1000" s="1"/>
    </row>
    <row r="1001" spans="1:43" x14ac:dyDescent="0.3">
      <c r="A1001" t="s">
        <v>1116</v>
      </c>
      <c r="B1001" t="s">
        <v>1621</v>
      </c>
      <c r="C1001">
        <v>58</v>
      </c>
      <c r="D1001" s="8">
        <v>1.4432</v>
      </c>
      <c r="E1001">
        <v>400</v>
      </c>
      <c r="F1001">
        <v>0.2</v>
      </c>
      <c r="G1001" t="s">
        <v>102</v>
      </c>
      <c r="K1001" s="4">
        <v>0.5</v>
      </c>
      <c r="M1001" t="s">
        <v>28</v>
      </c>
      <c r="N1001">
        <v>0.2</v>
      </c>
      <c r="O1001" s="3">
        <v>0</v>
      </c>
      <c r="P1001">
        <v>22</v>
      </c>
      <c r="Q1001">
        <v>6.5</v>
      </c>
      <c r="R1001" t="s">
        <v>1083</v>
      </c>
      <c r="S1001">
        <v>1</v>
      </c>
      <c r="T1001" s="6">
        <f>10^-(14-Q1001)</f>
        <v>3.1622776601683699E-8</v>
      </c>
      <c r="U1001" s="6">
        <v>1</v>
      </c>
      <c r="V1001" s="6">
        <v>0</v>
      </c>
      <c r="W1001" s="6">
        <v>0</v>
      </c>
      <c r="X1001" s="6">
        <v>0</v>
      </c>
      <c r="Y1001" t="s">
        <v>171</v>
      </c>
      <c r="AD1001">
        <v>0.1</v>
      </c>
      <c r="AE1001">
        <v>800</v>
      </c>
      <c r="AF1001">
        <v>2</v>
      </c>
      <c r="AQ1001" s="1"/>
    </row>
    <row r="1002" spans="1:43" x14ac:dyDescent="0.3">
      <c r="A1002" t="s">
        <v>1117</v>
      </c>
      <c r="B1002" t="s">
        <v>1621</v>
      </c>
      <c r="C1002">
        <v>58</v>
      </c>
      <c r="D1002" s="8">
        <v>1.4432</v>
      </c>
      <c r="E1002">
        <v>400</v>
      </c>
      <c r="F1002">
        <v>0.2</v>
      </c>
      <c r="G1002" t="s">
        <v>102</v>
      </c>
      <c r="K1002" s="4">
        <v>0.5</v>
      </c>
      <c r="M1002" t="s">
        <v>28</v>
      </c>
      <c r="N1002">
        <v>0.5</v>
      </c>
      <c r="O1002" s="3">
        <v>0</v>
      </c>
      <c r="P1002">
        <v>22</v>
      </c>
      <c r="Q1002">
        <v>6.5</v>
      </c>
      <c r="R1002" t="s">
        <v>1083</v>
      </c>
      <c r="S1002">
        <v>1</v>
      </c>
      <c r="T1002" s="6">
        <f>10^-(14-Q1002)</f>
        <v>3.1622776601683699E-8</v>
      </c>
      <c r="U1002" s="6">
        <v>1</v>
      </c>
      <c r="V1002" s="6">
        <v>0</v>
      </c>
      <c r="W1002" s="6">
        <v>0</v>
      </c>
      <c r="X1002" s="6">
        <v>0</v>
      </c>
      <c r="Y1002" t="s">
        <v>171</v>
      </c>
      <c r="AD1002">
        <v>0.1</v>
      </c>
      <c r="AE1002">
        <v>550</v>
      </c>
      <c r="AF1002">
        <v>1</v>
      </c>
      <c r="AQ1002" s="1"/>
    </row>
    <row r="1003" spans="1:43" x14ac:dyDescent="0.3">
      <c r="A1003" t="s">
        <v>1118</v>
      </c>
      <c r="B1003" t="s">
        <v>1621</v>
      </c>
      <c r="C1003">
        <v>58</v>
      </c>
      <c r="D1003" s="8">
        <v>1.4432</v>
      </c>
      <c r="E1003">
        <v>400</v>
      </c>
      <c r="F1003">
        <v>0.2</v>
      </c>
      <c r="G1003" t="s">
        <v>102</v>
      </c>
      <c r="K1003" s="4">
        <v>0.5</v>
      </c>
      <c r="M1003" t="s">
        <v>28</v>
      </c>
      <c r="N1003">
        <v>1</v>
      </c>
      <c r="O1003" s="3">
        <v>0</v>
      </c>
      <c r="P1003">
        <v>22</v>
      </c>
      <c r="Q1003">
        <v>6.5</v>
      </c>
      <c r="R1003" t="s">
        <v>1083</v>
      </c>
      <c r="S1003">
        <v>1</v>
      </c>
      <c r="T1003" s="6">
        <f>10^-(14-Q1003)</f>
        <v>3.1622776601683699E-8</v>
      </c>
      <c r="U1003" s="6">
        <v>1</v>
      </c>
      <c r="V1003" s="6">
        <v>0</v>
      </c>
      <c r="W1003" s="6">
        <v>0</v>
      </c>
      <c r="X1003" s="6">
        <v>0</v>
      </c>
      <c r="Y1003" t="s">
        <v>171</v>
      </c>
      <c r="AD1003">
        <v>0.1</v>
      </c>
      <c r="AE1003">
        <v>410</v>
      </c>
      <c r="AF1003">
        <v>1</v>
      </c>
      <c r="AQ1003" s="1"/>
    </row>
    <row r="1004" spans="1:43" x14ac:dyDescent="0.3">
      <c r="A1004" t="s">
        <v>1119</v>
      </c>
      <c r="B1004" t="s">
        <v>1621</v>
      </c>
      <c r="C1004">
        <v>58</v>
      </c>
      <c r="D1004" s="8">
        <v>1.4432</v>
      </c>
      <c r="E1004">
        <v>400</v>
      </c>
      <c r="F1004">
        <v>0.2</v>
      </c>
      <c r="G1004" t="s">
        <v>102</v>
      </c>
      <c r="K1004" s="4">
        <v>0.5</v>
      </c>
      <c r="M1004" t="s">
        <v>28</v>
      </c>
      <c r="N1004">
        <v>2</v>
      </c>
      <c r="O1004" s="3">
        <v>0</v>
      </c>
      <c r="P1004">
        <v>22</v>
      </c>
      <c r="Q1004">
        <v>6.5</v>
      </c>
      <c r="R1004" t="s">
        <v>1083</v>
      </c>
      <c r="S1004">
        <v>1</v>
      </c>
      <c r="T1004" s="6">
        <f>10^-(14-Q1004)</f>
        <v>3.1622776601683699E-8</v>
      </c>
      <c r="U1004" s="6">
        <v>1</v>
      </c>
      <c r="V1004" s="6">
        <v>0</v>
      </c>
      <c r="W1004" s="6">
        <v>0</v>
      </c>
      <c r="X1004" s="6">
        <v>0</v>
      </c>
      <c r="Y1004" t="s">
        <v>171</v>
      </c>
      <c r="AD1004">
        <v>0.1</v>
      </c>
      <c r="AE1004">
        <v>300</v>
      </c>
      <c r="AF1004">
        <v>1</v>
      </c>
      <c r="AQ1004" s="1"/>
    </row>
    <row r="1005" spans="1:43" x14ac:dyDescent="0.3">
      <c r="A1005" t="s">
        <v>1120</v>
      </c>
      <c r="B1005" t="s">
        <v>1621</v>
      </c>
      <c r="C1005">
        <v>58</v>
      </c>
      <c r="D1005" s="8">
        <v>1.4300999999999999</v>
      </c>
      <c r="E1005">
        <v>400</v>
      </c>
      <c r="F1005">
        <v>0.2</v>
      </c>
      <c r="G1005" t="s">
        <v>102</v>
      </c>
      <c r="K1005" s="4">
        <v>0.5</v>
      </c>
      <c r="M1005" t="s">
        <v>28</v>
      </c>
      <c r="N1005">
        <v>1</v>
      </c>
      <c r="O1005" s="3">
        <v>0</v>
      </c>
      <c r="P1005">
        <v>50</v>
      </c>
      <c r="Q1005">
        <v>6.5</v>
      </c>
      <c r="R1005" t="s">
        <v>1086</v>
      </c>
      <c r="S1005">
        <v>2</v>
      </c>
      <c r="T1005" s="6">
        <f>10^-(14-Q1005)</f>
        <v>3.1622776601683699E-8</v>
      </c>
      <c r="U1005" s="6">
        <v>2</v>
      </c>
      <c r="V1005" s="6">
        <v>0</v>
      </c>
      <c r="W1005" s="6">
        <v>0</v>
      </c>
      <c r="X1005" s="6">
        <v>0</v>
      </c>
      <c r="Y1005" t="s">
        <v>171</v>
      </c>
      <c r="AD1005">
        <v>0.1</v>
      </c>
      <c r="AE1005">
        <v>140</v>
      </c>
      <c r="AF1005">
        <v>1</v>
      </c>
      <c r="AQ1005" s="1"/>
    </row>
    <row r="1006" spans="1:43" x14ac:dyDescent="0.3">
      <c r="A1006" t="s">
        <v>1121</v>
      </c>
      <c r="B1006" t="s">
        <v>1621</v>
      </c>
      <c r="C1006">
        <v>58</v>
      </c>
      <c r="D1006" s="8">
        <v>1.4300999999999999</v>
      </c>
      <c r="E1006">
        <v>400</v>
      </c>
      <c r="F1006">
        <v>0.2</v>
      </c>
      <c r="G1006" t="s">
        <v>102</v>
      </c>
      <c r="K1006" s="4">
        <v>0.5</v>
      </c>
      <c r="M1006" t="s">
        <v>28</v>
      </c>
      <c r="N1006">
        <v>1</v>
      </c>
      <c r="O1006" s="3">
        <v>0</v>
      </c>
      <c r="P1006">
        <v>50</v>
      </c>
      <c r="Q1006">
        <v>6.5</v>
      </c>
      <c r="R1006" t="s">
        <v>102</v>
      </c>
      <c r="S1006">
        <v>0</v>
      </c>
      <c r="T1006" s="6">
        <f>10^-(14-Q1006)</f>
        <v>3.1622776601683699E-8</v>
      </c>
      <c r="U1006" s="6">
        <v>0</v>
      </c>
      <c r="V1006" s="6">
        <v>0</v>
      </c>
      <c r="W1006" s="6">
        <v>0</v>
      </c>
      <c r="X1006" s="6">
        <v>0</v>
      </c>
      <c r="Y1006" t="s">
        <v>171</v>
      </c>
      <c r="AD1006">
        <v>0.1</v>
      </c>
      <c r="AE1006">
        <v>60</v>
      </c>
      <c r="AF1006">
        <v>1</v>
      </c>
      <c r="AQ1006" s="1"/>
    </row>
    <row r="1007" spans="1:43" x14ac:dyDescent="0.3">
      <c r="A1007">
        <v>44</v>
      </c>
      <c r="B1007" t="s">
        <v>1729</v>
      </c>
      <c r="C1007">
        <v>59</v>
      </c>
      <c r="D1007" t="s">
        <v>1730</v>
      </c>
      <c r="I1007"/>
      <c r="J1007"/>
      <c r="K1007"/>
      <c r="N1007">
        <v>0.5</v>
      </c>
      <c r="O1007">
        <v>0</v>
      </c>
      <c r="P1007">
        <v>45</v>
      </c>
      <c r="Q1007">
        <v>7</v>
      </c>
      <c r="R1007" t="s">
        <v>102</v>
      </c>
      <c r="T1007" s="6">
        <f>10^-(14-Q1007)</f>
        <v>9.9999999999999995E-8</v>
      </c>
      <c r="U1007" s="6">
        <v>0</v>
      </c>
      <c r="V1007" s="6">
        <v>0</v>
      </c>
      <c r="W1007" s="6">
        <v>0</v>
      </c>
      <c r="X1007" s="6">
        <v>0</v>
      </c>
      <c r="Y1007" t="s">
        <v>171</v>
      </c>
      <c r="Z1007"/>
      <c r="AA1007"/>
      <c r="AB1007"/>
      <c r="AC1007"/>
      <c r="AD1007">
        <v>0.1</v>
      </c>
      <c r="AF1007">
        <v>2</v>
      </c>
      <c r="AL1007" s="9">
        <v>9.52</v>
      </c>
      <c r="AM1007" s="9">
        <v>69.41</v>
      </c>
      <c r="AN1007" s="9">
        <v>21.07</v>
      </c>
      <c r="AQ1007" s="1"/>
    </row>
    <row r="1008" spans="1:43" x14ac:dyDescent="0.3">
      <c r="A1008">
        <v>44</v>
      </c>
      <c r="B1008" t="s">
        <v>1729</v>
      </c>
      <c r="C1008">
        <v>59</v>
      </c>
      <c r="D1008" t="s">
        <v>1730</v>
      </c>
      <c r="I1008"/>
      <c r="J1008"/>
      <c r="K1008"/>
      <c r="N1008">
        <v>0.5</v>
      </c>
      <c r="O1008">
        <v>0</v>
      </c>
      <c r="P1008">
        <v>60</v>
      </c>
      <c r="Q1008">
        <v>7</v>
      </c>
      <c r="R1008" t="s">
        <v>102</v>
      </c>
      <c r="T1008" s="6">
        <f>10^-(14-Q1008)</f>
        <v>9.9999999999999995E-8</v>
      </c>
      <c r="U1008" s="6">
        <v>0</v>
      </c>
      <c r="V1008" s="6">
        <v>0</v>
      </c>
      <c r="W1008" s="6">
        <v>0</v>
      </c>
      <c r="X1008" s="6">
        <v>0</v>
      </c>
      <c r="Y1008" t="s">
        <v>171</v>
      </c>
      <c r="Z1008"/>
      <c r="AA1008"/>
      <c r="AB1008"/>
      <c r="AC1008"/>
      <c r="AD1008">
        <v>0.2</v>
      </c>
      <c r="AE1008">
        <v>561.1</v>
      </c>
      <c r="AF1008">
        <v>1</v>
      </c>
      <c r="AL1008" s="9">
        <v>9.52</v>
      </c>
      <c r="AM1008" s="9">
        <v>69.41</v>
      </c>
      <c r="AN1008" s="9">
        <v>21.07</v>
      </c>
      <c r="AQ1008" s="1"/>
    </row>
    <row r="1009" spans="1:43" x14ac:dyDescent="0.3">
      <c r="A1009">
        <v>44</v>
      </c>
      <c r="B1009" t="s">
        <v>1729</v>
      </c>
      <c r="C1009">
        <v>59</v>
      </c>
      <c r="D1009" t="s">
        <v>1730</v>
      </c>
      <c r="I1009"/>
      <c r="J1009"/>
      <c r="K1009"/>
      <c r="N1009">
        <v>0.5</v>
      </c>
      <c r="O1009">
        <v>0</v>
      </c>
      <c r="P1009">
        <v>75</v>
      </c>
      <c r="Q1009">
        <v>7</v>
      </c>
      <c r="R1009" t="s">
        <v>102</v>
      </c>
      <c r="T1009" s="6">
        <f>10^-(14-Q1009)</f>
        <v>9.9999999999999995E-8</v>
      </c>
      <c r="U1009" s="6">
        <v>0</v>
      </c>
      <c r="V1009" s="6">
        <v>0</v>
      </c>
      <c r="W1009" s="6">
        <v>0</v>
      </c>
      <c r="X1009" s="6">
        <v>0</v>
      </c>
      <c r="Y1009" t="s">
        <v>171</v>
      </c>
      <c r="Z1009"/>
      <c r="AA1009"/>
      <c r="AB1009"/>
      <c r="AC1009"/>
      <c r="AD1009">
        <v>0.2</v>
      </c>
      <c r="AE1009">
        <v>426</v>
      </c>
      <c r="AF1009">
        <v>1</v>
      </c>
      <c r="AL1009" s="9">
        <v>9.52</v>
      </c>
      <c r="AM1009" s="9">
        <v>69.41</v>
      </c>
      <c r="AN1009" s="9">
        <v>21.07</v>
      </c>
      <c r="AQ1009" s="1"/>
    </row>
    <row r="1010" spans="1:43" x14ac:dyDescent="0.3">
      <c r="A1010">
        <v>44</v>
      </c>
      <c r="B1010" t="s">
        <v>1729</v>
      </c>
      <c r="C1010">
        <v>59</v>
      </c>
      <c r="D1010" t="s">
        <v>1730</v>
      </c>
      <c r="I1010"/>
      <c r="J1010"/>
      <c r="K1010"/>
      <c r="N1010">
        <v>0.5</v>
      </c>
      <c r="O1010">
        <v>0</v>
      </c>
      <c r="P1010">
        <v>90</v>
      </c>
      <c r="Q1010">
        <v>7</v>
      </c>
      <c r="R1010" t="s">
        <v>102</v>
      </c>
      <c r="T1010" s="6">
        <f>10^-(14-Q1010)</f>
        <v>9.9999999999999995E-8</v>
      </c>
      <c r="U1010" s="6">
        <v>0</v>
      </c>
      <c r="V1010" s="6">
        <v>0</v>
      </c>
      <c r="W1010" s="6">
        <v>0</v>
      </c>
      <c r="X1010" s="6">
        <v>0</v>
      </c>
      <c r="Y1010" t="s">
        <v>171</v>
      </c>
      <c r="Z1010"/>
      <c r="AA1010"/>
      <c r="AB1010"/>
      <c r="AC1010"/>
      <c r="AD1010">
        <v>1</v>
      </c>
      <c r="AE1010">
        <v>473.3</v>
      </c>
      <c r="AF1010">
        <v>1</v>
      </c>
      <c r="AL1010" s="9">
        <v>9.52</v>
      </c>
      <c r="AM1010" s="9">
        <v>69.41</v>
      </c>
      <c r="AN1010" s="9">
        <v>21.07</v>
      </c>
      <c r="AQ1010" s="1"/>
    </row>
    <row r="1011" spans="1:43" x14ac:dyDescent="0.3">
      <c r="A1011">
        <v>44</v>
      </c>
      <c r="B1011" t="s">
        <v>1729</v>
      </c>
      <c r="C1011">
        <v>59</v>
      </c>
      <c r="D1011" t="s">
        <v>1730</v>
      </c>
      <c r="I1011"/>
      <c r="J1011"/>
      <c r="K1011"/>
      <c r="N1011">
        <v>0.5</v>
      </c>
      <c r="O1011">
        <v>0</v>
      </c>
      <c r="P1011">
        <v>45</v>
      </c>
      <c r="Q1011">
        <v>7</v>
      </c>
      <c r="R1011" t="s">
        <v>102</v>
      </c>
      <c r="T1011" s="6">
        <f>10^-(14-Q1011)</f>
        <v>9.9999999999999995E-8</v>
      </c>
      <c r="U1011" s="6">
        <v>0</v>
      </c>
      <c r="V1011" s="6">
        <v>0</v>
      </c>
      <c r="W1011" s="6">
        <v>0</v>
      </c>
      <c r="X1011" s="6">
        <v>0</v>
      </c>
      <c r="Y1011" t="s">
        <v>171</v>
      </c>
      <c r="Z1011"/>
      <c r="AA1011"/>
      <c r="AB1011"/>
      <c r="AC1011"/>
      <c r="AE1011">
        <v>536.29999999999995</v>
      </c>
      <c r="AF1011">
        <v>1</v>
      </c>
      <c r="AL1011" s="9">
        <v>10.53</v>
      </c>
      <c r="AM1011" s="9">
        <v>74.44</v>
      </c>
      <c r="AN1011" s="9">
        <v>15.03</v>
      </c>
      <c r="AQ1011" s="1"/>
    </row>
    <row r="1012" spans="1:43" x14ac:dyDescent="0.3">
      <c r="A1012">
        <v>44</v>
      </c>
      <c r="B1012" t="s">
        <v>1729</v>
      </c>
      <c r="C1012">
        <v>59</v>
      </c>
      <c r="D1012" t="s">
        <v>1730</v>
      </c>
      <c r="I1012"/>
      <c r="J1012"/>
      <c r="K1012"/>
      <c r="N1012">
        <v>0.5</v>
      </c>
      <c r="O1012">
        <v>0</v>
      </c>
      <c r="P1012">
        <v>60</v>
      </c>
      <c r="Q1012">
        <v>7</v>
      </c>
      <c r="R1012" t="s">
        <v>102</v>
      </c>
      <c r="T1012" s="6">
        <f>10^-(14-Q1012)</f>
        <v>9.9999999999999995E-8</v>
      </c>
      <c r="U1012" s="6">
        <v>0</v>
      </c>
      <c r="V1012" s="6">
        <v>0</v>
      </c>
      <c r="W1012" s="6">
        <v>0</v>
      </c>
      <c r="X1012" s="6">
        <v>0</v>
      </c>
      <c r="Y1012" t="s">
        <v>171</v>
      </c>
      <c r="Z1012"/>
      <c r="AA1012"/>
      <c r="AB1012"/>
      <c r="AC1012"/>
      <c r="AD1012">
        <v>0.2</v>
      </c>
      <c r="AE1012">
        <v>368.2</v>
      </c>
      <c r="AF1012">
        <v>1</v>
      </c>
      <c r="AL1012" s="9">
        <v>10.53</v>
      </c>
      <c r="AM1012" s="9">
        <v>74.44</v>
      </c>
      <c r="AN1012" s="9">
        <v>15.03</v>
      </c>
      <c r="AQ1012" s="1"/>
    </row>
    <row r="1013" spans="1:43" x14ac:dyDescent="0.3">
      <c r="A1013">
        <v>44</v>
      </c>
      <c r="B1013" t="s">
        <v>1729</v>
      </c>
      <c r="C1013">
        <v>59</v>
      </c>
      <c r="D1013" t="s">
        <v>1730</v>
      </c>
      <c r="I1013"/>
      <c r="J1013"/>
      <c r="K1013"/>
      <c r="N1013">
        <v>0.5</v>
      </c>
      <c r="O1013">
        <v>0</v>
      </c>
      <c r="P1013">
        <v>75</v>
      </c>
      <c r="Q1013">
        <v>7</v>
      </c>
      <c r="R1013" t="s">
        <v>102</v>
      </c>
      <c r="T1013" s="6">
        <f>10^-(14-Q1013)</f>
        <v>9.9999999999999995E-8</v>
      </c>
      <c r="U1013" s="6">
        <v>0</v>
      </c>
      <c r="V1013" s="6">
        <v>0</v>
      </c>
      <c r="W1013" s="6">
        <v>0</v>
      </c>
      <c r="X1013" s="6">
        <v>0</v>
      </c>
      <c r="Y1013" t="s">
        <v>171</v>
      </c>
      <c r="Z1013"/>
      <c r="AA1013"/>
      <c r="AB1013"/>
      <c r="AC1013"/>
      <c r="AE1013">
        <v>377.8</v>
      </c>
      <c r="AF1013">
        <v>1</v>
      </c>
      <c r="AL1013" s="9">
        <v>10.53</v>
      </c>
      <c r="AM1013" s="9">
        <v>74.44</v>
      </c>
      <c r="AN1013" s="9">
        <v>15.03</v>
      </c>
      <c r="AQ1013" s="1"/>
    </row>
    <row r="1014" spans="1:43" x14ac:dyDescent="0.3">
      <c r="A1014">
        <v>44</v>
      </c>
      <c r="B1014" t="s">
        <v>1729</v>
      </c>
      <c r="C1014">
        <v>59</v>
      </c>
      <c r="D1014" t="s">
        <v>1730</v>
      </c>
      <c r="I1014"/>
      <c r="J1014"/>
      <c r="K1014"/>
      <c r="N1014">
        <v>0.5</v>
      </c>
      <c r="O1014">
        <v>0</v>
      </c>
      <c r="P1014">
        <v>90</v>
      </c>
      <c r="Q1014">
        <v>7</v>
      </c>
      <c r="R1014" t="s">
        <v>102</v>
      </c>
      <c r="T1014" s="6">
        <f>10^-(14-Q1014)</f>
        <v>9.9999999999999995E-8</v>
      </c>
      <c r="U1014" s="6">
        <v>0</v>
      </c>
      <c r="V1014" s="6">
        <v>0</v>
      </c>
      <c r="W1014" s="6">
        <v>0</v>
      </c>
      <c r="X1014" s="6">
        <v>0</v>
      </c>
      <c r="Y1014" t="s">
        <v>171</v>
      </c>
      <c r="Z1014"/>
      <c r="AA1014"/>
      <c r="AB1014"/>
      <c r="AC1014"/>
      <c r="AD1014">
        <v>1</v>
      </c>
      <c r="AE1014">
        <v>259.2</v>
      </c>
      <c r="AF1014">
        <v>1</v>
      </c>
      <c r="AL1014" s="9">
        <v>10.53</v>
      </c>
      <c r="AM1014" s="9">
        <v>74.44</v>
      </c>
      <c r="AN1014" s="9">
        <v>15.03</v>
      </c>
      <c r="AQ1014" s="1"/>
    </row>
    <row r="1015" spans="1:43" x14ac:dyDescent="0.3">
      <c r="A1015">
        <v>44</v>
      </c>
      <c r="B1015" t="s">
        <v>1729</v>
      </c>
      <c r="C1015">
        <v>59</v>
      </c>
      <c r="D1015" t="s">
        <v>1730</v>
      </c>
      <c r="I1015"/>
      <c r="J1015"/>
      <c r="K1015"/>
      <c r="N1015">
        <v>0.5</v>
      </c>
      <c r="O1015">
        <v>0</v>
      </c>
      <c r="P1015">
        <v>45</v>
      </c>
      <c r="Q1015">
        <v>7</v>
      </c>
      <c r="R1015" t="s">
        <v>102</v>
      </c>
      <c r="T1015" s="6">
        <f>10^-(14-Q1015)</f>
        <v>9.9999999999999995E-8</v>
      </c>
      <c r="U1015" s="6">
        <v>0</v>
      </c>
      <c r="V1015" s="6">
        <v>0</v>
      </c>
      <c r="W1015" s="6">
        <v>0</v>
      </c>
      <c r="X1015" s="6">
        <v>0</v>
      </c>
      <c r="Y1015" t="s">
        <v>171</v>
      </c>
      <c r="Z1015"/>
      <c r="AA1015"/>
      <c r="AB1015"/>
      <c r="AC1015"/>
      <c r="AE1015">
        <v>590.4</v>
      </c>
      <c r="AF1015">
        <v>1</v>
      </c>
      <c r="AL1015" s="9">
        <v>13.06</v>
      </c>
      <c r="AM1015" s="9">
        <v>72.040000000000006</v>
      </c>
      <c r="AN1015" s="9">
        <v>14.9</v>
      </c>
      <c r="AQ1015" s="1"/>
    </row>
    <row r="1016" spans="1:43" x14ac:dyDescent="0.3">
      <c r="A1016">
        <v>44</v>
      </c>
      <c r="B1016" t="s">
        <v>1729</v>
      </c>
      <c r="C1016">
        <v>59</v>
      </c>
      <c r="D1016" t="s">
        <v>1730</v>
      </c>
      <c r="I1016"/>
      <c r="J1016"/>
      <c r="K1016"/>
      <c r="N1016">
        <v>0.5</v>
      </c>
      <c r="O1016">
        <v>0</v>
      </c>
      <c r="P1016">
        <v>60</v>
      </c>
      <c r="Q1016">
        <v>7</v>
      </c>
      <c r="R1016" t="s">
        <v>102</v>
      </c>
      <c r="T1016" s="6">
        <f>10^-(14-Q1016)</f>
        <v>9.9999999999999995E-8</v>
      </c>
      <c r="U1016" s="6">
        <v>0</v>
      </c>
      <c r="V1016" s="6">
        <v>0</v>
      </c>
      <c r="W1016" s="6">
        <v>0</v>
      </c>
      <c r="X1016" s="6">
        <v>0</v>
      </c>
      <c r="Y1016" t="s">
        <v>171</v>
      </c>
      <c r="Z1016"/>
      <c r="AA1016"/>
      <c r="AB1016"/>
      <c r="AC1016"/>
      <c r="AD1016">
        <v>0.2</v>
      </c>
      <c r="AE1016">
        <v>548.20000000000005</v>
      </c>
      <c r="AF1016">
        <v>1</v>
      </c>
      <c r="AL1016" s="9">
        <v>13.06</v>
      </c>
      <c r="AM1016" s="9">
        <v>72.040000000000006</v>
      </c>
      <c r="AN1016" s="9">
        <v>14.9</v>
      </c>
      <c r="AQ1016" s="1"/>
    </row>
    <row r="1017" spans="1:43" x14ac:dyDescent="0.3">
      <c r="A1017">
        <v>44</v>
      </c>
      <c r="B1017" t="s">
        <v>1729</v>
      </c>
      <c r="C1017">
        <v>59</v>
      </c>
      <c r="D1017" t="s">
        <v>1730</v>
      </c>
      <c r="I1017"/>
      <c r="J1017"/>
      <c r="K1017"/>
      <c r="N1017">
        <v>0.5</v>
      </c>
      <c r="O1017">
        <v>0</v>
      </c>
      <c r="P1017">
        <v>75</v>
      </c>
      <c r="Q1017">
        <v>7</v>
      </c>
      <c r="R1017" t="s">
        <v>102</v>
      </c>
      <c r="T1017" s="6">
        <f>10^-(14-Q1017)</f>
        <v>9.9999999999999995E-8</v>
      </c>
      <c r="U1017" s="6">
        <v>0</v>
      </c>
      <c r="V1017" s="6">
        <v>0</v>
      </c>
      <c r="W1017" s="6">
        <v>0</v>
      </c>
      <c r="X1017" s="6">
        <v>0</v>
      </c>
      <c r="Y1017" t="s">
        <v>171</v>
      </c>
      <c r="Z1017"/>
      <c r="AA1017"/>
      <c r="AB1017"/>
      <c r="AC1017"/>
      <c r="AE1017">
        <v>479.1</v>
      </c>
      <c r="AF1017">
        <v>1</v>
      </c>
      <c r="AL1017" s="9">
        <v>13.06</v>
      </c>
      <c r="AM1017" s="9">
        <v>72.040000000000006</v>
      </c>
      <c r="AN1017" s="9">
        <v>14.9</v>
      </c>
      <c r="AQ1017" s="1"/>
    </row>
    <row r="1018" spans="1:43" x14ac:dyDescent="0.3">
      <c r="A1018">
        <v>44</v>
      </c>
      <c r="B1018" t="s">
        <v>1729</v>
      </c>
      <c r="C1018">
        <v>59</v>
      </c>
      <c r="D1018" t="s">
        <v>1730</v>
      </c>
      <c r="I1018"/>
      <c r="J1018"/>
      <c r="K1018"/>
      <c r="N1018">
        <v>0.5</v>
      </c>
      <c r="O1018">
        <v>0</v>
      </c>
      <c r="P1018">
        <v>90</v>
      </c>
      <c r="Q1018">
        <v>7</v>
      </c>
      <c r="R1018" t="s">
        <v>102</v>
      </c>
      <c r="T1018" s="6">
        <f>10^-(14-Q1018)</f>
        <v>9.9999999999999995E-8</v>
      </c>
      <c r="U1018" s="6">
        <v>0</v>
      </c>
      <c r="V1018" s="6">
        <v>0</v>
      </c>
      <c r="W1018" s="6">
        <v>0</v>
      </c>
      <c r="X1018" s="6">
        <v>0</v>
      </c>
      <c r="Y1018" t="s">
        <v>171</v>
      </c>
      <c r="Z1018"/>
      <c r="AA1018"/>
      <c r="AB1018"/>
      <c r="AC1018"/>
      <c r="AD1018">
        <v>1</v>
      </c>
      <c r="AE1018">
        <v>288.7</v>
      </c>
      <c r="AF1018">
        <v>1</v>
      </c>
      <c r="AL1018" s="9">
        <v>13.06</v>
      </c>
      <c r="AM1018" s="9">
        <v>72.040000000000006</v>
      </c>
      <c r="AN1018" s="9">
        <v>14.9</v>
      </c>
      <c r="AQ1018" s="1"/>
    </row>
    <row r="1019" spans="1:43" x14ac:dyDescent="0.3">
      <c r="A1019">
        <v>44</v>
      </c>
      <c r="B1019" t="s">
        <v>1729</v>
      </c>
      <c r="C1019">
        <v>59</v>
      </c>
      <c r="D1019" t="s">
        <v>1730</v>
      </c>
      <c r="I1019"/>
      <c r="J1019"/>
      <c r="K1019"/>
      <c r="N1019">
        <v>0.5</v>
      </c>
      <c r="O1019">
        <v>0</v>
      </c>
      <c r="P1019">
        <v>45</v>
      </c>
      <c r="Q1019">
        <v>7</v>
      </c>
      <c r="R1019" t="s">
        <v>102</v>
      </c>
      <c r="T1019" s="6">
        <f>10^-(14-Q1019)</f>
        <v>9.9999999999999995E-8</v>
      </c>
      <c r="U1019" s="6">
        <v>0</v>
      </c>
      <c r="V1019" s="6">
        <v>0</v>
      </c>
      <c r="W1019" s="6">
        <v>0</v>
      </c>
      <c r="X1019" s="6">
        <v>0</v>
      </c>
      <c r="Y1019" t="s">
        <v>171</v>
      </c>
      <c r="Z1019"/>
      <c r="AA1019"/>
      <c r="AB1019"/>
      <c r="AC1019"/>
      <c r="AE1019">
        <v>262.10000000000002</v>
      </c>
      <c r="AF1019">
        <v>1</v>
      </c>
      <c r="AL1019" s="9">
        <v>13.31</v>
      </c>
      <c r="AM1019" s="9">
        <v>81.45</v>
      </c>
      <c r="AN1019" s="9">
        <v>5.24</v>
      </c>
      <c r="AQ1019" s="1"/>
    </row>
    <row r="1020" spans="1:43" x14ac:dyDescent="0.3">
      <c r="A1020">
        <v>44</v>
      </c>
      <c r="B1020" t="s">
        <v>1729</v>
      </c>
      <c r="C1020">
        <v>59</v>
      </c>
      <c r="D1020" t="s">
        <v>1730</v>
      </c>
      <c r="I1020"/>
      <c r="J1020"/>
      <c r="K1020"/>
      <c r="N1020">
        <v>0.5</v>
      </c>
      <c r="O1020">
        <v>0</v>
      </c>
      <c r="P1020">
        <v>60</v>
      </c>
      <c r="Q1020">
        <v>7</v>
      </c>
      <c r="R1020" t="s">
        <v>102</v>
      </c>
      <c r="T1020" s="6">
        <f>10^-(14-Q1020)</f>
        <v>9.9999999999999995E-8</v>
      </c>
      <c r="U1020" s="6">
        <v>0</v>
      </c>
      <c r="V1020" s="6">
        <v>0</v>
      </c>
      <c r="W1020" s="6">
        <v>0</v>
      </c>
      <c r="X1020" s="6">
        <v>0</v>
      </c>
      <c r="Y1020" t="s">
        <v>171</v>
      </c>
      <c r="Z1020"/>
      <c r="AA1020"/>
      <c r="AB1020"/>
      <c r="AC1020"/>
      <c r="AD1020">
        <v>0.1</v>
      </c>
      <c r="AE1020">
        <v>299.7</v>
      </c>
      <c r="AF1020">
        <v>1</v>
      </c>
      <c r="AL1020" s="9">
        <v>13.31</v>
      </c>
      <c r="AM1020" s="9">
        <v>81.45</v>
      </c>
      <c r="AN1020" s="9">
        <v>5.24</v>
      </c>
      <c r="AQ1020" s="1"/>
    </row>
    <row r="1021" spans="1:43" x14ac:dyDescent="0.3">
      <c r="A1021">
        <v>44</v>
      </c>
      <c r="B1021" t="s">
        <v>1729</v>
      </c>
      <c r="C1021">
        <v>59</v>
      </c>
      <c r="D1021" t="s">
        <v>1730</v>
      </c>
      <c r="I1021"/>
      <c r="J1021"/>
      <c r="K1021"/>
      <c r="N1021">
        <v>0.5</v>
      </c>
      <c r="O1021">
        <v>0</v>
      </c>
      <c r="P1021">
        <v>75</v>
      </c>
      <c r="Q1021">
        <v>7</v>
      </c>
      <c r="R1021" t="s">
        <v>102</v>
      </c>
      <c r="T1021" s="6">
        <f>10^-(14-Q1021)</f>
        <v>9.9999999999999995E-8</v>
      </c>
      <c r="U1021" s="6">
        <v>0</v>
      </c>
      <c r="V1021" s="6">
        <v>0</v>
      </c>
      <c r="W1021" s="6">
        <v>0</v>
      </c>
      <c r="X1021" s="6">
        <v>0</v>
      </c>
      <c r="Y1021" t="s">
        <v>171</v>
      </c>
      <c r="Z1021"/>
      <c r="AA1021"/>
      <c r="AB1021"/>
      <c r="AC1021"/>
      <c r="AD1021">
        <v>0.2</v>
      </c>
      <c r="AE1021">
        <v>223.8</v>
      </c>
      <c r="AF1021">
        <v>1</v>
      </c>
      <c r="AL1021" s="9">
        <v>13.31</v>
      </c>
      <c r="AM1021" s="9">
        <v>81.45</v>
      </c>
      <c r="AN1021" s="9">
        <v>5.24</v>
      </c>
      <c r="AQ1021" s="1"/>
    </row>
    <row r="1022" spans="1:43" x14ac:dyDescent="0.3">
      <c r="A1022">
        <v>44</v>
      </c>
      <c r="B1022" t="s">
        <v>1729</v>
      </c>
      <c r="C1022">
        <v>59</v>
      </c>
      <c r="D1022" t="s">
        <v>1730</v>
      </c>
      <c r="I1022"/>
      <c r="J1022"/>
      <c r="K1022"/>
      <c r="N1022">
        <v>0.5</v>
      </c>
      <c r="O1022">
        <v>0</v>
      </c>
      <c r="P1022">
        <v>90</v>
      </c>
      <c r="Q1022">
        <v>7</v>
      </c>
      <c r="R1022" t="s">
        <v>102</v>
      </c>
      <c r="T1022" s="6">
        <f>10^-(14-Q1022)</f>
        <v>9.9999999999999995E-8</v>
      </c>
      <c r="U1022" s="6">
        <v>0</v>
      </c>
      <c r="V1022" s="6">
        <v>0</v>
      </c>
      <c r="W1022" s="6">
        <v>0</v>
      </c>
      <c r="X1022" s="6">
        <v>0</v>
      </c>
      <c r="Y1022" t="s">
        <v>171</v>
      </c>
      <c r="Z1022"/>
      <c r="AA1022"/>
      <c r="AB1022"/>
      <c r="AC1022"/>
      <c r="AD1022">
        <v>0.2</v>
      </c>
      <c r="AE1022">
        <v>204.2</v>
      </c>
      <c r="AF1022">
        <v>1</v>
      </c>
      <c r="AL1022" s="9">
        <v>13.31</v>
      </c>
      <c r="AM1022" s="9">
        <v>81.45</v>
      </c>
      <c r="AN1022" s="9">
        <v>5.24</v>
      </c>
      <c r="AQ1022" s="1"/>
    </row>
    <row r="1023" spans="1:43" x14ac:dyDescent="0.3">
      <c r="A1023">
        <v>44</v>
      </c>
      <c r="B1023" t="s">
        <v>1729</v>
      </c>
      <c r="C1023">
        <v>59</v>
      </c>
      <c r="D1023" t="s">
        <v>1730</v>
      </c>
      <c r="I1023"/>
      <c r="J1023"/>
      <c r="K1023"/>
      <c r="N1023">
        <v>0.5</v>
      </c>
      <c r="O1023">
        <v>0</v>
      </c>
      <c r="P1023">
        <v>45</v>
      </c>
      <c r="Q1023">
        <v>7</v>
      </c>
      <c r="R1023" t="s">
        <v>102</v>
      </c>
      <c r="T1023" s="6">
        <f>10^-(14-Q1023)</f>
        <v>9.9999999999999995E-8</v>
      </c>
      <c r="U1023" s="6">
        <v>0</v>
      </c>
      <c r="V1023" s="6">
        <v>0</v>
      </c>
      <c r="W1023" s="6">
        <v>0</v>
      </c>
      <c r="X1023" s="6">
        <v>0</v>
      </c>
      <c r="Y1023" t="s">
        <v>171</v>
      </c>
      <c r="Z1023"/>
      <c r="AA1023"/>
      <c r="AB1023"/>
      <c r="AC1023"/>
      <c r="AE1023">
        <v>531.79999999999995</v>
      </c>
      <c r="AF1023">
        <v>1</v>
      </c>
      <c r="AL1023" s="9">
        <v>13.98</v>
      </c>
      <c r="AM1023" s="9">
        <v>74.36</v>
      </c>
      <c r="AN1023" s="9">
        <v>11.66</v>
      </c>
      <c r="AQ1023" s="1"/>
    </row>
    <row r="1024" spans="1:43" x14ac:dyDescent="0.3">
      <c r="A1024">
        <v>44</v>
      </c>
      <c r="B1024" t="s">
        <v>1729</v>
      </c>
      <c r="C1024">
        <v>59</v>
      </c>
      <c r="D1024" t="s">
        <v>1730</v>
      </c>
      <c r="I1024"/>
      <c r="J1024"/>
      <c r="K1024"/>
      <c r="N1024">
        <v>0.5</v>
      </c>
      <c r="O1024">
        <v>0</v>
      </c>
      <c r="P1024">
        <v>60</v>
      </c>
      <c r="Q1024">
        <v>7</v>
      </c>
      <c r="R1024" t="s">
        <v>102</v>
      </c>
      <c r="T1024" s="6">
        <f>10^-(14-Q1024)</f>
        <v>9.9999999999999995E-8</v>
      </c>
      <c r="U1024" s="6">
        <v>0</v>
      </c>
      <c r="V1024" s="6">
        <v>0</v>
      </c>
      <c r="W1024" s="6">
        <v>0</v>
      </c>
      <c r="X1024" s="6">
        <v>0</v>
      </c>
      <c r="Y1024" t="s">
        <v>171</v>
      </c>
      <c r="Z1024"/>
      <c r="AA1024"/>
      <c r="AB1024"/>
      <c r="AC1024"/>
      <c r="AD1024">
        <v>0.2</v>
      </c>
      <c r="AE1024">
        <v>438.9</v>
      </c>
      <c r="AF1024">
        <v>1</v>
      </c>
      <c r="AL1024" s="9">
        <v>13.98</v>
      </c>
      <c r="AM1024" s="9">
        <v>74.36</v>
      </c>
      <c r="AN1024" s="9">
        <v>11.66</v>
      </c>
      <c r="AQ1024" s="1"/>
    </row>
    <row r="1025" spans="1:43" x14ac:dyDescent="0.3">
      <c r="A1025">
        <v>44</v>
      </c>
      <c r="B1025" t="s">
        <v>1729</v>
      </c>
      <c r="C1025">
        <v>59</v>
      </c>
      <c r="D1025" t="s">
        <v>1730</v>
      </c>
      <c r="I1025"/>
      <c r="J1025"/>
      <c r="K1025"/>
      <c r="N1025">
        <v>0.5</v>
      </c>
      <c r="O1025">
        <v>0</v>
      </c>
      <c r="P1025">
        <v>75</v>
      </c>
      <c r="Q1025">
        <v>7</v>
      </c>
      <c r="R1025" t="s">
        <v>102</v>
      </c>
      <c r="T1025" s="6">
        <f>10^-(14-Q1025)</f>
        <v>9.9999999999999995E-8</v>
      </c>
      <c r="U1025" s="6">
        <v>0</v>
      </c>
      <c r="V1025" s="6">
        <v>0</v>
      </c>
      <c r="W1025" s="6">
        <v>0</v>
      </c>
      <c r="X1025" s="6">
        <v>0</v>
      </c>
      <c r="Y1025" t="s">
        <v>171</v>
      </c>
      <c r="Z1025"/>
      <c r="AA1025"/>
      <c r="AB1025"/>
      <c r="AC1025"/>
      <c r="AE1025">
        <v>435.7</v>
      </c>
      <c r="AF1025">
        <v>1</v>
      </c>
      <c r="AL1025" s="9">
        <v>13.98</v>
      </c>
      <c r="AM1025" s="9">
        <v>74.36</v>
      </c>
      <c r="AN1025" s="9">
        <v>11.66</v>
      </c>
      <c r="AQ1025" s="1"/>
    </row>
    <row r="1026" spans="1:43" x14ac:dyDescent="0.3">
      <c r="A1026">
        <v>44</v>
      </c>
      <c r="B1026" t="s">
        <v>1729</v>
      </c>
      <c r="C1026">
        <v>59</v>
      </c>
      <c r="D1026" t="s">
        <v>1730</v>
      </c>
      <c r="I1026"/>
      <c r="J1026"/>
      <c r="K1026"/>
      <c r="N1026">
        <v>0.5</v>
      </c>
      <c r="O1026">
        <v>0</v>
      </c>
      <c r="P1026">
        <v>90</v>
      </c>
      <c r="Q1026">
        <v>7</v>
      </c>
      <c r="R1026" t="s">
        <v>102</v>
      </c>
      <c r="T1026" s="6">
        <f>10^-(14-Q1026)</f>
        <v>9.9999999999999995E-8</v>
      </c>
      <c r="U1026" s="6">
        <v>0</v>
      </c>
      <c r="V1026" s="6">
        <v>0</v>
      </c>
      <c r="W1026" s="6">
        <v>0</v>
      </c>
      <c r="X1026" s="6">
        <v>0</v>
      </c>
      <c r="Y1026" t="s">
        <v>171</v>
      </c>
      <c r="Z1026"/>
      <c r="AA1026"/>
      <c r="AB1026"/>
      <c r="AC1026"/>
      <c r="AD1026">
        <v>1</v>
      </c>
      <c r="AE1026">
        <v>394.9</v>
      </c>
      <c r="AF1026">
        <v>1</v>
      </c>
      <c r="AL1026" s="9">
        <v>13.98</v>
      </c>
      <c r="AM1026" s="9">
        <v>74.36</v>
      </c>
      <c r="AN1026" s="9">
        <v>11.66</v>
      </c>
      <c r="AQ1026" s="1"/>
    </row>
    <row r="1027" spans="1:43" x14ac:dyDescent="0.3">
      <c r="A1027">
        <v>44</v>
      </c>
      <c r="B1027" t="s">
        <v>1729</v>
      </c>
      <c r="C1027">
        <v>59</v>
      </c>
      <c r="D1027" t="s">
        <v>1730</v>
      </c>
      <c r="I1027"/>
      <c r="J1027"/>
      <c r="K1027"/>
      <c r="N1027">
        <v>0.5</v>
      </c>
      <c r="O1027">
        <v>0</v>
      </c>
      <c r="P1027">
        <v>45</v>
      </c>
      <c r="Q1027">
        <v>7</v>
      </c>
      <c r="R1027" t="s">
        <v>102</v>
      </c>
      <c r="T1027" s="6">
        <f>10^-(14-Q1027)</f>
        <v>9.9999999999999995E-8</v>
      </c>
      <c r="U1027" s="6">
        <v>0</v>
      </c>
      <c r="V1027" s="6">
        <v>0</v>
      </c>
      <c r="W1027" s="6">
        <v>0</v>
      </c>
      <c r="X1027" s="6">
        <v>0</v>
      </c>
      <c r="Y1027" t="s">
        <v>171</v>
      </c>
      <c r="Z1027"/>
      <c r="AA1027"/>
      <c r="AB1027"/>
      <c r="AC1027"/>
      <c r="AE1027">
        <v>576.79999999999995</v>
      </c>
      <c r="AF1027">
        <v>1</v>
      </c>
      <c r="AL1027" s="9">
        <v>16.75</v>
      </c>
      <c r="AM1027" s="9">
        <v>73.56</v>
      </c>
      <c r="AN1027" s="9">
        <v>9.69</v>
      </c>
      <c r="AQ1027" s="1"/>
    </row>
    <row r="1028" spans="1:43" x14ac:dyDescent="0.3">
      <c r="A1028">
        <v>44</v>
      </c>
      <c r="B1028" t="s">
        <v>1729</v>
      </c>
      <c r="C1028">
        <v>59</v>
      </c>
      <c r="D1028" t="s">
        <v>1730</v>
      </c>
      <c r="I1028"/>
      <c r="J1028"/>
      <c r="K1028"/>
      <c r="N1028">
        <v>0.5</v>
      </c>
      <c r="O1028">
        <v>0</v>
      </c>
      <c r="P1028">
        <v>60</v>
      </c>
      <c r="Q1028">
        <v>7</v>
      </c>
      <c r="R1028" t="s">
        <v>102</v>
      </c>
      <c r="T1028" s="6">
        <f>10^-(14-Q1028)</f>
        <v>9.9999999999999995E-8</v>
      </c>
      <c r="U1028" s="6">
        <v>0</v>
      </c>
      <c r="V1028" s="6">
        <v>0</v>
      </c>
      <c r="W1028" s="6">
        <v>0</v>
      </c>
      <c r="X1028" s="6">
        <v>0</v>
      </c>
      <c r="Y1028" t="s">
        <v>171</v>
      </c>
      <c r="Z1028"/>
      <c r="AA1028"/>
      <c r="AB1028"/>
      <c r="AC1028"/>
      <c r="AD1028">
        <v>0.1</v>
      </c>
      <c r="AE1028">
        <v>496.8</v>
      </c>
      <c r="AF1028">
        <v>1</v>
      </c>
      <c r="AL1028" s="9">
        <v>16.75</v>
      </c>
      <c r="AM1028" s="9">
        <v>73.56</v>
      </c>
      <c r="AN1028" s="9">
        <v>9.69</v>
      </c>
      <c r="AQ1028" s="1"/>
    </row>
    <row r="1029" spans="1:43" x14ac:dyDescent="0.3">
      <c r="A1029">
        <v>44</v>
      </c>
      <c r="B1029" t="s">
        <v>1729</v>
      </c>
      <c r="C1029">
        <v>59</v>
      </c>
      <c r="D1029" t="s">
        <v>1730</v>
      </c>
      <c r="I1029"/>
      <c r="J1029"/>
      <c r="K1029"/>
      <c r="N1029">
        <v>0.5</v>
      </c>
      <c r="O1029">
        <v>0</v>
      </c>
      <c r="P1029">
        <v>75</v>
      </c>
      <c r="Q1029">
        <v>7</v>
      </c>
      <c r="R1029" t="s">
        <v>102</v>
      </c>
      <c r="T1029" s="6">
        <f>10^-(14-Q1029)</f>
        <v>9.9999999999999995E-8</v>
      </c>
      <c r="U1029" s="6">
        <v>0</v>
      </c>
      <c r="V1029" s="6">
        <v>0</v>
      </c>
      <c r="W1029" s="6">
        <v>0</v>
      </c>
      <c r="X1029" s="6">
        <v>0</v>
      </c>
      <c r="Y1029" t="s">
        <v>171</v>
      </c>
      <c r="Z1029"/>
      <c r="AA1029"/>
      <c r="AB1029"/>
      <c r="AC1029"/>
      <c r="AE1029">
        <v>368.2</v>
      </c>
      <c r="AF1029">
        <v>1</v>
      </c>
      <c r="AL1029" s="9">
        <v>16.75</v>
      </c>
      <c r="AM1029" s="9">
        <v>73.56</v>
      </c>
      <c r="AN1029" s="9">
        <v>9.69</v>
      </c>
      <c r="AQ1029" s="1"/>
    </row>
    <row r="1030" spans="1:43" x14ac:dyDescent="0.3">
      <c r="A1030">
        <v>44</v>
      </c>
      <c r="B1030" t="s">
        <v>1729</v>
      </c>
      <c r="C1030">
        <v>59</v>
      </c>
      <c r="D1030" t="s">
        <v>1730</v>
      </c>
      <c r="I1030"/>
      <c r="J1030"/>
      <c r="K1030"/>
      <c r="N1030">
        <v>0.5</v>
      </c>
      <c r="O1030">
        <v>0</v>
      </c>
      <c r="P1030">
        <v>90</v>
      </c>
      <c r="Q1030">
        <v>7</v>
      </c>
      <c r="R1030" t="s">
        <v>102</v>
      </c>
      <c r="T1030" s="6">
        <f>10^-(14-Q1030)</f>
        <v>9.9999999999999995E-8</v>
      </c>
      <c r="U1030" s="6">
        <v>0</v>
      </c>
      <c r="V1030" s="6">
        <v>0</v>
      </c>
      <c r="W1030" s="6">
        <v>0</v>
      </c>
      <c r="X1030" s="6">
        <v>0</v>
      </c>
      <c r="Y1030" t="s">
        <v>171</v>
      </c>
      <c r="Z1030"/>
      <c r="AA1030"/>
      <c r="AB1030"/>
      <c r="AC1030"/>
      <c r="AD1030">
        <v>0.2</v>
      </c>
      <c r="AE1030">
        <v>479.7</v>
      </c>
      <c r="AF1030">
        <v>1</v>
      </c>
      <c r="AL1030" s="9">
        <v>16.75</v>
      </c>
      <c r="AM1030" s="9">
        <v>73.56</v>
      </c>
      <c r="AN1030" s="9">
        <v>9.69</v>
      </c>
      <c r="AQ1030" s="1"/>
    </row>
    <row r="1031" spans="1:43" x14ac:dyDescent="0.3">
      <c r="A1031">
        <v>44</v>
      </c>
      <c r="B1031" t="s">
        <v>1729</v>
      </c>
      <c r="C1031">
        <v>59</v>
      </c>
      <c r="D1031" t="s">
        <v>1730</v>
      </c>
      <c r="I1031"/>
      <c r="J1031"/>
      <c r="K1031"/>
      <c r="N1031">
        <v>0.5</v>
      </c>
      <c r="O1031">
        <v>0</v>
      </c>
      <c r="P1031">
        <v>45</v>
      </c>
      <c r="Q1031">
        <v>7</v>
      </c>
      <c r="R1031" t="s">
        <v>102</v>
      </c>
      <c r="T1031" s="6">
        <f>10^-(14-Q1031)</f>
        <v>9.9999999999999995E-8</v>
      </c>
      <c r="U1031" s="6">
        <v>0</v>
      </c>
      <c r="V1031" s="6">
        <v>0</v>
      </c>
      <c r="W1031" s="6">
        <v>0</v>
      </c>
      <c r="X1031" s="6">
        <v>0</v>
      </c>
      <c r="Y1031" t="s">
        <v>171</v>
      </c>
      <c r="Z1031"/>
      <c r="AA1031"/>
      <c r="AB1031"/>
      <c r="AC1031"/>
      <c r="AF1031">
        <v>2</v>
      </c>
      <c r="AL1031" s="9">
        <v>16.95</v>
      </c>
      <c r="AM1031" s="9">
        <v>74.64</v>
      </c>
      <c r="AN1031" s="9">
        <v>8.41</v>
      </c>
      <c r="AQ1031" s="1"/>
    </row>
    <row r="1032" spans="1:43" x14ac:dyDescent="0.3">
      <c r="A1032">
        <v>44</v>
      </c>
      <c r="B1032" t="s">
        <v>1729</v>
      </c>
      <c r="C1032">
        <v>59</v>
      </c>
      <c r="D1032" t="s">
        <v>1730</v>
      </c>
      <c r="I1032"/>
      <c r="J1032"/>
      <c r="K1032"/>
      <c r="N1032">
        <v>0.5</v>
      </c>
      <c r="O1032">
        <v>0</v>
      </c>
      <c r="P1032">
        <v>60</v>
      </c>
      <c r="Q1032">
        <v>7</v>
      </c>
      <c r="R1032" t="s">
        <v>102</v>
      </c>
      <c r="T1032" s="6">
        <f>10^-(14-Q1032)</f>
        <v>9.9999999999999995E-8</v>
      </c>
      <c r="U1032" s="6">
        <v>0</v>
      </c>
      <c r="V1032" s="6">
        <v>0</v>
      </c>
      <c r="W1032" s="6">
        <v>0</v>
      </c>
      <c r="X1032" s="6">
        <v>0</v>
      </c>
      <c r="Y1032" t="s">
        <v>171</v>
      </c>
      <c r="Z1032"/>
      <c r="AA1032"/>
      <c r="AB1032"/>
      <c r="AC1032"/>
      <c r="AD1032">
        <v>0.1</v>
      </c>
      <c r="AE1032">
        <v>477.5</v>
      </c>
      <c r="AF1032">
        <v>1</v>
      </c>
      <c r="AL1032" s="9">
        <v>16.95</v>
      </c>
      <c r="AM1032" s="9">
        <v>74.64</v>
      </c>
      <c r="AN1032" s="9">
        <v>8.41</v>
      </c>
      <c r="AQ1032" s="1"/>
    </row>
    <row r="1033" spans="1:43" x14ac:dyDescent="0.3">
      <c r="A1033">
        <v>44</v>
      </c>
      <c r="B1033" t="s">
        <v>1729</v>
      </c>
      <c r="C1033">
        <v>59</v>
      </c>
      <c r="D1033" t="s">
        <v>1730</v>
      </c>
      <c r="I1033"/>
      <c r="J1033"/>
      <c r="K1033"/>
      <c r="N1033">
        <v>0.5</v>
      </c>
      <c r="O1033">
        <v>0</v>
      </c>
      <c r="P1033">
        <v>75</v>
      </c>
      <c r="Q1033">
        <v>7</v>
      </c>
      <c r="R1033" t="s">
        <v>102</v>
      </c>
      <c r="T1033" s="6">
        <f>10^-(14-Q1033)</f>
        <v>9.9999999999999995E-8</v>
      </c>
      <c r="U1033" s="6">
        <v>0</v>
      </c>
      <c r="V1033" s="6">
        <v>0</v>
      </c>
      <c r="W1033" s="6">
        <v>0</v>
      </c>
      <c r="X1033" s="6">
        <v>0</v>
      </c>
      <c r="Y1033" t="s">
        <v>171</v>
      </c>
      <c r="Z1033"/>
      <c r="AA1033"/>
      <c r="AB1033"/>
      <c r="AC1033"/>
      <c r="AE1033">
        <v>228.3</v>
      </c>
      <c r="AF1033">
        <v>1</v>
      </c>
      <c r="AL1033" s="9">
        <v>16.95</v>
      </c>
      <c r="AM1033" s="9">
        <v>74.64</v>
      </c>
      <c r="AN1033" s="9">
        <v>8.41</v>
      </c>
      <c r="AQ1033" s="1"/>
    </row>
    <row r="1034" spans="1:43" x14ac:dyDescent="0.3">
      <c r="A1034">
        <v>44</v>
      </c>
      <c r="B1034" t="s">
        <v>1729</v>
      </c>
      <c r="C1034">
        <v>59</v>
      </c>
      <c r="D1034" t="s">
        <v>1730</v>
      </c>
      <c r="I1034"/>
      <c r="J1034"/>
      <c r="K1034"/>
      <c r="N1034">
        <v>0.5</v>
      </c>
      <c r="O1034">
        <v>0</v>
      </c>
      <c r="P1034">
        <v>90</v>
      </c>
      <c r="Q1034">
        <v>7</v>
      </c>
      <c r="R1034" t="s">
        <v>102</v>
      </c>
      <c r="T1034" s="6">
        <f>10^-(14-Q1034)</f>
        <v>9.9999999999999995E-8</v>
      </c>
      <c r="U1034" s="6">
        <v>0</v>
      </c>
      <c r="V1034" s="6">
        <v>0</v>
      </c>
      <c r="W1034" s="6">
        <v>0</v>
      </c>
      <c r="X1034" s="6">
        <v>0</v>
      </c>
      <c r="Y1034" t="s">
        <v>171</v>
      </c>
      <c r="Z1034"/>
      <c r="AA1034"/>
      <c r="AB1034"/>
      <c r="AC1034"/>
      <c r="AD1034">
        <v>0.2</v>
      </c>
      <c r="AE1034">
        <v>259.8</v>
      </c>
      <c r="AF1034">
        <v>1</v>
      </c>
      <c r="AL1034" s="9">
        <v>16.95</v>
      </c>
      <c r="AM1034" s="9">
        <v>74.64</v>
      </c>
      <c r="AN1034" s="9">
        <v>8.41</v>
      </c>
      <c r="AQ1034" s="1"/>
    </row>
    <row r="1035" spans="1:43" x14ac:dyDescent="0.3">
      <c r="A1035">
        <v>44</v>
      </c>
      <c r="B1035" t="s">
        <v>1729</v>
      </c>
      <c r="C1035">
        <v>59</v>
      </c>
      <c r="D1035" t="s">
        <v>1730</v>
      </c>
      <c r="I1035"/>
      <c r="J1035"/>
      <c r="K1035"/>
      <c r="N1035">
        <v>0.5</v>
      </c>
      <c r="O1035">
        <v>0</v>
      </c>
      <c r="P1035">
        <v>45</v>
      </c>
      <c r="Q1035">
        <v>7</v>
      </c>
      <c r="R1035" t="s">
        <v>102</v>
      </c>
      <c r="T1035" s="6">
        <f>10^-(14-Q1035)</f>
        <v>9.9999999999999995E-8</v>
      </c>
      <c r="U1035" s="6">
        <v>0</v>
      </c>
      <c r="V1035" s="6">
        <v>0</v>
      </c>
      <c r="W1035" s="6">
        <v>0</v>
      </c>
      <c r="X1035" s="6">
        <v>0</v>
      </c>
      <c r="Y1035" t="s">
        <v>171</v>
      </c>
      <c r="Z1035"/>
      <c r="AA1035"/>
      <c r="AB1035"/>
      <c r="AC1035"/>
      <c r="AF1035">
        <v>2</v>
      </c>
      <c r="AL1035" s="9">
        <v>18.3</v>
      </c>
      <c r="AM1035" s="9">
        <v>66.67</v>
      </c>
      <c r="AN1035" s="9">
        <v>15.03</v>
      </c>
      <c r="AQ1035" s="1"/>
    </row>
    <row r="1036" spans="1:43" x14ac:dyDescent="0.3">
      <c r="A1036">
        <v>44</v>
      </c>
      <c r="B1036" t="s">
        <v>1729</v>
      </c>
      <c r="C1036">
        <v>59</v>
      </c>
      <c r="D1036" t="s">
        <v>1730</v>
      </c>
      <c r="I1036"/>
      <c r="J1036"/>
      <c r="K1036"/>
      <c r="N1036">
        <v>0.5</v>
      </c>
      <c r="O1036">
        <v>0</v>
      </c>
      <c r="P1036">
        <v>60</v>
      </c>
      <c r="Q1036">
        <v>7</v>
      </c>
      <c r="R1036" t="s">
        <v>102</v>
      </c>
      <c r="T1036" s="6">
        <f>10^-(14-Q1036)</f>
        <v>9.9999999999999995E-8</v>
      </c>
      <c r="U1036" s="6">
        <v>0</v>
      </c>
      <c r="V1036" s="6">
        <v>0</v>
      </c>
      <c r="W1036" s="6">
        <v>0</v>
      </c>
      <c r="X1036" s="6">
        <v>0</v>
      </c>
      <c r="Y1036" t="s">
        <v>171</v>
      </c>
      <c r="Z1036"/>
      <c r="AA1036"/>
      <c r="AB1036"/>
      <c r="AC1036"/>
      <c r="AD1036">
        <v>0.2</v>
      </c>
      <c r="AE1036">
        <v>503.2</v>
      </c>
      <c r="AF1036">
        <v>1</v>
      </c>
      <c r="AL1036" s="9">
        <v>18.3</v>
      </c>
      <c r="AM1036" s="9">
        <v>66.67</v>
      </c>
      <c r="AN1036" s="9">
        <v>15.03</v>
      </c>
      <c r="AQ1036" s="1"/>
    </row>
    <row r="1037" spans="1:43" x14ac:dyDescent="0.3">
      <c r="A1037">
        <v>44</v>
      </c>
      <c r="B1037" t="s">
        <v>1729</v>
      </c>
      <c r="C1037">
        <v>59</v>
      </c>
      <c r="D1037" t="s">
        <v>1730</v>
      </c>
      <c r="I1037"/>
      <c r="J1037"/>
      <c r="K1037"/>
      <c r="N1037">
        <v>0.5</v>
      </c>
      <c r="O1037">
        <v>0</v>
      </c>
      <c r="P1037">
        <v>75</v>
      </c>
      <c r="Q1037">
        <v>7</v>
      </c>
      <c r="R1037" t="s">
        <v>102</v>
      </c>
      <c r="T1037" s="6">
        <f>10^-(14-Q1037)</f>
        <v>9.9999999999999995E-8</v>
      </c>
      <c r="U1037" s="6">
        <v>0</v>
      </c>
      <c r="V1037" s="6">
        <v>0</v>
      </c>
      <c r="W1037" s="6">
        <v>0</v>
      </c>
      <c r="X1037" s="6">
        <v>0</v>
      </c>
      <c r="Y1037" t="s">
        <v>171</v>
      </c>
      <c r="Z1037"/>
      <c r="AA1037"/>
      <c r="AB1037"/>
      <c r="AC1037"/>
      <c r="AE1037">
        <v>585.20000000000005</v>
      </c>
      <c r="AF1037">
        <v>1</v>
      </c>
      <c r="AL1037" s="9">
        <v>18.3</v>
      </c>
      <c r="AM1037" s="9">
        <v>66.67</v>
      </c>
      <c r="AN1037" s="9">
        <v>15.03</v>
      </c>
      <c r="AQ1037" s="1"/>
    </row>
    <row r="1038" spans="1:43" x14ac:dyDescent="0.3">
      <c r="A1038">
        <v>44</v>
      </c>
      <c r="B1038" t="s">
        <v>1729</v>
      </c>
      <c r="C1038">
        <v>59</v>
      </c>
      <c r="D1038" t="s">
        <v>1730</v>
      </c>
      <c r="I1038"/>
      <c r="J1038"/>
      <c r="K1038"/>
      <c r="N1038">
        <v>0.5</v>
      </c>
      <c r="O1038">
        <v>0</v>
      </c>
      <c r="P1038">
        <v>90</v>
      </c>
      <c r="Q1038">
        <v>7</v>
      </c>
      <c r="R1038" t="s">
        <v>102</v>
      </c>
      <c r="T1038" s="6">
        <f>10^-(14-Q1038)</f>
        <v>9.9999999999999995E-8</v>
      </c>
      <c r="U1038" s="6">
        <v>0</v>
      </c>
      <c r="V1038" s="6">
        <v>0</v>
      </c>
      <c r="W1038" s="6">
        <v>0</v>
      </c>
      <c r="X1038" s="6">
        <v>0</v>
      </c>
      <c r="Y1038" t="s">
        <v>171</v>
      </c>
      <c r="Z1038"/>
      <c r="AA1038"/>
      <c r="AB1038"/>
      <c r="AC1038"/>
      <c r="AD1038">
        <v>1</v>
      </c>
      <c r="AE1038">
        <v>504.8</v>
      </c>
      <c r="AF1038">
        <v>1</v>
      </c>
      <c r="AL1038" s="9">
        <v>18.3</v>
      </c>
      <c r="AM1038" s="9">
        <v>66.67</v>
      </c>
      <c r="AN1038" s="9">
        <v>15.03</v>
      </c>
      <c r="AQ1038" s="1"/>
    </row>
    <row r="1039" spans="1:43" x14ac:dyDescent="0.3">
      <c r="A1039">
        <v>44</v>
      </c>
      <c r="B1039" t="s">
        <v>1729</v>
      </c>
      <c r="C1039">
        <v>59</v>
      </c>
      <c r="D1039" t="s">
        <v>1730</v>
      </c>
      <c r="I1039"/>
      <c r="J1039"/>
      <c r="K1039"/>
      <c r="N1039">
        <v>0.5</v>
      </c>
      <c r="O1039">
        <v>0</v>
      </c>
      <c r="P1039">
        <v>45</v>
      </c>
      <c r="Q1039">
        <v>7</v>
      </c>
      <c r="R1039" t="s">
        <v>102</v>
      </c>
      <c r="T1039" s="6">
        <f>10^-(14-Q1039)</f>
        <v>9.9999999999999995E-8</v>
      </c>
      <c r="U1039" s="6">
        <v>0</v>
      </c>
      <c r="V1039" s="6">
        <v>0</v>
      </c>
      <c r="W1039" s="6">
        <v>0</v>
      </c>
      <c r="X1039" s="6">
        <v>0</v>
      </c>
      <c r="Y1039" t="s">
        <v>171</v>
      </c>
      <c r="Z1039"/>
      <c r="AA1039"/>
      <c r="AB1039"/>
      <c r="AC1039"/>
      <c r="AD1039">
        <v>0.1</v>
      </c>
      <c r="AF1039">
        <v>2</v>
      </c>
      <c r="AL1039" s="9">
        <v>19.04</v>
      </c>
      <c r="AM1039" s="9">
        <v>57.97</v>
      </c>
      <c r="AN1039" s="9">
        <v>22.98</v>
      </c>
      <c r="AQ1039" s="1"/>
    </row>
    <row r="1040" spans="1:43" x14ac:dyDescent="0.3">
      <c r="A1040">
        <v>44</v>
      </c>
      <c r="B1040" t="s">
        <v>1729</v>
      </c>
      <c r="C1040">
        <v>59</v>
      </c>
      <c r="D1040" t="s">
        <v>1730</v>
      </c>
      <c r="I1040"/>
      <c r="J1040"/>
      <c r="K1040"/>
      <c r="N1040">
        <v>0.5</v>
      </c>
      <c r="O1040">
        <v>0</v>
      </c>
      <c r="P1040">
        <v>60</v>
      </c>
      <c r="Q1040">
        <v>7</v>
      </c>
      <c r="R1040" t="s">
        <v>102</v>
      </c>
      <c r="T1040" s="6">
        <f>10^-(14-Q1040)</f>
        <v>9.9999999999999995E-8</v>
      </c>
      <c r="U1040" s="6">
        <v>0</v>
      </c>
      <c r="V1040" s="6">
        <v>0</v>
      </c>
      <c r="W1040" s="6">
        <v>0</v>
      </c>
      <c r="X1040" s="6">
        <v>0</v>
      </c>
      <c r="Y1040" t="s">
        <v>171</v>
      </c>
      <c r="Z1040"/>
      <c r="AA1040"/>
      <c r="AB1040"/>
      <c r="AC1040"/>
      <c r="AD1040">
        <v>0.2</v>
      </c>
      <c r="AE1040">
        <v>561.1</v>
      </c>
      <c r="AF1040">
        <v>1</v>
      </c>
      <c r="AL1040" s="9">
        <v>19.04</v>
      </c>
      <c r="AM1040" s="9">
        <v>57.97</v>
      </c>
      <c r="AN1040" s="9">
        <v>22.98</v>
      </c>
      <c r="AQ1040" s="1"/>
    </row>
    <row r="1041" spans="1:43" x14ac:dyDescent="0.3">
      <c r="A1041">
        <v>44</v>
      </c>
      <c r="B1041" t="s">
        <v>1729</v>
      </c>
      <c r="C1041">
        <v>59</v>
      </c>
      <c r="D1041" t="s">
        <v>1730</v>
      </c>
      <c r="I1041"/>
      <c r="J1041"/>
      <c r="K1041"/>
      <c r="N1041">
        <v>0.5</v>
      </c>
      <c r="O1041">
        <v>0</v>
      </c>
      <c r="P1041">
        <v>75</v>
      </c>
      <c r="Q1041">
        <v>7</v>
      </c>
      <c r="R1041" t="s">
        <v>102</v>
      </c>
      <c r="T1041" s="6">
        <f>10^-(14-Q1041)</f>
        <v>9.9999999999999995E-8</v>
      </c>
      <c r="U1041" s="6">
        <v>0</v>
      </c>
      <c r="V1041" s="6">
        <v>0</v>
      </c>
      <c r="W1041" s="6">
        <v>0</v>
      </c>
      <c r="X1041" s="6">
        <v>0</v>
      </c>
      <c r="Y1041" t="s">
        <v>171</v>
      </c>
      <c r="Z1041"/>
      <c r="AA1041"/>
      <c r="AB1041"/>
      <c r="AC1041"/>
      <c r="AD1041">
        <v>1</v>
      </c>
      <c r="AE1041">
        <v>398.7</v>
      </c>
      <c r="AF1041">
        <v>1</v>
      </c>
      <c r="AL1041" s="9">
        <v>19.04</v>
      </c>
      <c r="AM1041" s="9">
        <v>57.97</v>
      </c>
      <c r="AN1041" s="9">
        <v>22.98</v>
      </c>
      <c r="AQ1041" s="1"/>
    </row>
    <row r="1042" spans="1:43" x14ac:dyDescent="0.3">
      <c r="A1042">
        <v>44</v>
      </c>
      <c r="B1042" t="s">
        <v>1729</v>
      </c>
      <c r="C1042">
        <v>59</v>
      </c>
      <c r="D1042" t="s">
        <v>1730</v>
      </c>
      <c r="I1042"/>
      <c r="J1042"/>
      <c r="K1042"/>
      <c r="N1042">
        <v>0.5</v>
      </c>
      <c r="O1042">
        <v>0</v>
      </c>
      <c r="P1042">
        <v>90</v>
      </c>
      <c r="Q1042">
        <v>7</v>
      </c>
      <c r="R1042" t="s">
        <v>102</v>
      </c>
      <c r="T1042" s="6">
        <f>10^-(14-Q1042)</f>
        <v>9.9999999999999995E-8</v>
      </c>
      <c r="U1042" s="6">
        <v>0</v>
      </c>
      <c r="V1042" s="6">
        <v>0</v>
      </c>
      <c r="W1042" s="6">
        <v>0</v>
      </c>
      <c r="X1042" s="6">
        <v>0</v>
      </c>
      <c r="Y1042" t="s">
        <v>171</v>
      </c>
      <c r="Z1042"/>
      <c r="AA1042"/>
      <c r="AB1042"/>
      <c r="AC1042"/>
      <c r="AD1042">
        <v>1</v>
      </c>
      <c r="AE1042">
        <v>472</v>
      </c>
      <c r="AF1042">
        <v>1</v>
      </c>
      <c r="AL1042" s="9">
        <v>19.04</v>
      </c>
      <c r="AM1042" s="9">
        <v>57.97</v>
      </c>
      <c r="AN1042" s="9">
        <v>22.98</v>
      </c>
      <c r="AQ1042" s="1"/>
    </row>
    <row r="1043" spans="1:43" x14ac:dyDescent="0.3">
      <c r="A1043">
        <v>44</v>
      </c>
      <c r="B1043" t="s">
        <v>1729</v>
      </c>
      <c r="C1043">
        <v>59</v>
      </c>
      <c r="D1043" t="s">
        <v>1730</v>
      </c>
      <c r="I1043"/>
      <c r="J1043"/>
      <c r="K1043"/>
      <c r="N1043">
        <v>0.5</v>
      </c>
      <c r="O1043">
        <v>0</v>
      </c>
      <c r="P1043">
        <v>45</v>
      </c>
      <c r="Q1043">
        <v>7</v>
      </c>
      <c r="R1043" t="s">
        <v>102</v>
      </c>
      <c r="T1043" s="6">
        <f>10^-(14-Q1043)</f>
        <v>9.9999999999999995E-8</v>
      </c>
      <c r="U1043" s="6">
        <v>0</v>
      </c>
      <c r="V1043" s="6">
        <v>0</v>
      </c>
      <c r="W1043" s="6">
        <v>0</v>
      </c>
      <c r="X1043" s="6">
        <v>0</v>
      </c>
      <c r="Y1043" t="s">
        <v>171</v>
      </c>
      <c r="Z1043"/>
      <c r="AA1043"/>
      <c r="AB1043"/>
      <c r="AC1043"/>
      <c r="AD1043">
        <v>0.1</v>
      </c>
      <c r="AF1043">
        <v>2</v>
      </c>
      <c r="AL1043" s="9">
        <v>19.940000000000001</v>
      </c>
      <c r="AM1043" s="9">
        <v>59.14</v>
      </c>
      <c r="AN1043" s="9">
        <v>20.93</v>
      </c>
      <c r="AQ1043" s="1"/>
    </row>
    <row r="1044" spans="1:43" x14ac:dyDescent="0.3">
      <c r="A1044">
        <v>44</v>
      </c>
      <c r="B1044" t="s">
        <v>1729</v>
      </c>
      <c r="C1044">
        <v>59</v>
      </c>
      <c r="D1044" t="s">
        <v>1730</v>
      </c>
      <c r="I1044"/>
      <c r="J1044"/>
      <c r="K1044"/>
      <c r="N1044">
        <v>0.5</v>
      </c>
      <c r="O1044">
        <v>0</v>
      </c>
      <c r="P1044">
        <v>60</v>
      </c>
      <c r="Q1044">
        <v>7</v>
      </c>
      <c r="R1044" t="s">
        <v>102</v>
      </c>
      <c r="T1044" s="6">
        <f>10^-(14-Q1044)</f>
        <v>9.9999999999999995E-8</v>
      </c>
      <c r="U1044" s="6">
        <v>0</v>
      </c>
      <c r="V1044" s="6">
        <v>0</v>
      </c>
      <c r="W1044" s="6">
        <v>0</v>
      </c>
      <c r="X1044" s="6">
        <v>0</v>
      </c>
      <c r="Y1044" t="s">
        <v>171</v>
      </c>
      <c r="Z1044"/>
      <c r="AA1044"/>
      <c r="AB1044"/>
      <c r="AC1044"/>
      <c r="AD1044">
        <v>0.2</v>
      </c>
      <c r="AF1044">
        <v>2</v>
      </c>
      <c r="AL1044" s="9">
        <v>19.940000000000001</v>
      </c>
      <c r="AM1044" s="9">
        <v>59.14</v>
      </c>
      <c r="AN1044" s="9">
        <v>20.93</v>
      </c>
      <c r="AQ1044" s="1"/>
    </row>
    <row r="1045" spans="1:43" x14ac:dyDescent="0.3">
      <c r="A1045">
        <v>44</v>
      </c>
      <c r="B1045" t="s">
        <v>1729</v>
      </c>
      <c r="C1045">
        <v>59</v>
      </c>
      <c r="D1045" t="s">
        <v>1730</v>
      </c>
      <c r="I1045"/>
      <c r="J1045"/>
      <c r="K1045"/>
      <c r="N1045">
        <v>0.5</v>
      </c>
      <c r="O1045">
        <v>0</v>
      </c>
      <c r="P1045">
        <v>75</v>
      </c>
      <c r="Q1045">
        <v>7</v>
      </c>
      <c r="R1045" t="s">
        <v>102</v>
      </c>
      <c r="T1045" s="6">
        <f>10^-(14-Q1045)</f>
        <v>9.9999999999999995E-8</v>
      </c>
      <c r="U1045" s="6">
        <v>0</v>
      </c>
      <c r="V1045" s="6">
        <v>0</v>
      </c>
      <c r="W1045" s="6">
        <v>0</v>
      </c>
      <c r="X1045" s="6">
        <v>0</v>
      </c>
      <c r="Y1045" t="s">
        <v>171</v>
      </c>
      <c r="Z1045"/>
      <c r="AA1045"/>
      <c r="AB1045"/>
      <c r="AC1045"/>
      <c r="AD1045">
        <v>1</v>
      </c>
      <c r="AF1045">
        <v>2</v>
      </c>
      <c r="AL1045" s="9">
        <v>19.940000000000001</v>
      </c>
      <c r="AM1045" s="9">
        <v>59.14</v>
      </c>
      <c r="AN1045" s="9">
        <v>20.93</v>
      </c>
      <c r="AQ1045" s="1"/>
    </row>
    <row r="1046" spans="1:43" x14ac:dyDescent="0.3">
      <c r="A1046">
        <v>44</v>
      </c>
      <c r="B1046" t="s">
        <v>1729</v>
      </c>
      <c r="C1046">
        <v>59</v>
      </c>
      <c r="D1046" t="s">
        <v>1730</v>
      </c>
      <c r="I1046"/>
      <c r="J1046"/>
      <c r="K1046"/>
      <c r="N1046">
        <v>0.5</v>
      </c>
      <c r="O1046">
        <v>0</v>
      </c>
      <c r="P1046">
        <v>90</v>
      </c>
      <c r="Q1046">
        <v>7</v>
      </c>
      <c r="R1046" t="s">
        <v>102</v>
      </c>
      <c r="T1046" s="6">
        <f>10^-(14-Q1046)</f>
        <v>9.9999999999999995E-8</v>
      </c>
      <c r="U1046" s="6">
        <v>0</v>
      </c>
      <c r="V1046" s="6">
        <v>0</v>
      </c>
      <c r="W1046" s="6">
        <v>0</v>
      </c>
      <c r="X1046" s="6">
        <v>0</v>
      </c>
      <c r="Y1046" t="s">
        <v>171</v>
      </c>
      <c r="Z1046"/>
      <c r="AA1046"/>
      <c r="AB1046"/>
      <c r="AC1046"/>
      <c r="AD1046">
        <v>1</v>
      </c>
      <c r="AF1046">
        <v>2</v>
      </c>
      <c r="AL1046" s="9">
        <v>19.940000000000001</v>
      </c>
      <c r="AM1046" s="9">
        <v>59.14</v>
      </c>
      <c r="AN1046" s="9">
        <v>20.93</v>
      </c>
      <c r="AQ1046" s="1"/>
    </row>
    <row r="1047" spans="1:43" x14ac:dyDescent="0.3">
      <c r="A1047">
        <v>44</v>
      </c>
      <c r="B1047" t="s">
        <v>1729</v>
      </c>
      <c r="C1047">
        <v>59</v>
      </c>
      <c r="D1047" t="s">
        <v>1730</v>
      </c>
      <c r="I1047"/>
      <c r="J1047"/>
      <c r="K1047"/>
      <c r="N1047">
        <v>0.5</v>
      </c>
      <c r="O1047">
        <v>0</v>
      </c>
      <c r="P1047">
        <v>45</v>
      </c>
      <c r="Q1047">
        <v>7</v>
      </c>
      <c r="R1047" t="s">
        <v>102</v>
      </c>
      <c r="T1047" s="6">
        <f>10^-(14-Q1047)</f>
        <v>9.9999999999999995E-8</v>
      </c>
      <c r="U1047" s="6">
        <v>0</v>
      </c>
      <c r="V1047" s="6">
        <v>0</v>
      </c>
      <c r="W1047" s="6">
        <v>0</v>
      </c>
      <c r="X1047" s="6">
        <v>0</v>
      </c>
      <c r="Y1047" t="s">
        <v>171</v>
      </c>
      <c r="Z1047"/>
      <c r="AA1047"/>
      <c r="AB1047"/>
      <c r="AC1047"/>
      <c r="AD1047">
        <v>0.1</v>
      </c>
      <c r="AF1047">
        <v>2</v>
      </c>
      <c r="AL1047" s="9">
        <v>20.25</v>
      </c>
      <c r="AM1047" s="9">
        <v>54.4</v>
      </c>
      <c r="AN1047" s="9">
        <v>25.34</v>
      </c>
      <c r="AQ1047" s="1"/>
    </row>
    <row r="1048" spans="1:43" x14ac:dyDescent="0.3">
      <c r="A1048">
        <v>44</v>
      </c>
      <c r="B1048" t="s">
        <v>1729</v>
      </c>
      <c r="C1048">
        <v>59</v>
      </c>
      <c r="D1048" t="s">
        <v>1730</v>
      </c>
      <c r="I1048"/>
      <c r="J1048"/>
      <c r="K1048"/>
      <c r="N1048">
        <v>0.5</v>
      </c>
      <c r="O1048">
        <v>0</v>
      </c>
      <c r="P1048">
        <v>60</v>
      </c>
      <c r="Q1048">
        <v>7</v>
      </c>
      <c r="R1048" t="s">
        <v>102</v>
      </c>
      <c r="T1048" s="6">
        <f>10^-(14-Q1048)</f>
        <v>9.9999999999999995E-8</v>
      </c>
      <c r="U1048" s="6">
        <v>0</v>
      </c>
      <c r="V1048" s="6">
        <v>0</v>
      </c>
      <c r="W1048" s="6">
        <v>0</v>
      </c>
      <c r="X1048" s="6">
        <v>0</v>
      </c>
      <c r="Y1048" t="s">
        <v>171</v>
      </c>
      <c r="Z1048"/>
      <c r="AA1048"/>
      <c r="AB1048"/>
      <c r="AC1048"/>
      <c r="AD1048">
        <v>0.2</v>
      </c>
      <c r="AF1048">
        <v>2</v>
      </c>
      <c r="AL1048" s="9">
        <v>20.25</v>
      </c>
      <c r="AM1048" s="9">
        <v>54.4</v>
      </c>
      <c r="AN1048" s="9">
        <v>25.34</v>
      </c>
      <c r="AQ1048" s="1"/>
    </row>
    <row r="1049" spans="1:43" x14ac:dyDescent="0.3">
      <c r="A1049">
        <v>44</v>
      </c>
      <c r="B1049" t="s">
        <v>1729</v>
      </c>
      <c r="C1049">
        <v>59</v>
      </c>
      <c r="D1049" t="s">
        <v>1730</v>
      </c>
      <c r="I1049"/>
      <c r="J1049"/>
      <c r="K1049"/>
      <c r="N1049">
        <v>0.5</v>
      </c>
      <c r="O1049">
        <v>0</v>
      </c>
      <c r="P1049">
        <v>75</v>
      </c>
      <c r="Q1049">
        <v>7</v>
      </c>
      <c r="R1049" t="s">
        <v>102</v>
      </c>
      <c r="T1049" s="6">
        <f>10^-(14-Q1049)</f>
        <v>9.9999999999999995E-8</v>
      </c>
      <c r="U1049" s="6">
        <v>0</v>
      </c>
      <c r="V1049" s="6">
        <v>0</v>
      </c>
      <c r="W1049" s="6">
        <v>0</v>
      </c>
      <c r="X1049" s="6">
        <v>0</v>
      </c>
      <c r="Y1049" t="s">
        <v>171</v>
      </c>
      <c r="Z1049"/>
      <c r="AA1049"/>
      <c r="AB1049"/>
      <c r="AC1049"/>
      <c r="AD1049">
        <v>1</v>
      </c>
      <c r="AF1049">
        <v>2</v>
      </c>
      <c r="AL1049" s="9">
        <v>20.25</v>
      </c>
      <c r="AM1049" s="9">
        <v>54.4</v>
      </c>
      <c r="AN1049" s="9">
        <v>25.34</v>
      </c>
      <c r="AQ1049" s="1"/>
    </row>
    <row r="1050" spans="1:43" x14ac:dyDescent="0.3">
      <c r="A1050">
        <v>44</v>
      </c>
      <c r="B1050" t="s">
        <v>1729</v>
      </c>
      <c r="C1050">
        <v>59</v>
      </c>
      <c r="D1050" t="s">
        <v>1730</v>
      </c>
      <c r="I1050"/>
      <c r="J1050"/>
      <c r="K1050"/>
      <c r="N1050">
        <v>0.5</v>
      </c>
      <c r="O1050">
        <v>0</v>
      </c>
      <c r="P1050">
        <v>90</v>
      </c>
      <c r="Q1050">
        <v>7</v>
      </c>
      <c r="R1050" t="s">
        <v>102</v>
      </c>
      <c r="T1050" s="6">
        <f>10^-(14-Q1050)</f>
        <v>9.9999999999999995E-8</v>
      </c>
      <c r="U1050" s="6">
        <v>0</v>
      </c>
      <c r="V1050" s="6">
        <v>0</v>
      </c>
      <c r="W1050" s="6">
        <v>0</v>
      </c>
      <c r="X1050" s="6">
        <v>0</v>
      </c>
      <c r="Y1050" t="s">
        <v>171</v>
      </c>
      <c r="Z1050"/>
      <c r="AA1050"/>
      <c r="AB1050"/>
      <c r="AC1050"/>
      <c r="AD1050">
        <v>1</v>
      </c>
      <c r="AF1050">
        <v>2</v>
      </c>
      <c r="AL1050" s="9">
        <v>20.25</v>
      </c>
      <c r="AM1050" s="9">
        <v>54.4</v>
      </c>
      <c r="AN1050" s="9">
        <v>25.34</v>
      </c>
      <c r="AQ1050" s="1"/>
    </row>
    <row r="1051" spans="1:43" x14ac:dyDescent="0.3">
      <c r="A1051">
        <v>44</v>
      </c>
      <c r="B1051" t="s">
        <v>1729</v>
      </c>
      <c r="C1051">
        <v>59</v>
      </c>
      <c r="D1051" t="s">
        <v>1730</v>
      </c>
      <c r="I1051"/>
      <c r="J1051"/>
      <c r="K1051"/>
      <c r="N1051">
        <v>0.5</v>
      </c>
      <c r="O1051">
        <v>0</v>
      </c>
      <c r="P1051">
        <v>45</v>
      </c>
      <c r="Q1051">
        <v>7</v>
      </c>
      <c r="R1051" t="s">
        <v>102</v>
      </c>
      <c r="T1051" s="6">
        <f>10^-(14-Q1051)</f>
        <v>9.9999999999999995E-8</v>
      </c>
      <c r="U1051" s="6">
        <v>0</v>
      </c>
      <c r="V1051" s="6">
        <v>0</v>
      </c>
      <c r="W1051" s="6">
        <v>0</v>
      </c>
      <c r="X1051" s="6">
        <v>0</v>
      </c>
      <c r="Y1051" t="s">
        <v>171</v>
      </c>
      <c r="Z1051"/>
      <c r="AA1051"/>
      <c r="AB1051"/>
      <c r="AC1051"/>
      <c r="AE1051">
        <v>576.79999999999995</v>
      </c>
      <c r="AF1051">
        <v>1</v>
      </c>
      <c r="AL1051" s="9">
        <v>20.53</v>
      </c>
      <c r="AM1051" s="9">
        <v>74.55</v>
      </c>
      <c r="AN1051" s="9">
        <v>4.92</v>
      </c>
      <c r="AQ1051" s="1"/>
    </row>
    <row r="1052" spans="1:43" x14ac:dyDescent="0.3">
      <c r="A1052">
        <v>44</v>
      </c>
      <c r="B1052" t="s">
        <v>1729</v>
      </c>
      <c r="C1052">
        <v>59</v>
      </c>
      <c r="D1052" t="s">
        <v>1730</v>
      </c>
      <c r="I1052"/>
      <c r="J1052"/>
      <c r="K1052"/>
      <c r="N1052">
        <v>0.5</v>
      </c>
      <c r="O1052">
        <v>0</v>
      </c>
      <c r="P1052">
        <v>60</v>
      </c>
      <c r="Q1052">
        <v>7</v>
      </c>
      <c r="R1052" t="s">
        <v>102</v>
      </c>
      <c r="T1052" s="6">
        <f>10^-(14-Q1052)</f>
        <v>9.9999999999999995E-8</v>
      </c>
      <c r="U1052" s="6">
        <v>0</v>
      </c>
      <c r="V1052" s="6">
        <v>0</v>
      </c>
      <c r="W1052" s="6">
        <v>0</v>
      </c>
      <c r="X1052" s="6">
        <v>0</v>
      </c>
      <c r="Y1052" t="s">
        <v>171</v>
      </c>
      <c r="Z1052"/>
      <c r="AA1052"/>
      <c r="AB1052"/>
      <c r="AC1052"/>
      <c r="AD1052">
        <v>0.1</v>
      </c>
      <c r="AE1052">
        <v>445.3</v>
      </c>
      <c r="AF1052">
        <v>1</v>
      </c>
      <c r="AL1052" s="9">
        <v>20.53</v>
      </c>
      <c r="AM1052" s="9">
        <v>74.55</v>
      </c>
      <c r="AN1052" s="9">
        <v>4.92</v>
      </c>
      <c r="AQ1052" s="1"/>
    </row>
    <row r="1053" spans="1:43" x14ac:dyDescent="0.3">
      <c r="A1053">
        <v>44</v>
      </c>
      <c r="B1053" t="s">
        <v>1729</v>
      </c>
      <c r="C1053">
        <v>59</v>
      </c>
      <c r="D1053" t="s">
        <v>1730</v>
      </c>
      <c r="I1053"/>
      <c r="J1053"/>
      <c r="K1053"/>
      <c r="N1053">
        <v>0.5</v>
      </c>
      <c r="O1053">
        <v>0</v>
      </c>
      <c r="P1053">
        <v>75</v>
      </c>
      <c r="Q1053">
        <v>7</v>
      </c>
      <c r="R1053" t="s">
        <v>102</v>
      </c>
      <c r="T1053" s="6">
        <f>10^-(14-Q1053)</f>
        <v>9.9999999999999995E-8</v>
      </c>
      <c r="U1053" s="6">
        <v>0</v>
      </c>
      <c r="V1053" s="6">
        <v>0</v>
      </c>
      <c r="W1053" s="6">
        <v>0</v>
      </c>
      <c r="X1053" s="6">
        <v>0</v>
      </c>
      <c r="Y1053" t="s">
        <v>171</v>
      </c>
      <c r="Z1053"/>
      <c r="AA1053"/>
      <c r="AB1053"/>
      <c r="AC1053"/>
      <c r="AE1053">
        <v>541.79999999999995</v>
      </c>
      <c r="AF1053">
        <v>1</v>
      </c>
      <c r="AL1053" s="9">
        <v>20.53</v>
      </c>
      <c r="AM1053" s="9">
        <v>74.55</v>
      </c>
      <c r="AN1053" s="9">
        <v>4.92</v>
      </c>
      <c r="AQ1053" s="1"/>
    </row>
    <row r="1054" spans="1:43" x14ac:dyDescent="0.3">
      <c r="A1054">
        <v>44</v>
      </c>
      <c r="B1054" t="s">
        <v>1729</v>
      </c>
      <c r="C1054">
        <v>59</v>
      </c>
      <c r="D1054" t="s">
        <v>1730</v>
      </c>
      <c r="I1054"/>
      <c r="J1054"/>
      <c r="K1054"/>
      <c r="N1054">
        <v>0.5</v>
      </c>
      <c r="O1054">
        <v>0</v>
      </c>
      <c r="P1054">
        <v>90</v>
      </c>
      <c r="Q1054">
        <v>7</v>
      </c>
      <c r="R1054" t="s">
        <v>102</v>
      </c>
      <c r="T1054" s="6">
        <f>10^-(14-Q1054)</f>
        <v>9.9999999999999995E-8</v>
      </c>
      <c r="U1054" s="6">
        <v>0</v>
      </c>
      <c r="V1054" s="6">
        <v>0</v>
      </c>
      <c r="W1054" s="6">
        <v>0</v>
      </c>
      <c r="X1054" s="6">
        <v>0</v>
      </c>
      <c r="Y1054" t="s">
        <v>171</v>
      </c>
      <c r="Z1054"/>
      <c r="AA1054"/>
      <c r="AB1054"/>
      <c r="AC1054"/>
      <c r="AD1054">
        <v>0.2</v>
      </c>
      <c r="AE1054">
        <v>499</v>
      </c>
      <c r="AF1054">
        <v>1</v>
      </c>
      <c r="AL1054" s="9">
        <v>20.53</v>
      </c>
      <c r="AM1054" s="9">
        <v>74.55</v>
      </c>
      <c r="AN1054" s="9">
        <v>4.92</v>
      </c>
      <c r="AQ1054" s="1"/>
    </row>
    <row r="1055" spans="1:43" x14ac:dyDescent="0.3">
      <c r="A1055">
        <v>44</v>
      </c>
      <c r="B1055" t="s">
        <v>1729</v>
      </c>
      <c r="C1055">
        <v>59</v>
      </c>
      <c r="D1055" t="s">
        <v>1730</v>
      </c>
      <c r="I1055"/>
      <c r="J1055"/>
      <c r="K1055"/>
      <c r="N1055">
        <v>0.5</v>
      </c>
      <c r="O1055">
        <v>0</v>
      </c>
      <c r="P1055">
        <v>45</v>
      </c>
      <c r="Q1055">
        <v>7</v>
      </c>
      <c r="R1055" t="s">
        <v>102</v>
      </c>
      <c r="T1055" s="6">
        <f>10^-(14-Q1055)</f>
        <v>9.9999999999999995E-8</v>
      </c>
      <c r="U1055" s="6">
        <v>0</v>
      </c>
      <c r="V1055" s="6">
        <v>0</v>
      </c>
      <c r="W1055" s="6">
        <v>0</v>
      </c>
      <c r="X1055" s="6">
        <v>0</v>
      </c>
      <c r="Y1055" t="s">
        <v>171</v>
      </c>
      <c r="Z1055"/>
      <c r="AA1055"/>
      <c r="AB1055"/>
      <c r="AC1055"/>
      <c r="AD1055">
        <v>0.1</v>
      </c>
      <c r="AF1055">
        <v>2</v>
      </c>
      <c r="AL1055" s="9">
        <v>22.03</v>
      </c>
      <c r="AM1055" s="9">
        <v>56.36</v>
      </c>
      <c r="AN1055" s="9">
        <v>21.61</v>
      </c>
      <c r="AQ1055" s="1"/>
    </row>
    <row r="1056" spans="1:43" x14ac:dyDescent="0.3">
      <c r="A1056">
        <v>44</v>
      </c>
      <c r="B1056" t="s">
        <v>1729</v>
      </c>
      <c r="C1056">
        <v>59</v>
      </c>
      <c r="D1056" t="s">
        <v>1730</v>
      </c>
      <c r="I1056"/>
      <c r="J1056"/>
      <c r="K1056"/>
      <c r="N1056">
        <v>0.5</v>
      </c>
      <c r="O1056">
        <v>0</v>
      </c>
      <c r="P1056">
        <v>60</v>
      </c>
      <c r="Q1056">
        <v>7</v>
      </c>
      <c r="R1056" t="s">
        <v>102</v>
      </c>
      <c r="T1056" s="6">
        <f>10^-(14-Q1056)</f>
        <v>9.9999999999999995E-8</v>
      </c>
      <c r="U1056" s="6">
        <v>0</v>
      </c>
      <c r="V1056" s="6">
        <v>0</v>
      </c>
      <c r="W1056" s="6">
        <v>0</v>
      </c>
      <c r="X1056" s="6">
        <v>0</v>
      </c>
      <c r="Y1056" t="s">
        <v>171</v>
      </c>
      <c r="Z1056"/>
      <c r="AA1056"/>
      <c r="AB1056"/>
      <c r="AC1056"/>
      <c r="AD1056">
        <v>0.2</v>
      </c>
      <c r="AF1056">
        <v>2</v>
      </c>
      <c r="AL1056" s="9">
        <v>22.03</v>
      </c>
      <c r="AM1056" s="9">
        <v>56.36</v>
      </c>
      <c r="AN1056" s="9">
        <v>21.61</v>
      </c>
      <c r="AQ1056" s="1"/>
    </row>
    <row r="1057" spans="1:43" x14ac:dyDescent="0.3">
      <c r="A1057">
        <v>44</v>
      </c>
      <c r="B1057" t="s">
        <v>1729</v>
      </c>
      <c r="C1057">
        <v>59</v>
      </c>
      <c r="D1057" t="s">
        <v>1730</v>
      </c>
      <c r="I1057"/>
      <c r="J1057"/>
      <c r="K1057"/>
      <c r="N1057">
        <v>0.5</v>
      </c>
      <c r="O1057">
        <v>0</v>
      </c>
      <c r="P1057">
        <v>75</v>
      </c>
      <c r="Q1057">
        <v>7</v>
      </c>
      <c r="R1057" t="s">
        <v>102</v>
      </c>
      <c r="T1057" s="6">
        <f>10^-(14-Q1057)</f>
        <v>9.9999999999999995E-8</v>
      </c>
      <c r="U1057" s="6">
        <v>0</v>
      </c>
      <c r="V1057" s="6">
        <v>0</v>
      </c>
      <c r="W1057" s="6">
        <v>0</v>
      </c>
      <c r="X1057" s="6">
        <v>0</v>
      </c>
      <c r="Y1057" t="s">
        <v>171</v>
      </c>
      <c r="Z1057"/>
      <c r="AA1057"/>
      <c r="AB1057"/>
      <c r="AC1057"/>
      <c r="AD1057">
        <v>1</v>
      </c>
      <c r="AF1057">
        <v>2</v>
      </c>
      <c r="AL1057" s="9">
        <v>22.03</v>
      </c>
      <c r="AM1057" s="9">
        <v>56.36</v>
      </c>
      <c r="AN1057" s="9">
        <v>21.61</v>
      </c>
      <c r="AQ1057" s="1"/>
    </row>
    <row r="1058" spans="1:43" x14ac:dyDescent="0.3">
      <c r="A1058">
        <v>44</v>
      </c>
      <c r="B1058" t="s">
        <v>1729</v>
      </c>
      <c r="C1058">
        <v>59</v>
      </c>
      <c r="D1058" t="s">
        <v>1730</v>
      </c>
      <c r="I1058"/>
      <c r="J1058"/>
      <c r="K1058"/>
      <c r="N1058">
        <v>0.5</v>
      </c>
      <c r="O1058">
        <v>0</v>
      </c>
      <c r="P1058">
        <v>90</v>
      </c>
      <c r="Q1058">
        <v>7</v>
      </c>
      <c r="R1058" t="s">
        <v>102</v>
      </c>
      <c r="T1058" s="6">
        <f>10^-(14-Q1058)</f>
        <v>9.9999999999999995E-8</v>
      </c>
      <c r="U1058" s="6">
        <v>0</v>
      </c>
      <c r="V1058" s="6">
        <v>0</v>
      </c>
      <c r="W1058" s="6">
        <v>0</v>
      </c>
      <c r="X1058" s="6">
        <v>0</v>
      </c>
      <c r="Y1058" t="s">
        <v>171</v>
      </c>
      <c r="Z1058"/>
      <c r="AA1058"/>
      <c r="AB1058"/>
      <c r="AC1058"/>
      <c r="AD1058">
        <v>1</v>
      </c>
      <c r="AF1058">
        <v>2</v>
      </c>
      <c r="AL1058" s="9">
        <v>22.03</v>
      </c>
      <c r="AM1058" s="9">
        <v>56.36</v>
      </c>
      <c r="AN1058" s="9">
        <v>21.61</v>
      </c>
      <c r="AQ1058" s="1"/>
    </row>
    <row r="1059" spans="1:43" x14ac:dyDescent="0.3">
      <c r="A1059">
        <v>44</v>
      </c>
      <c r="B1059" t="s">
        <v>1729</v>
      </c>
      <c r="C1059">
        <v>59</v>
      </c>
      <c r="D1059" t="s">
        <v>1730</v>
      </c>
      <c r="I1059"/>
      <c r="J1059"/>
      <c r="K1059"/>
      <c r="N1059">
        <v>0.5</v>
      </c>
      <c r="O1059">
        <v>0</v>
      </c>
      <c r="P1059">
        <v>45</v>
      </c>
      <c r="Q1059">
        <v>7</v>
      </c>
      <c r="R1059" t="s">
        <v>102</v>
      </c>
      <c r="T1059" s="6">
        <f>10^-(14-Q1059)</f>
        <v>9.9999999999999995E-8</v>
      </c>
      <c r="U1059" s="6">
        <v>0</v>
      </c>
      <c r="V1059" s="6">
        <v>0</v>
      </c>
      <c r="W1059" s="6">
        <v>0</v>
      </c>
      <c r="X1059" s="6">
        <v>0</v>
      </c>
      <c r="Y1059" t="s">
        <v>171</v>
      </c>
      <c r="Z1059"/>
      <c r="AA1059"/>
      <c r="AB1059"/>
      <c r="AC1059"/>
      <c r="AF1059">
        <v>2</v>
      </c>
      <c r="AL1059" s="9">
        <v>22.59</v>
      </c>
      <c r="AM1059" s="9">
        <v>65.14</v>
      </c>
      <c r="AN1059" s="9">
        <v>12.27</v>
      </c>
      <c r="AQ1059" s="1"/>
    </row>
    <row r="1060" spans="1:43" x14ac:dyDescent="0.3">
      <c r="A1060">
        <v>44</v>
      </c>
      <c r="B1060" t="s">
        <v>1729</v>
      </c>
      <c r="C1060">
        <v>59</v>
      </c>
      <c r="D1060" t="s">
        <v>1730</v>
      </c>
      <c r="I1060"/>
      <c r="J1060"/>
      <c r="K1060"/>
      <c r="N1060">
        <v>0.5</v>
      </c>
      <c r="O1060">
        <v>0</v>
      </c>
      <c r="P1060">
        <v>60</v>
      </c>
      <c r="Q1060">
        <v>7</v>
      </c>
      <c r="R1060" t="s">
        <v>102</v>
      </c>
      <c r="T1060" s="6">
        <f>10^-(14-Q1060)</f>
        <v>9.9999999999999995E-8</v>
      </c>
      <c r="U1060" s="6">
        <v>0</v>
      </c>
      <c r="V1060" s="6">
        <v>0</v>
      </c>
      <c r="W1060" s="6">
        <v>0</v>
      </c>
      <c r="X1060" s="6">
        <v>0</v>
      </c>
      <c r="Y1060" t="s">
        <v>171</v>
      </c>
      <c r="Z1060"/>
      <c r="AA1060"/>
      <c r="AB1060"/>
      <c r="AC1060"/>
      <c r="AD1060">
        <v>0.2</v>
      </c>
      <c r="AF1060">
        <v>2</v>
      </c>
      <c r="AL1060" s="9">
        <v>22.59</v>
      </c>
      <c r="AM1060" s="9">
        <v>65.14</v>
      </c>
      <c r="AN1060" s="9">
        <v>12.27</v>
      </c>
      <c r="AQ1060" s="1"/>
    </row>
    <row r="1061" spans="1:43" x14ac:dyDescent="0.3">
      <c r="A1061">
        <v>44</v>
      </c>
      <c r="B1061" t="s">
        <v>1729</v>
      </c>
      <c r="C1061">
        <v>59</v>
      </c>
      <c r="D1061" t="s">
        <v>1730</v>
      </c>
      <c r="I1061"/>
      <c r="J1061"/>
      <c r="K1061"/>
      <c r="N1061">
        <v>0.5</v>
      </c>
      <c r="O1061">
        <v>0</v>
      </c>
      <c r="P1061">
        <v>75</v>
      </c>
      <c r="Q1061">
        <v>7</v>
      </c>
      <c r="R1061" t="s">
        <v>102</v>
      </c>
      <c r="T1061" s="6">
        <f>10^-(14-Q1061)</f>
        <v>9.9999999999999995E-8</v>
      </c>
      <c r="U1061" s="6">
        <v>0</v>
      </c>
      <c r="V1061" s="6">
        <v>0</v>
      </c>
      <c r="W1061" s="6">
        <v>0</v>
      </c>
      <c r="X1061" s="6">
        <v>0</v>
      </c>
      <c r="Y1061" t="s">
        <v>171</v>
      </c>
      <c r="Z1061"/>
      <c r="AA1061"/>
      <c r="AB1061"/>
      <c r="AC1061"/>
      <c r="AE1061">
        <v>570.70000000000005</v>
      </c>
      <c r="AF1061">
        <v>1</v>
      </c>
      <c r="AL1061" s="9">
        <v>22.59</v>
      </c>
      <c r="AM1061" s="9">
        <v>65.14</v>
      </c>
      <c r="AN1061" s="9">
        <v>12.27</v>
      </c>
      <c r="AQ1061" s="1"/>
    </row>
    <row r="1062" spans="1:43" x14ac:dyDescent="0.3">
      <c r="A1062">
        <v>44</v>
      </c>
      <c r="B1062" t="s">
        <v>1729</v>
      </c>
      <c r="C1062">
        <v>59</v>
      </c>
      <c r="D1062" t="s">
        <v>1730</v>
      </c>
      <c r="I1062"/>
      <c r="J1062"/>
      <c r="K1062"/>
      <c r="N1062">
        <v>0.5</v>
      </c>
      <c r="O1062">
        <v>0</v>
      </c>
      <c r="P1062">
        <v>90</v>
      </c>
      <c r="Q1062">
        <v>7</v>
      </c>
      <c r="R1062" t="s">
        <v>102</v>
      </c>
      <c r="T1062" s="6">
        <f>10^-(14-Q1062)</f>
        <v>9.9999999999999995E-8</v>
      </c>
      <c r="U1062" s="6">
        <v>0</v>
      </c>
      <c r="V1062" s="6">
        <v>0</v>
      </c>
      <c r="W1062" s="6">
        <v>0</v>
      </c>
      <c r="X1062" s="6">
        <v>0</v>
      </c>
      <c r="Y1062" t="s">
        <v>171</v>
      </c>
      <c r="Z1062"/>
      <c r="AA1062"/>
      <c r="AB1062"/>
      <c r="AC1062"/>
      <c r="AD1062">
        <v>1</v>
      </c>
      <c r="AE1062">
        <v>531.79999999999995</v>
      </c>
      <c r="AF1062">
        <v>1</v>
      </c>
      <c r="AL1062" s="9">
        <v>22.59</v>
      </c>
      <c r="AM1062" s="9">
        <v>65.14</v>
      </c>
      <c r="AN1062" s="9">
        <v>12.27</v>
      </c>
      <c r="AQ1062" s="1"/>
    </row>
    <row r="1063" spans="1:43" x14ac:dyDescent="0.3">
      <c r="A1063">
        <v>44</v>
      </c>
      <c r="B1063" t="s">
        <v>1729</v>
      </c>
      <c r="C1063">
        <v>59</v>
      </c>
      <c r="D1063" t="s">
        <v>1730</v>
      </c>
      <c r="I1063"/>
      <c r="J1063"/>
      <c r="K1063"/>
      <c r="N1063">
        <v>0.5</v>
      </c>
      <c r="O1063">
        <v>0</v>
      </c>
      <c r="P1063">
        <v>45</v>
      </c>
      <c r="Q1063">
        <v>7</v>
      </c>
      <c r="R1063" t="s">
        <v>102</v>
      </c>
      <c r="T1063" s="6">
        <f>10^-(14-Q1063)</f>
        <v>9.9999999999999995E-8</v>
      </c>
      <c r="U1063" s="6">
        <v>0</v>
      </c>
      <c r="V1063" s="6">
        <v>0</v>
      </c>
      <c r="W1063" s="6">
        <v>0</v>
      </c>
      <c r="X1063" s="6">
        <v>0</v>
      </c>
      <c r="Y1063" t="s">
        <v>171</v>
      </c>
      <c r="Z1063"/>
      <c r="AA1063"/>
      <c r="AB1063"/>
      <c r="AC1063"/>
      <c r="AD1063">
        <v>0.1</v>
      </c>
      <c r="AF1063">
        <v>2</v>
      </c>
      <c r="AL1063" s="9">
        <v>25.5</v>
      </c>
      <c r="AM1063" s="9">
        <v>55.75</v>
      </c>
      <c r="AN1063" s="9">
        <v>18.760000000000002</v>
      </c>
      <c r="AQ1063" s="1"/>
    </row>
    <row r="1064" spans="1:43" x14ac:dyDescent="0.3">
      <c r="A1064">
        <v>44</v>
      </c>
      <c r="B1064" t="s">
        <v>1729</v>
      </c>
      <c r="C1064">
        <v>59</v>
      </c>
      <c r="D1064" t="s">
        <v>1730</v>
      </c>
      <c r="I1064"/>
      <c r="J1064"/>
      <c r="K1064"/>
      <c r="N1064">
        <v>0.5</v>
      </c>
      <c r="O1064">
        <v>0</v>
      </c>
      <c r="P1064">
        <v>60</v>
      </c>
      <c r="Q1064">
        <v>7</v>
      </c>
      <c r="R1064" t="s">
        <v>102</v>
      </c>
      <c r="T1064" s="6">
        <f>10^-(14-Q1064)</f>
        <v>9.9999999999999995E-8</v>
      </c>
      <c r="U1064" s="6">
        <v>0</v>
      </c>
      <c r="V1064" s="6">
        <v>0</v>
      </c>
      <c r="W1064" s="6">
        <v>0</v>
      </c>
      <c r="X1064" s="6">
        <v>0</v>
      </c>
      <c r="Y1064" t="s">
        <v>171</v>
      </c>
      <c r="Z1064"/>
      <c r="AA1064"/>
      <c r="AB1064"/>
      <c r="AC1064"/>
      <c r="AD1064">
        <v>0.2</v>
      </c>
      <c r="AF1064">
        <v>2</v>
      </c>
      <c r="AL1064" s="9">
        <v>25.5</v>
      </c>
      <c r="AM1064" s="9">
        <v>55.75</v>
      </c>
      <c r="AN1064" s="9">
        <v>18.760000000000002</v>
      </c>
      <c r="AQ1064" s="1"/>
    </row>
    <row r="1065" spans="1:43" x14ac:dyDescent="0.3">
      <c r="A1065">
        <v>44</v>
      </c>
      <c r="B1065" t="s">
        <v>1729</v>
      </c>
      <c r="C1065">
        <v>59</v>
      </c>
      <c r="D1065" t="s">
        <v>1730</v>
      </c>
      <c r="I1065"/>
      <c r="J1065"/>
      <c r="K1065"/>
      <c r="N1065">
        <v>0.5</v>
      </c>
      <c r="O1065">
        <v>0</v>
      </c>
      <c r="P1065">
        <v>75</v>
      </c>
      <c r="Q1065">
        <v>7</v>
      </c>
      <c r="R1065" t="s">
        <v>102</v>
      </c>
      <c r="T1065" s="6">
        <f>10^-(14-Q1065)</f>
        <v>9.9999999999999995E-8</v>
      </c>
      <c r="U1065" s="6">
        <v>0</v>
      </c>
      <c r="V1065" s="6">
        <v>0</v>
      </c>
      <c r="W1065" s="6">
        <v>0</v>
      </c>
      <c r="X1065" s="6">
        <v>0</v>
      </c>
      <c r="Y1065" t="s">
        <v>171</v>
      </c>
      <c r="Z1065"/>
      <c r="AA1065"/>
      <c r="AB1065"/>
      <c r="AC1065"/>
      <c r="AD1065">
        <v>0.2</v>
      </c>
      <c r="AF1065">
        <v>2</v>
      </c>
      <c r="AL1065" s="9">
        <v>25.5</v>
      </c>
      <c r="AM1065" s="9">
        <v>55.75</v>
      </c>
      <c r="AN1065" s="9">
        <v>18.760000000000002</v>
      </c>
      <c r="AQ1065" s="1"/>
    </row>
    <row r="1066" spans="1:43" x14ac:dyDescent="0.3">
      <c r="A1066">
        <v>44</v>
      </c>
      <c r="B1066" t="s">
        <v>1729</v>
      </c>
      <c r="C1066">
        <v>59</v>
      </c>
      <c r="D1066" t="s">
        <v>1730</v>
      </c>
      <c r="I1066"/>
      <c r="J1066"/>
      <c r="K1066"/>
      <c r="N1066">
        <v>0.5</v>
      </c>
      <c r="O1066">
        <v>0</v>
      </c>
      <c r="P1066">
        <v>90</v>
      </c>
      <c r="Q1066">
        <v>7</v>
      </c>
      <c r="R1066" t="s">
        <v>102</v>
      </c>
      <c r="T1066" s="6">
        <f>10^-(14-Q1066)</f>
        <v>9.9999999999999995E-8</v>
      </c>
      <c r="U1066" s="6">
        <v>0</v>
      </c>
      <c r="V1066" s="6">
        <v>0</v>
      </c>
      <c r="W1066" s="6">
        <v>0</v>
      </c>
      <c r="X1066" s="6">
        <v>0</v>
      </c>
      <c r="Y1066" t="s">
        <v>171</v>
      </c>
      <c r="Z1066"/>
      <c r="AA1066"/>
      <c r="AB1066"/>
      <c r="AC1066"/>
      <c r="AD1066">
        <v>1</v>
      </c>
      <c r="AF1066">
        <v>2</v>
      </c>
      <c r="AL1066" s="9">
        <v>25.5</v>
      </c>
      <c r="AM1066" s="9">
        <v>55.75</v>
      </c>
      <c r="AN1066" s="9">
        <v>18.760000000000002</v>
      </c>
      <c r="AQ1066" s="1"/>
    </row>
    <row r="1067" spans="1:43" x14ac:dyDescent="0.3">
      <c r="A1067">
        <v>44</v>
      </c>
      <c r="B1067" t="s">
        <v>1729</v>
      </c>
      <c r="C1067">
        <v>59</v>
      </c>
      <c r="D1067" t="s">
        <v>1730</v>
      </c>
      <c r="I1067"/>
      <c r="J1067"/>
      <c r="K1067"/>
      <c r="N1067">
        <v>0.5</v>
      </c>
      <c r="O1067">
        <v>0</v>
      </c>
      <c r="P1067">
        <v>45</v>
      </c>
      <c r="Q1067">
        <v>7</v>
      </c>
      <c r="R1067" t="s">
        <v>102</v>
      </c>
      <c r="T1067" s="6">
        <f>10^-(14-Q1067)</f>
        <v>9.9999999999999995E-8</v>
      </c>
      <c r="U1067" s="6">
        <v>0</v>
      </c>
      <c r="V1067" s="6">
        <v>0</v>
      </c>
      <c r="W1067" s="6">
        <v>0</v>
      </c>
      <c r="X1067" s="6">
        <v>0</v>
      </c>
      <c r="Y1067" t="s">
        <v>171</v>
      </c>
      <c r="Z1067"/>
      <c r="AA1067"/>
      <c r="AB1067"/>
      <c r="AC1067"/>
      <c r="AD1067">
        <v>0.1</v>
      </c>
      <c r="AE1067">
        <v>527.29999999999995</v>
      </c>
      <c r="AF1067">
        <v>1</v>
      </c>
      <c r="AL1067" s="9">
        <v>26.34</v>
      </c>
      <c r="AM1067" s="9">
        <v>54.35</v>
      </c>
      <c r="AN1067" s="9">
        <v>19.3</v>
      </c>
      <c r="AQ1067" s="1"/>
    </row>
    <row r="1068" spans="1:43" x14ac:dyDescent="0.3">
      <c r="A1068">
        <v>44</v>
      </c>
      <c r="B1068" t="s">
        <v>1729</v>
      </c>
      <c r="C1068">
        <v>59</v>
      </c>
      <c r="D1068" t="s">
        <v>1730</v>
      </c>
      <c r="I1068"/>
      <c r="J1068"/>
      <c r="K1068"/>
      <c r="N1068">
        <v>0.5</v>
      </c>
      <c r="O1068">
        <v>0</v>
      </c>
      <c r="P1068">
        <v>60</v>
      </c>
      <c r="Q1068">
        <v>7</v>
      </c>
      <c r="R1068" t="s">
        <v>102</v>
      </c>
      <c r="T1068" s="6">
        <f>10^-(14-Q1068)</f>
        <v>9.9999999999999995E-8</v>
      </c>
      <c r="U1068" s="6">
        <v>0</v>
      </c>
      <c r="V1068" s="6">
        <v>0</v>
      </c>
      <c r="W1068" s="6">
        <v>0</v>
      </c>
      <c r="X1068" s="6">
        <v>0</v>
      </c>
      <c r="Y1068" t="s">
        <v>171</v>
      </c>
      <c r="Z1068"/>
      <c r="AA1068"/>
      <c r="AB1068"/>
      <c r="AC1068"/>
      <c r="AD1068">
        <v>0.2</v>
      </c>
      <c r="AF1068">
        <v>2</v>
      </c>
      <c r="AL1068" s="9">
        <v>26.34</v>
      </c>
      <c r="AM1068" s="9">
        <v>54.35</v>
      </c>
      <c r="AN1068" s="9">
        <v>19.3</v>
      </c>
      <c r="AQ1068" s="1"/>
    </row>
    <row r="1069" spans="1:43" x14ac:dyDescent="0.3">
      <c r="A1069">
        <v>44</v>
      </c>
      <c r="B1069" t="s">
        <v>1729</v>
      </c>
      <c r="C1069">
        <v>59</v>
      </c>
      <c r="D1069" t="s">
        <v>1730</v>
      </c>
      <c r="I1069"/>
      <c r="J1069"/>
      <c r="K1069"/>
      <c r="N1069">
        <v>0.5</v>
      </c>
      <c r="O1069">
        <v>0</v>
      </c>
      <c r="P1069">
        <v>75</v>
      </c>
      <c r="Q1069">
        <v>7</v>
      </c>
      <c r="R1069" t="s">
        <v>102</v>
      </c>
      <c r="T1069" s="6">
        <f>10^-(14-Q1069)</f>
        <v>9.9999999999999995E-8</v>
      </c>
      <c r="U1069" s="6">
        <v>0</v>
      </c>
      <c r="V1069" s="6">
        <v>0</v>
      </c>
      <c r="W1069" s="6">
        <v>0</v>
      </c>
      <c r="X1069" s="6">
        <v>0</v>
      </c>
      <c r="Y1069" t="s">
        <v>171</v>
      </c>
      <c r="Z1069"/>
      <c r="AA1069"/>
      <c r="AB1069"/>
      <c r="AC1069"/>
      <c r="AD1069">
        <v>1</v>
      </c>
      <c r="AF1069">
        <v>2</v>
      </c>
      <c r="AL1069" s="9">
        <v>26.34</v>
      </c>
      <c r="AM1069" s="9">
        <v>54.35</v>
      </c>
      <c r="AN1069" s="9">
        <v>19.3</v>
      </c>
      <c r="AQ1069" s="1"/>
    </row>
    <row r="1070" spans="1:43" x14ac:dyDescent="0.3">
      <c r="A1070">
        <v>44</v>
      </c>
      <c r="B1070" t="s">
        <v>1729</v>
      </c>
      <c r="C1070">
        <v>59</v>
      </c>
      <c r="D1070" t="s">
        <v>1730</v>
      </c>
      <c r="I1070"/>
      <c r="J1070"/>
      <c r="K1070"/>
      <c r="N1070">
        <v>0.5</v>
      </c>
      <c r="O1070">
        <v>0</v>
      </c>
      <c r="P1070">
        <v>90</v>
      </c>
      <c r="Q1070">
        <v>7</v>
      </c>
      <c r="R1070" t="s">
        <v>102</v>
      </c>
      <c r="T1070" s="6">
        <f>10^-(14-Q1070)</f>
        <v>9.9999999999999995E-8</v>
      </c>
      <c r="U1070" s="6">
        <v>0</v>
      </c>
      <c r="V1070" s="6">
        <v>0</v>
      </c>
      <c r="W1070" s="6">
        <v>0</v>
      </c>
      <c r="X1070" s="6">
        <v>0</v>
      </c>
      <c r="Y1070" t="s">
        <v>171</v>
      </c>
      <c r="Z1070"/>
      <c r="AA1070"/>
      <c r="AB1070"/>
      <c r="AC1070"/>
      <c r="AD1070">
        <v>1</v>
      </c>
      <c r="AE1070">
        <v>70.7</v>
      </c>
      <c r="AF1070">
        <v>1</v>
      </c>
      <c r="AL1070" s="9">
        <v>26.34</v>
      </c>
      <c r="AM1070" s="9">
        <v>54.35</v>
      </c>
      <c r="AN1070" s="9">
        <v>19.3</v>
      </c>
      <c r="AQ1070" s="1"/>
    </row>
    <row r="1071" spans="1:43" x14ac:dyDescent="0.3">
      <c r="A1071">
        <v>44</v>
      </c>
      <c r="B1071" t="s">
        <v>1729</v>
      </c>
      <c r="C1071">
        <v>59</v>
      </c>
      <c r="D1071" t="s">
        <v>1730</v>
      </c>
      <c r="I1071"/>
      <c r="J1071"/>
      <c r="K1071"/>
      <c r="N1071">
        <v>0.5</v>
      </c>
      <c r="O1071">
        <v>0</v>
      </c>
      <c r="P1071">
        <v>45</v>
      </c>
      <c r="Q1071">
        <v>7</v>
      </c>
      <c r="R1071" t="s">
        <v>102</v>
      </c>
      <c r="T1071" s="6">
        <f>10^-(14-Q1071)</f>
        <v>9.9999999999999995E-8</v>
      </c>
      <c r="U1071" s="6">
        <v>0</v>
      </c>
      <c r="V1071" s="6">
        <v>0</v>
      </c>
      <c r="W1071" s="6">
        <v>0</v>
      </c>
      <c r="X1071" s="6">
        <v>0</v>
      </c>
      <c r="Y1071" t="s">
        <v>171</v>
      </c>
      <c r="Z1071"/>
      <c r="AA1071"/>
      <c r="AB1071"/>
      <c r="AC1071"/>
      <c r="AF1071">
        <v>2</v>
      </c>
      <c r="AL1071" s="9">
        <v>26.52</v>
      </c>
      <c r="AM1071" s="9">
        <v>61.68</v>
      </c>
      <c r="AN1071" s="9">
        <v>11.8</v>
      </c>
      <c r="AQ1071" s="1"/>
    </row>
    <row r="1072" spans="1:43" x14ac:dyDescent="0.3">
      <c r="A1072">
        <v>44</v>
      </c>
      <c r="B1072" t="s">
        <v>1729</v>
      </c>
      <c r="C1072">
        <v>59</v>
      </c>
      <c r="D1072" t="s">
        <v>1730</v>
      </c>
      <c r="I1072"/>
      <c r="J1072"/>
      <c r="K1072"/>
      <c r="N1072">
        <v>0.5</v>
      </c>
      <c r="O1072">
        <v>0</v>
      </c>
      <c r="P1072">
        <v>60</v>
      </c>
      <c r="Q1072">
        <v>7</v>
      </c>
      <c r="R1072" t="s">
        <v>102</v>
      </c>
      <c r="T1072" s="6">
        <f>10^-(14-Q1072)</f>
        <v>9.9999999999999995E-8</v>
      </c>
      <c r="U1072" s="6">
        <v>0</v>
      </c>
      <c r="V1072" s="6">
        <v>0</v>
      </c>
      <c r="W1072" s="6">
        <v>0</v>
      </c>
      <c r="X1072" s="6">
        <v>0</v>
      </c>
      <c r="Y1072" t="s">
        <v>171</v>
      </c>
      <c r="Z1072"/>
      <c r="AA1072"/>
      <c r="AB1072"/>
      <c r="AC1072"/>
      <c r="AD1072">
        <v>0.2</v>
      </c>
      <c r="AF1072">
        <v>2</v>
      </c>
      <c r="AL1072" s="9">
        <v>26.52</v>
      </c>
      <c r="AM1072" s="9">
        <v>61.68</v>
      </c>
      <c r="AN1072" s="9">
        <v>11.8</v>
      </c>
      <c r="AQ1072" s="1"/>
    </row>
    <row r="1073" spans="1:43" x14ac:dyDescent="0.3">
      <c r="A1073">
        <v>44</v>
      </c>
      <c r="B1073" t="s">
        <v>1729</v>
      </c>
      <c r="C1073">
        <v>59</v>
      </c>
      <c r="D1073" t="s">
        <v>1730</v>
      </c>
      <c r="I1073"/>
      <c r="J1073"/>
      <c r="K1073"/>
      <c r="N1073">
        <v>0.5</v>
      </c>
      <c r="O1073">
        <v>0</v>
      </c>
      <c r="P1073">
        <v>75</v>
      </c>
      <c r="Q1073">
        <v>7</v>
      </c>
      <c r="R1073" t="s">
        <v>102</v>
      </c>
      <c r="T1073" s="6">
        <f>10^-(14-Q1073)</f>
        <v>9.9999999999999995E-8</v>
      </c>
      <c r="U1073" s="6">
        <v>0</v>
      </c>
      <c r="V1073" s="6">
        <v>0</v>
      </c>
      <c r="W1073" s="6">
        <v>0</v>
      </c>
      <c r="X1073" s="6">
        <v>0</v>
      </c>
      <c r="Y1073" t="s">
        <v>171</v>
      </c>
      <c r="Z1073"/>
      <c r="AA1073"/>
      <c r="AB1073"/>
      <c r="AC1073"/>
      <c r="AE1073">
        <v>493.6</v>
      </c>
      <c r="AF1073">
        <v>1</v>
      </c>
      <c r="AL1073" s="9">
        <v>26.52</v>
      </c>
      <c r="AM1073" s="9">
        <v>61.68</v>
      </c>
      <c r="AN1073" s="9">
        <v>11.8</v>
      </c>
      <c r="AQ1073" s="1"/>
    </row>
    <row r="1074" spans="1:43" x14ac:dyDescent="0.3">
      <c r="A1074">
        <v>44</v>
      </c>
      <c r="B1074" t="s">
        <v>1729</v>
      </c>
      <c r="C1074">
        <v>59</v>
      </c>
      <c r="D1074" t="s">
        <v>1730</v>
      </c>
      <c r="I1074"/>
      <c r="J1074"/>
      <c r="K1074"/>
      <c r="N1074">
        <v>0.5</v>
      </c>
      <c r="O1074">
        <v>0</v>
      </c>
      <c r="P1074">
        <v>90</v>
      </c>
      <c r="Q1074">
        <v>7</v>
      </c>
      <c r="R1074" t="s">
        <v>102</v>
      </c>
      <c r="T1074" s="6">
        <f>10^-(14-Q1074)</f>
        <v>9.9999999999999995E-8</v>
      </c>
      <c r="U1074" s="6">
        <v>0</v>
      </c>
      <c r="V1074" s="6">
        <v>0</v>
      </c>
      <c r="W1074" s="6">
        <v>0</v>
      </c>
      <c r="X1074" s="6">
        <v>0</v>
      </c>
      <c r="Y1074" t="s">
        <v>171</v>
      </c>
      <c r="Z1074"/>
      <c r="AA1074"/>
      <c r="AB1074"/>
      <c r="AC1074"/>
      <c r="AD1074">
        <v>1</v>
      </c>
      <c r="AE1074">
        <v>342.8</v>
      </c>
      <c r="AF1074">
        <v>1</v>
      </c>
      <c r="AL1074" s="9">
        <v>26.52</v>
      </c>
      <c r="AM1074" s="9">
        <v>61.68</v>
      </c>
      <c r="AN1074" s="9">
        <v>11.8</v>
      </c>
      <c r="AQ1074" s="1"/>
    </row>
    <row r="1075" spans="1:43" x14ac:dyDescent="0.3">
      <c r="A1075">
        <v>44</v>
      </c>
      <c r="B1075" t="s">
        <v>1729</v>
      </c>
      <c r="C1075">
        <v>59</v>
      </c>
      <c r="D1075" t="s">
        <v>1730</v>
      </c>
      <c r="I1075"/>
      <c r="J1075"/>
      <c r="K1075"/>
      <c r="N1075">
        <v>0.5</v>
      </c>
      <c r="O1075">
        <v>0</v>
      </c>
      <c r="P1075">
        <v>45</v>
      </c>
      <c r="Q1075">
        <v>7</v>
      </c>
      <c r="R1075" t="s">
        <v>102</v>
      </c>
      <c r="T1075" s="6">
        <f>10^-(14-Q1075)</f>
        <v>9.9999999999999995E-8</v>
      </c>
      <c r="U1075" s="6">
        <v>0</v>
      </c>
      <c r="V1075" s="6">
        <v>0</v>
      </c>
      <c r="W1075" s="6">
        <v>0</v>
      </c>
      <c r="X1075" s="6">
        <v>0</v>
      </c>
      <c r="Y1075" t="s">
        <v>171</v>
      </c>
      <c r="Z1075"/>
      <c r="AA1075"/>
      <c r="AB1075"/>
      <c r="AC1075"/>
      <c r="AF1075">
        <v>2</v>
      </c>
      <c r="AL1075" s="9">
        <v>26.63</v>
      </c>
      <c r="AM1075" s="9">
        <v>66.5</v>
      </c>
      <c r="AN1075" s="9">
        <v>6.87</v>
      </c>
      <c r="AQ1075" s="1"/>
    </row>
    <row r="1076" spans="1:43" x14ac:dyDescent="0.3">
      <c r="A1076">
        <v>44</v>
      </c>
      <c r="B1076" t="s">
        <v>1729</v>
      </c>
      <c r="C1076">
        <v>59</v>
      </c>
      <c r="D1076" t="s">
        <v>1730</v>
      </c>
      <c r="I1076"/>
      <c r="J1076"/>
      <c r="K1076"/>
      <c r="N1076">
        <v>0.5</v>
      </c>
      <c r="O1076">
        <v>0</v>
      </c>
      <c r="P1076">
        <v>60</v>
      </c>
      <c r="Q1076">
        <v>7</v>
      </c>
      <c r="R1076" t="s">
        <v>102</v>
      </c>
      <c r="T1076" s="6">
        <f>10^-(14-Q1076)</f>
        <v>9.9999999999999995E-8</v>
      </c>
      <c r="U1076" s="6">
        <v>0</v>
      </c>
      <c r="V1076" s="6">
        <v>0</v>
      </c>
      <c r="W1076" s="6">
        <v>0</v>
      </c>
      <c r="X1076" s="6">
        <v>0</v>
      </c>
      <c r="Y1076" t="s">
        <v>171</v>
      </c>
      <c r="Z1076"/>
      <c r="AA1076"/>
      <c r="AB1076"/>
      <c r="AC1076"/>
      <c r="AD1076">
        <v>0.2</v>
      </c>
      <c r="AE1076">
        <v>580.4</v>
      </c>
      <c r="AF1076">
        <v>1</v>
      </c>
      <c r="AL1076" s="9">
        <v>26.63</v>
      </c>
      <c r="AM1076" s="9">
        <v>66.5</v>
      </c>
      <c r="AN1076" s="9">
        <v>6.87</v>
      </c>
      <c r="AQ1076" s="1"/>
    </row>
    <row r="1077" spans="1:43" x14ac:dyDescent="0.3">
      <c r="A1077">
        <v>44</v>
      </c>
      <c r="B1077" t="s">
        <v>1729</v>
      </c>
      <c r="C1077">
        <v>59</v>
      </c>
      <c r="D1077" t="s">
        <v>1730</v>
      </c>
      <c r="I1077"/>
      <c r="J1077"/>
      <c r="K1077"/>
      <c r="N1077">
        <v>0.5</v>
      </c>
      <c r="O1077">
        <v>0</v>
      </c>
      <c r="P1077">
        <v>75</v>
      </c>
      <c r="Q1077">
        <v>7</v>
      </c>
      <c r="R1077" t="s">
        <v>102</v>
      </c>
      <c r="T1077" s="6">
        <f>10^-(14-Q1077)</f>
        <v>9.9999999999999995E-8</v>
      </c>
      <c r="U1077" s="6">
        <v>0</v>
      </c>
      <c r="V1077" s="6">
        <v>0</v>
      </c>
      <c r="W1077" s="6">
        <v>0</v>
      </c>
      <c r="X1077" s="6">
        <v>0</v>
      </c>
      <c r="Y1077" t="s">
        <v>171</v>
      </c>
      <c r="Z1077"/>
      <c r="AA1077"/>
      <c r="AB1077"/>
      <c r="AC1077"/>
      <c r="AF1077">
        <v>2</v>
      </c>
      <c r="AL1077" s="9">
        <v>26.63</v>
      </c>
      <c r="AM1077" s="9">
        <v>66.5</v>
      </c>
      <c r="AN1077" s="9">
        <v>6.87</v>
      </c>
      <c r="AQ1077" s="1"/>
    </row>
    <row r="1078" spans="1:43" x14ac:dyDescent="0.3">
      <c r="A1078">
        <v>44</v>
      </c>
      <c r="B1078" t="s">
        <v>1729</v>
      </c>
      <c r="C1078">
        <v>59</v>
      </c>
      <c r="D1078" t="s">
        <v>1730</v>
      </c>
      <c r="I1078"/>
      <c r="J1078"/>
      <c r="K1078"/>
      <c r="N1078">
        <v>0.5</v>
      </c>
      <c r="O1078">
        <v>0</v>
      </c>
      <c r="P1078">
        <v>90</v>
      </c>
      <c r="Q1078">
        <v>7</v>
      </c>
      <c r="R1078" t="s">
        <v>102</v>
      </c>
      <c r="T1078" s="6">
        <f>10^-(14-Q1078)</f>
        <v>9.9999999999999995E-8</v>
      </c>
      <c r="U1078" s="6">
        <v>0</v>
      </c>
      <c r="V1078" s="6">
        <v>0</v>
      </c>
      <c r="W1078" s="6">
        <v>0</v>
      </c>
      <c r="X1078" s="6">
        <v>0</v>
      </c>
      <c r="Y1078" t="s">
        <v>171</v>
      </c>
      <c r="Z1078"/>
      <c r="AA1078"/>
      <c r="AB1078"/>
      <c r="AC1078"/>
      <c r="AD1078">
        <v>0.2</v>
      </c>
      <c r="AF1078">
        <v>2</v>
      </c>
      <c r="AL1078" s="9">
        <v>26.63</v>
      </c>
      <c r="AM1078" s="9">
        <v>66.5</v>
      </c>
      <c r="AN1078" s="9">
        <v>6.87</v>
      </c>
      <c r="AQ1078" s="1"/>
    </row>
    <row r="1079" spans="1:43" x14ac:dyDescent="0.3">
      <c r="A1079">
        <v>44</v>
      </c>
      <c r="B1079" t="s">
        <v>1729</v>
      </c>
      <c r="C1079">
        <v>59</v>
      </c>
      <c r="D1079" t="s">
        <v>1730</v>
      </c>
      <c r="I1079"/>
      <c r="J1079"/>
      <c r="K1079"/>
      <c r="N1079">
        <v>0.5</v>
      </c>
      <c r="O1079">
        <v>0</v>
      </c>
      <c r="P1079">
        <v>45</v>
      </c>
      <c r="Q1079">
        <v>7</v>
      </c>
      <c r="R1079" t="s">
        <v>102</v>
      </c>
      <c r="T1079" s="6">
        <f>10^-(14-Q1079)</f>
        <v>9.9999999999999995E-8</v>
      </c>
      <c r="U1079" s="6">
        <v>0</v>
      </c>
      <c r="V1079" s="6">
        <v>0</v>
      </c>
      <c r="W1079" s="6">
        <v>0</v>
      </c>
      <c r="X1079" s="6">
        <v>0</v>
      </c>
      <c r="Y1079" t="s">
        <v>171</v>
      </c>
      <c r="Z1079"/>
      <c r="AA1079"/>
      <c r="AB1079"/>
      <c r="AC1079"/>
      <c r="AF1079">
        <v>2</v>
      </c>
      <c r="AL1079" s="9">
        <v>28.67</v>
      </c>
      <c r="AM1079" s="9">
        <v>65.94</v>
      </c>
      <c r="AN1079" s="9">
        <v>5.38</v>
      </c>
      <c r="AQ1079" s="1"/>
    </row>
    <row r="1080" spans="1:43" x14ac:dyDescent="0.3">
      <c r="A1080">
        <v>44</v>
      </c>
      <c r="B1080" t="s">
        <v>1729</v>
      </c>
      <c r="C1080">
        <v>59</v>
      </c>
      <c r="D1080" t="s">
        <v>1730</v>
      </c>
      <c r="I1080"/>
      <c r="J1080"/>
      <c r="K1080"/>
      <c r="N1080">
        <v>0.5</v>
      </c>
      <c r="O1080">
        <v>0</v>
      </c>
      <c r="P1080">
        <v>60</v>
      </c>
      <c r="Q1080">
        <v>7</v>
      </c>
      <c r="R1080" t="s">
        <v>102</v>
      </c>
      <c r="T1080" s="6">
        <f>10^-(14-Q1080)</f>
        <v>9.9999999999999995E-8</v>
      </c>
      <c r="U1080" s="6">
        <v>0</v>
      </c>
      <c r="V1080" s="6">
        <v>0</v>
      </c>
      <c r="W1080" s="6">
        <v>0</v>
      </c>
      <c r="X1080" s="6">
        <v>0</v>
      </c>
      <c r="Y1080" t="s">
        <v>171</v>
      </c>
      <c r="Z1080"/>
      <c r="AA1080"/>
      <c r="AB1080"/>
      <c r="AC1080"/>
      <c r="AD1080">
        <v>0.1</v>
      </c>
      <c r="AE1080">
        <v>554.70000000000005</v>
      </c>
      <c r="AF1080">
        <v>1</v>
      </c>
      <c r="AL1080" s="9">
        <v>28.67</v>
      </c>
      <c r="AM1080" s="9">
        <v>65.94</v>
      </c>
      <c r="AN1080" s="9">
        <v>5.38</v>
      </c>
      <c r="AQ1080" s="1"/>
    </row>
    <row r="1081" spans="1:43" x14ac:dyDescent="0.3">
      <c r="A1081">
        <v>44</v>
      </c>
      <c r="B1081" t="s">
        <v>1729</v>
      </c>
      <c r="C1081">
        <v>59</v>
      </c>
      <c r="D1081" t="s">
        <v>1730</v>
      </c>
      <c r="I1081"/>
      <c r="J1081"/>
      <c r="K1081"/>
      <c r="N1081">
        <v>0.5</v>
      </c>
      <c r="O1081">
        <v>0</v>
      </c>
      <c r="P1081">
        <v>75</v>
      </c>
      <c r="Q1081">
        <v>7</v>
      </c>
      <c r="R1081" t="s">
        <v>102</v>
      </c>
      <c r="T1081" s="6">
        <f>10^-(14-Q1081)</f>
        <v>9.9999999999999995E-8</v>
      </c>
      <c r="U1081" s="6">
        <v>0</v>
      </c>
      <c r="V1081" s="6">
        <v>0</v>
      </c>
      <c r="W1081" s="6">
        <v>0</v>
      </c>
      <c r="X1081" s="6">
        <v>0</v>
      </c>
      <c r="Y1081" t="s">
        <v>171</v>
      </c>
      <c r="Z1081"/>
      <c r="AA1081"/>
      <c r="AB1081"/>
      <c r="AC1081"/>
      <c r="AE1081">
        <v>561.1</v>
      </c>
      <c r="AF1081">
        <v>1</v>
      </c>
      <c r="AL1081" s="9">
        <v>28.67</v>
      </c>
      <c r="AM1081" s="9">
        <v>65.94</v>
      </c>
      <c r="AN1081" s="9">
        <v>5.38</v>
      </c>
      <c r="AQ1081" s="1"/>
    </row>
    <row r="1082" spans="1:43" x14ac:dyDescent="0.3">
      <c r="A1082">
        <v>44</v>
      </c>
      <c r="B1082" t="s">
        <v>1729</v>
      </c>
      <c r="C1082">
        <v>59</v>
      </c>
      <c r="D1082" t="s">
        <v>1730</v>
      </c>
      <c r="I1082"/>
      <c r="J1082"/>
      <c r="K1082"/>
      <c r="N1082">
        <v>0.5</v>
      </c>
      <c r="O1082">
        <v>0</v>
      </c>
      <c r="P1082">
        <v>90</v>
      </c>
      <c r="Q1082">
        <v>7</v>
      </c>
      <c r="R1082" t="s">
        <v>102</v>
      </c>
      <c r="T1082" s="6">
        <f>10^-(14-Q1082)</f>
        <v>9.9999999999999995E-8</v>
      </c>
      <c r="U1082" s="6">
        <v>0</v>
      </c>
      <c r="V1082" s="6">
        <v>0</v>
      </c>
      <c r="W1082" s="6">
        <v>0</v>
      </c>
      <c r="X1082" s="6">
        <v>0</v>
      </c>
      <c r="Y1082" t="s">
        <v>171</v>
      </c>
      <c r="Z1082"/>
      <c r="AA1082"/>
      <c r="AB1082"/>
      <c r="AC1082"/>
      <c r="AD1082">
        <v>0.2</v>
      </c>
      <c r="AE1082">
        <v>540.79999999999995</v>
      </c>
      <c r="AF1082">
        <v>1</v>
      </c>
      <c r="AL1082" s="9">
        <v>28.67</v>
      </c>
      <c r="AM1082" s="9">
        <v>65.94</v>
      </c>
      <c r="AN1082" s="9">
        <v>5.38</v>
      </c>
      <c r="AQ1082" s="1"/>
    </row>
    <row r="1083" spans="1:43" x14ac:dyDescent="0.3">
      <c r="A1083">
        <v>44</v>
      </c>
      <c r="B1083" t="s">
        <v>1729</v>
      </c>
      <c r="C1083">
        <v>59</v>
      </c>
      <c r="D1083" t="s">
        <v>1730</v>
      </c>
      <c r="I1083"/>
      <c r="J1083"/>
      <c r="K1083"/>
      <c r="N1083">
        <v>0.5</v>
      </c>
      <c r="O1083">
        <v>0</v>
      </c>
      <c r="P1083">
        <v>45</v>
      </c>
      <c r="Q1083">
        <v>7</v>
      </c>
      <c r="R1083" t="s">
        <v>102</v>
      </c>
      <c r="T1083" s="6">
        <f>10^-(14-Q1083)</f>
        <v>9.9999999999999995E-8</v>
      </c>
      <c r="U1083" s="6">
        <v>0</v>
      </c>
      <c r="V1083" s="6">
        <v>0</v>
      </c>
      <c r="W1083" s="6">
        <v>0</v>
      </c>
      <c r="X1083" s="6">
        <v>0</v>
      </c>
      <c r="Y1083" t="s">
        <v>171</v>
      </c>
      <c r="Z1083"/>
      <c r="AA1083"/>
      <c r="AB1083"/>
      <c r="AC1083"/>
      <c r="AD1083">
        <v>0.1</v>
      </c>
      <c r="AF1083">
        <v>2</v>
      </c>
      <c r="AL1083" s="9">
        <v>28.97</v>
      </c>
      <c r="AM1083" s="9">
        <v>59.12</v>
      </c>
      <c r="AN1083" s="9">
        <v>11.91</v>
      </c>
      <c r="AQ1083" s="1"/>
    </row>
    <row r="1084" spans="1:43" x14ac:dyDescent="0.3">
      <c r="A1084">
        <v>44</v>
      </c>
      <c r="B1084" t="s">
        <v>1729</v>
      </c>
      <c r="C1084">
        <v>59</v>
      </c>
      <c r="D1084" t="s">
        <v>1730</v>
      </c>
      <c r="I1084"/>
      <c r="J1084"/>
      <c r="K1084"/>
      <c r="N1084">
        <v>0.5</v>
      </c>
      <c r="O1084">
        <v>0</v>
      </c>
      <c r="P1084">
        <v>60</v>
      </c>
      <c r="Q1084">
        <v>7</v>
      </c>
      <c r="R1084" t="s">
        <v>102</v>
      </c>
      <c r="T1084" s="6">
        <f>10^-(14-Q1084)</f>
        <v>9.9999999999999995E-8</v>
      </c>
      <c r="U1084" s="6">
        <v>0</v>
      </c>
      <c r="V1084" s="6">
        <v>0</v>
      </c>
      <c r="W1084" s="6">
        <v>0</v>
      </c>
      <c r="X1084" s="6">
        <v>0</v>
      </c>
      <c r="Y1084" t="s">
        <v>171</v>
      </c>
      <c r="Z1084"/>
      <c r="AA1084"/>
      <c r="AB1084"/>
      <c r="AC1084"/>
      <c r="AD1084">
        <v>0.2</v>
      </c>
      <c r="AF1084">
        <v>2</v>
      </c>
      <c r="AL1084" s="9">
        <v>28.97</v>
      </c>
      <c r="AM1084" s="9">
        <v>59.12</v>
      </c>
      <c r="AN1084" s="9">
        <v>11.91</v>
      </c>
      <c r="AQ1084" s="1"/>
    </row>
    <row r="1085" spans="1:43" x14ac:dyDescent="0.3">
      <c r="A1085">
        <v>44</v>
      </c>
      <c r="B1085" t="s">
        <v>1729</v>
      </c>
      <c r="C1085">
        <v>59</v>
      </c>
      <c r="D1085" t="s">
        <v>1730</v>
      </c>
      <c r="I1085"/>
      <c r="J1085"/>
      <c r="K1085"/>
      <c r="N1085">
        <v>0.5</v>
      </c>
      <c r="O1085">
        <v>0</v>
      </c>
      <c r="P1085">
        <v>75</v>
      </c>
      <c r="Q1085">
        <v>7</v>
      </c>
      <c r="R1085" t="s">
        <v>102</v>
      </c>
      <c r="T1085" s="6">
        <f>10^-(14-Q1085)</f>
        <v>9.9999999999999995E-8</v>
      </c>
      <c r="U1085" s="6">
        <v>0</v>
      </c>
      <c r="V1085" s="6">
        <v>0</v>
      </c>
      <c r="W1085" s="6">
        <v>0</v>
      </c>
      <c r="X1085" s="6">
        <v>0</v>
      </c>
      <c r="Y1085" t="s">
        <v>171</v>
      </c>
      <c r="Z1085"/>
      <c r="AA1085"/>
      <c r="AB1085"/>
      <c r="AC1085"/>
      <c r="AF1085">
        <v>2</v>
      </c>
      <c r="AL1085" s="9">
        <v>28.97</v>
      </c>
      <c r="AM1085" s="9">
        <v>59.12</v>
      </c>
      <c r="AN1085" s="9">
        <v>11.91</v>
      </c>
      <c r="AQ1085" s="1"/>
    </row>
    <row r="1086" spans="1:43" x14ac:dyDescent="0.3">
      <c r="A1086">
        <v>44</v>
      </c>
      <c r="B1086" t="s">
        <v>1729</v>
      </c>
      <c r="C1086">
        <v>59</v>
      </c>
      <c r="D1086" t="s">
        <v>1730</v>
      </c>
      <c r="I1086"/>
      <c r="J1086"/>
      <c r="K1086"/>
      <c r="N1086">
        <v>0.5</v>
      </c>
      <c r="O1086">
        <v>0</v>
      </c>
      <c r="P1086">
        <v>90</v>
      </c>
      <c r="Q1086">
        <v>7</v>
      </c>
      <c r="R1086" t="s">
        <v>102</v>
      </c>
      <c r="T1086" s="6">
        <f>10^-(14-Q1086)</f>
        <v>9.9999999999999995E-8</v>
      </c>
      <c r="U1086" s="6">
        <v>0</v>
      </c>
      <c r="V1086" s="6">
        <v>0</v>
      </c>
      <c r="W1086" s="6">
        <v>0</v>
      </c>
      <c r="X1086" s="6">
        <v>0</v>
      </c>
      <c r="Y1086" t="s">
        <v>171</v>
      </c>
      <c r="Z1086"/>
      <c r="AA1086"/>
      <c r="AB1086"/>
      <c r="AC1086"/>
      <c r="AD1086">
        <v>0.2</v>
      </c>
      <c r="AF1086">
        <v>2</v>
      </c>
      <c r="AL1086" s="9">
        <v>28.97</v>
      </c>
      <c r="AM1086" s="9">
        <v>59.12</v>
      </c>
      <c r="AN1086" s="9">
        <v>11.91</v>
      </c>
      <c r="AQ1086" s="1"/>
    </row>
    <row r="1087" spans="1:43" x14ac:dyDescent="0.3">
      <c r="A1087">
        <v>44</v>
      </c>
      <c r="B1087" t="s">
        <v>1729</v>
      </c>
      <c r="C1087">
        <v>59</v>
      </c>
      <c r="D1087" t="s">
        <v>1730</v>
      </c>
      <c r="I1087"/>
      <c r="J1087"/>
      <c r="K1087"/>
      <c r="N1087">
        <v>0.5</v>
      </c>
      <c r="O1087">
        <v>0</v>
      </c>
      <c r="P1087">
        <v>45</v>
      </c>
      <c r="Q1087">
        <v>7</v>
      </c>
      <c r="R1087" t="s">
        <v>102</v>
      </c>
      <c r="T1087" s="6">
        <f>10^-(14-Q1087)</f>
        <v>9.9999999999999995E-8</v>
      </c>
      <c r="U1087" s="6">
        <v>0</v>
      </c>
      <c r="V1087" s="6">
        <v>0</v>
      </c>
      <c r="W1087" s="6">
        <v>0</v>
      </c>
      <c r="X1087" s="6">
        <v>0</v>
      </c>
      <c r="Y1087" t="s">
        <v>171</v>
      </c>
      <c r="Z1087"/>
      <c r="AA1087"/>
      <c r="AB1087"/>
      <c r="AC1087"/>
      <c r="AD1087">
        <v>0.1</v>
      </c>
      <c r="AF1087">
        <v>2</v>
      </c>
      <c r="AL1087" s="9">
        <v>29.27</v>
      </c>
      <c r="AM1087" s="9">
        <v>56.08</v>
      </c>
      <c r="AN1087" s="9">
        <v>14.64</v>
      </c>
      <c r="AQ1087" s="1"/>
    </row>
    <row r="1088" spans="1:43" x14ac:dyDescent="0.3">
      <c r="A1088">
        <v>44</v>
      </c>
      <c r="B1088" t="s">
        <v>1729</v>
      </c>
      <c r="C1088">
        <v>59</v>
      </c>
      <c r="D1088" t="s">
        <v>1730</v>
      </c>
      <c r="I1088"/>
      <c r="J1088"/>
      <c r="K1088"/>
      <c r="N1088">
        <v>0.5</v>
      </c>
      <c r="O1088">
        <v>0</v>
      </c>
      <c r="P1088">
        <v>60</v>
      </c>
      <c r="Q1088">
        <v>7</v>
      </c>
      <c r="R1088" t="s">
        <v>102</v>
      </c>
      <c r="T1088" s="6">
        <f>10^-(14-Q1088)</f>
        <v>9.9999999999999995E-8</v>
      </c>
      <c r="U1088" s="6">
        <v>0</v>
      </c>
      <c r="V1088" s="6">
        <v>0</v>
      </c>
      <c r="W1088" s="6">
        <v>0</v>
      </c>
      <c r="X1088" s="6">
        <v>0</v>
      </c>
      <c r="Y1088" t="s">
        <v>171</v>
      </c>
      <c r="Z1088"/>
      <c r="AA1088"/>
      <c r="AB1088"/>
      <c r="AC1088"/>
      <c r="AD1088">
        <v>0.2</v>
      </c>
      <c r="AF1088">
        <v>2</v>
      </c>
      <c r="AL1088" s="9">
        <v>29.27</v>
      </c>
      <c r="AM1088" s="9">
        <v>56.08</v>
      </c>
      <c r="AN1088" s="9">
        <v>14.64</v>
      </c>
      <c r="AQ1088" s="1"/>
    </row>
    <row r="1089" spans="1:43" x14ac:dyDescent="0.3">
      <c r="A1089">
        <v>44</v>
      </c>
      <c r="B1089" t="s">
        <v>1729</v>
      </c>
      <c r="C1089">
        <v>59</v>
      </c>
      <c r="D1089" t="s">
        <v>1730</v>
      </c>
      <c r="I1089"/>
      <c r="J1089"/>
      <c r="K1089"/>
      <c r="N1089">
        <v>0.5</v>
      </c>
      <c r="O1089">
        <v>0</v>
      </c>
      <c r="P1089">
        <v>75</v>
      </c>
      <c r="Q1089">
        <v>7</v>
      </c>
      <c r="R1089" t="s">
        <v>102</v>
      </c>
      <c r="T1089" s="6">
        <f>10^-(14-Q1089)</f>
        <v>9.9999999999999995E-8</v>
      </c>
      <c r="U1089" s="6">
        <v>0</v>
      </c>
      <c r="V1089" s="6">
        <v>0</v>
      </c>
      <c r="W1089" s="6">
        <v>0</v>
      </c>
      <c r="X1089" s="6">
        <v>0</v>
      </c>
      <c r="Y1089" t="s">
        <v>171</v>
      </c>
      <c r="Z1089"/>
      <c r="AA1089"/>
      <c r="AB1089"/>
      <c r="AC1089"/>
      <c r="AD1089">
        <v>0.2</v>
      </c>
      <c r="AF1089">
        <v>2</v>
      </c>
      <c r="AL1089" s="9">
        <v>29.27</v>
      </c>
      <c r="AM1089" s="9">
        <v>56.08</v>
      </c>
      <c r="AN1089" s="9">
        <v>14.64</v>
      </c>
      <c r="AQ1089" s="1"/>
    </row>
    <row r="1090" spans="1:43" x14ac:dyDescent="0.3">
      <c r="A1090">
        <v>44</v>
      </c>
      <c r="B1090" t="s">
        <v>1729</v>
      </c>
      <c r="C1090">
        <v>59</v>
      </c>
      <c r="D1090" t="s">
        <v>1730</v>
      </c>
      <c r="I1090"/>
      <c r="J1090"/>
      <c r="K1090"/>
      <c r="N1090">
        <v>0.5</v>
      </c>
      <c r="O1090">
        <v>0</v>
      </c>
      <c r="P1090">
        <v>90</v>
      </c>
      <c r="Q1090">
        <v>7</v>
      </c>
      <c r="R1090" t="s">
        <v>102</v>
      </c>
      <c r="T1090" s="6">
        <f>10^-(14-Q1090)</f>
        <v>9.9999999999999995E-8</v>
      </c>
      <c r="U1090" s="6">
        <v>0</v>
      </c>
      <c r="V1090" s="6">
        <v>0</v>
      </c>
      <c r="W1090" s="6">
        <v>0</v>
      </c>
      <c r="X1090" s="6">
        <v>0</v>
      </c>
      <c r="Y1090" t="s">
        <v>171</v>
      </c>
      <c r="Z1090"/>
      <c r="AA1090"/>
      <c r="AB1090"/>
      <c r="AC1090"/>
      <c r="AD1090">
        <v>0.2</v>
      </c>
      <c r="AE1090">
        <v>559</v>
      </c>
      <c r="AF1090">
        <v>1</v>
      </c>
      <c r="AL1090" s="9">
        <v>29.27</v>
      </c>
      <c r="AM1090" s="9">
        <v>56.08</v>
      </c>
      <c r="AN1090" s="9">
        <v>14.64</v>
      </c>
      <c r="AQ1090" s="1"/>
    </row>
    <row r="1091" spans="1:43" x14ac:dyDescent="0.3">
      <c r="A1091">
        <v>44</v>
      </c>
      <c r="B1091" t="s">
        <v>1729</v>
      </c>
      <c r="C1091">
        <v>59</v>
      </c>
      <c r="D1091" t="s">
        <v>1730</v>
      </c>
      <c r="I1091"/>
      <c r="J1091"/>
      <c r="K1091"/>
      <c r="N1091">
        <v>0.5</v>
      </c>
      <c r="O1091">
        <v>0</v>
      </c>
      <c r="P1091">
        <v>45</v>
      </c>
      <c r="Q1091">
        <v>7</v>
      </c>
      <c r="R1091" t="s">
        <v>102</v>
      </c>
      <c r="T1091" s="6">
        <f>10^-(14-Q1091)</f>
        <v>9.9999999999999995E-8</v>
      </c>
      <c r="U1091" s="6">
        <v>0</v>
      </c>
      <c r="V1091" s="6">
        <v>0</v>
      </c>
      <c r="W1091" s="6">
        <v>0</v>
      </c>
      <c r="X1091" s="6">
        <v>0</v>
      </c>
      <c r="Y1091" t="s">
        <v>171</v>
      </c>
      <c r="Z1091"/>
      <c r="AA1091"/>
      <c r="AB1091"/>
      <c r="AC1091"/>
      <c r="AD1091">
        <v>0.1</v>
      </c>
      <c r="AF1091">
        <v>2</v>
      </c>
      <c r="AL1091" s="9">
        <v>30.31</v>
      </c>
      <c r="AM1091" s="9">
        <v>56.91</v>
      </c>
      <c r="AN1091" s="9">
        <v>12.79</v>
      </c>
      <c r="AQ1091" s="1"/>
    </row>
    <row r="1092" spans="1:43" x14ac:dyDescent="0.3">
      <c r="A1092">
        <v>44</v>
      </c>
      <c r="B1092" t="s">
        <v>1729</v>
      </c>
      <c r="C1092">
        <v>59</v>
      </c>
      <c r="D1092" t="s">
        <v>1730</v>
      </c>
      <c r="I1092"/>
      <c r="J1092"/>
      <c r="K1092"/>
      <c r="N1092">
        <v>0.5</v>
      </c>
      <c r="O1092">
        <v>0</v>
      </c>
      <c r="P1092">
        <v>60</v>
      </c>
      <c r="Q1092">
        <v>7</v>
      </c>
      <c r="R1092" t="s">
        <v>102</v>
      </c>
      <c r="T1092" s="6">
        <f>10^-(14-Q1092)</f>
        <v>9.9999999999999995E-8</v>
      </c>
      <c r="U1092" s="6">
        <v>0</v>
      </c>
      <c r="V1092" s="6">
        <v>0</v>
      </c>
      <c r="W1092" s="6">
        <v>0</v>
      </c>
      <c r="X1092" s="6">
        <v>0</v>
      </c>
      <c r="Y1092" t="s">
        <v>171</v>
      </c>
      <c r="Z1092"/>
      <c r="AA1092"/>
      <c r="AB1092"/>
      <c r="AC1092"/>
      <c r="AD1092">
        <v>0.2</v>
      </c>
      <c r="AF1092">
        <v>2</v>
      </c>
      <c r="AL1092" s="9">
        <v>30.31</v>
      </c>
      <c r="AM1092" s="9">
        <v>56.91</v>
      </c>
      <c r="AN1092" s="9">
        <v>12.79</v>
      </c>
      <c r="AQ1092" s="1"/>
    </row>
    <row r="1093" spans="1:43" x14ac:dyDescent="0.3">
      <c r="A1093">
        <v>44</v>
      </c>
      <c r="B1093" t="s">
        <v>1729</v>
      </c>
      <c r="C1093">
        <v>59</v>
      </c>
      <c r="D1093" t="s">
        <v>1730</v>
      </c>
      <c r="I1093"/>
      <c r="J1093"/>
      <c r="K1093"/>
      <c r="N1093">
        <v>0.5</v>
      </c>
      <c r="O1093">
        <v>0</v>
      </c>
      <c r="P1093">
        <v>75</v>
      </c>
      <c r="Q1093">
        <v>7</v>
      </c>
      <c r="R1093" t="s">
        <v>102</v>
      </c>
      <c r="T1093" s="6">
        <f>10^-(14-Q1093)</f>
        <v>9.9999999999999995E-8</v>
      </c>
      <c r="U1093" s="6">
        <v>0</v>
      </c>
      <c r="V1093" s="6">
        <v>0</v>
      </c>
      <c r="W1093" s="6">
        <v>0</v>
      </c>
      <c r="X1093" s="6">
        <v>0</v>
      </c>
      <c r="Y1093" t="s">
        <v>171</v>
      </c>
      <c r="Z1093"/>
      <c r="AA1093"/>
      <c r="AB1093"/>
      <c r="AC1093"/>
      <c r="AD1093">
        <v>0.2</v>
      </c>
      <c r="AF1093">
        <v>2</v>
      </c>
      <c r="AL1093" s="9">
        <v>30.31</v>
      </c>
      <c r="AM1093" s="9">
        <v>56.91</v>
      </c>
      <c r="AN1093" s="9">
        <v>12.79</v>
      </c>
      <c r="AQ1093" s="1"/>
    </row>
    <row r="1094" spans="1:43" x14ac:dyDescent="0.3">
      <c r="A1094">
        <v>44</v>
      </c>
      <c r="B1094" t="s">
        <v>1729</v>
      </c>
      <c r="C1094">
        <v>59</v>
      </c>
      <c r="D1094" t="s">
        <v>1730</v>
      </c>
      <c r="I1094"/>
      <c r="J1094"/>
      <c r="K1094"/>
      <c r="N1094">
        <v>0.5</v>
      </c>
      <c r="O1094">
        <v>0</v>
      </c>
      <c r="P1094">
        <v>90</v>
      </c>
      <c r="Q1094">
        <v>7</v>
      </c>
      <c r="R1094" t="s">
        <v>102</v>
      </c>
      <c r="T1094" s="6">
        <f>10^-(14-Q1094)</f>
        <v>9.9999999999999995E-8</v>
      </c>
      <c r="U1094" s="6">
        <v>0</v>
      </c>
      <c r="V1094" s="6">
        <v>0</v>
      </c>
      <c r="W1094" s="6">
        <v>0</v>
      </c>
      <c r="X1094" s="6">
        <v>0</v>
      </c>
      <c r="Y1094" t="s">
        <v>171</v>
      </c>
      <c r="Z1094"/>
      <c r="AA1094"/>
      <c r="AB1094"/>
      <c r="AC1094"/>
      <c r="AD1094">
        <v>0.2</v>
      </c>
      <c r="AF1094">
        <v>2</v>
      </c>
      <c r="AL1094" s="9">
        <v>30.31</v>
      </c>
      <c r="AM1094" s="9">
        <v>56.91</v>
      </c>
      <c r="AN1094" s="9">
        <v>12.79</v>
      </c>
      <c r="AQ1094" s="1"/>
    </row>
    <row r="1095" spans="1:43" x14ac:dyDescent="0.3">
      <c r="A1095">
        <v>44</v>
      </c>
      <c r="B1095" t="s">
        <v>1729</v>
      </c>
      <c r="C1095">
        <v>59</v>
      </c>
      <c r="D1095" t="s">
        <v>1730</v>
      </c>
      <c r="I1095"/>
      <c r="J1095"/>
      <c r="K1095"/>
      <c r="N1095">
        <v>0.5</v>
      </c>
      <c r="O1095">
        <v>0</v>
      </c>
      <c r="P1095">
        <v>45</v>
      </c>
      <c r="Q1095">
        <v>7</v>
      </c>
      <c r="R1095" t="s">
        <v>102</v>
      </c>
      <c r="T1095" s="6">
        <f>10^-(14-Q1095)</f>
        <v>9.9999999999999995E-8</v>
      </c>
      <c r="U1095" s="6">
        <v>0</v>
      </c>
      <c r="V1095" s="6">
        <v>0</v>
      </c>
      <c r="W1095" s="6">
        <v>0</v>
      </c>
      <c r="X1095" s="6">
        <v>0</v>
      </c>
      <c r="Y1095" t="s">
        <v>171</v>
      </c>
      <c r="Z1095"/>
      <c r="AA1095"/>
      <c r="AB1095"/>
      <c r="AC1095"/>
      <c r="AE1095">
        <v>567.79999999999995</v>
      </c>
      <c r="AF1095">
        <v>1</v>
      </c>
      <c r="AL1095" s="9">
        <v>32.020000000000003</v>
      </c>
      <c r="AM1095" s="9">
        <v>62.82</v>
      </c>
      <c r="AN1095" s="9">
        <v>5.16</v>
      </c>
      <c r="AQ1095" s="1"/>
    </row>
    <row r="1096" spans="1:43" x14ac:dyDescent="0.3">
      <c r="A1096">
        <v>44</v>
      </c>
      <c r="B1096" t="s">
        <v>1729</v>
      </c>
      <c r="C1096">
        <v>59</v>
      </c>
      <c r="D1096" t="s">
        <v>1730</v>
      </c>
      <c r="I1096"/>
      <c r="J1096"/>
      <c r="K1096"/>
      <c r="N1096">
        <v>0.5</v>
      </c>
      <c r="O1096">
        <v>0</v>
      </c>
      <c r="P1096">
        <v>60</v>
      </c>
      <c r="Q1096">
        <v>7</v>
      </c>
      <c r="R1096" t="s">
        <v>102</v>
      </c>
      <c r="T1096" s="6">
        <f>10^-(14-Q1096)</f>
        <v>9.9999999999999995E-8</v>
      </c>
      <c r="U1096" s="6">
        <v>0</v>
      </c>
      <c r="V1096" s="6">
        <v>0</v>
      </c>
      <c r="W1096" s="6">
        <v>0</v>
      </c>
      <c r="X1096" s="6">
        <v>0</v>
      </c>
      <c r="Y1096" t="s">
        <v>171</v>
      </c>
      <c r="Z1096"/>
      <c r="AA1096"/>
      <c r="AB1096"/>
      <c r="AC1096"/>
      <c r="AD1096">
        <v>0.2</v>
      </c>
      <c r="AE1096">
        <v>348.9</v>
      </c>
      <c r="AF1096">
        <v>1</v>
      </c>
      <c r="AL1096" s="9">
        <v>32.020000000000003</v>
      </c>
      <c r="AM1096" s="9">
        <v>62.82</v>
      </c>
      <c r="AN1096" s="9">
        <v>5.16</v>
      </c>
      <c r="AQ1096" s="1"/>
    </row>
    <row r="1097" spans="1:43" x14ac:dyDescent="0.3">
      <c r="A1097">
        <v>44</v>
      </c>
      <c r="B1097" t="s">
        <v>1729</v>
      </c>
      <c r="C1097">
        <v>59</v>
      </c>
      <c r="D1097" t="s">
        <v>1730</v>
      </c>
      <c r="I1097"/>
      <c r="J1097"/>
      <c r="K1097"/>
      <c r="N1097">
        <v>0.5</v>
      </c>
      <c r="O1097">
        <v>0</v>
      </c>
      <c r="P1097">
        <v>75</v>
      </c>
      <c r="Q1097">
        <v>7</v>
      </c>
      <c r="R1097" t="s">
        <v>102</v>
      </c>
      <c r="T1097" s="6">
        <f>10^-(14-Q1097)</f>
        <v>9.9999999999999995E-8</v>
      </c>
      <c r="U1097" s="6">
        <v>0</v>
      </c>
      <c r="V1097" s="6">
        <v>0</v>
      </c>
      <c r="W1097" s="6">
        <v>0</v>
      </c>
      <c r="X1097" s="6">
        <v>0</v>
      </c>
      <c r="Y1097" t="s">
        <v>171</v>
      </c>
      <c r="Z1097"/>
      <c r="AA1097"/>
      <c r="AB1097"/>
      <c r="AC1097"/>
      <c r="AE1097">
        <v>411.6</v>
      </c>
      <c r="AF1097">
        <v>1</v>
      </c>
      <c r="AL1097" s="9">
        <v>32.020000000000003</v>
      </c>
      <c r="AM1097" s="9">
        <v>62.82</v>
      </c>
      <c r="AN1097" s="9">
        <v>5.16</v>
      </c>
      <c r="AQ1097" s="1"/>
    </row>
    <row r="1098" spans="1:43" x14ac:dyDescent="0.3">
      <c r="A1098">
        <v>44</v>
      </c>
      <c r="B1098" t="s">
        <v>1729</v>
      </c>
      <c r="C1098">
        <v>59</v>
      </c>
      <c r="D1098" t="s">
        <v>1730</v>
      </c>
      <c r="I1098"/>
      <c r="J1098"/>
      <c r="K1098"/>
      <c r="N1098">
        <v>0.5</v>
      </c>
      <c r="O1098">
        <v>0</v>
      </c>
      <c r="P1098">
        <v>90</v>
      </c>
      <c r="Q1098">
        <v>7</v>
      </c>
      <c r="R1098" t="s">
        <v>102</v>
      </c>
      <c r="T1098" s="6">
        <f>10^-(14-Q1098)</f>
        <v>9.9999999999999995E-8</v>
      </c>
      <c r="U1098" s="6">
        <v>0</v>
      </c>
      <c r="V1098" s="6">
        <v>0</v>
      </c>
      <c r="W1098" s="6">
        <v>0</v>
      </c>
      <c r="X1098" s="6">
        <v>0</v>
      </c>
      <c r="Y1098" t="s">
        <v>171</v>
      </c>
      <c r="Z1098"/>
      <c r="AA1098"/>
      <c r="AB1098"/>
      <c r="AC1098"/>
      <c r="AD1098">
        <v>0.2</v>
      </c>
      <c r="AE1098">
        <v>558.79999999999995</v>
      </c>
      <c r="AF1098">
        <v>1</v>
      </c>
      <c r="AL1098" s="9">
        <v>32.020000000000003</v>
      </c>
      <c r="AM1098" s="9">
        <v>62.82</v>
      </c>
      <c r="AN1098" s="9">
        <v>5.16</v>
      </c>
      <c r="AQ1098" s="1"/>
    </row>
    <row r="1099" spans="1:43" x14ac:dyDescent="0.3">
      <c r="A1099" t="s">
        <v>1406</v>
      </c>
      <c r="B1099" s="8" t="s">
        <v>1592</v>
      </c>
      <c r="C1099">
        <v>60</v>
      </c>
      <c r="D1099" s="8">
        <v>1.4512</v>
      </c>
      <c r="I1099"/>
      <c r="J1099"/>
      <c r="K1099"/>
      <c r="N1099">
        <v>0.02</v>
      </c>
      <c r="O1099" s="3">
        <v>0</v>
      </c>
      <c r="P1099">
        <v>23</v>
      </c>
      <c r="Q1099">
        <v>6.6</v>
      </c>
      <c r="R1099" t="s">
        <v>102</v>
      </c>
      <c r="S1099">
        <v>0</v>
      </c>
      <c r="T1099" s="6">
        <f>10^-(14-Q1099)</f>
        <v>3.981071705534957E-8</v>
      </c>
      <c r="U1099" s="6">
        <v>0</v>
      </c>
      <c r="V1099" s="6">
        <v>0</v>
      </c>
      <c r="W1099" s="6">
        <v>0</v>
      </c>
      <c r="X1099" s="6">
        <v>0</v>
      </c>
      <c r="Y1099" t="s">
        <v>171</v>
      </c>
      <c r="AA1099"/>
      <c r="AB1099"/>
      <c r="AC1099"/>
      <c r="AE1099">
        <v>290</v>
      </c>
      <c r="AF1099">
        <v>1</v>
      </c>
      <c r="AL1099" s="9">
        <v>11.5</v>
      </c>
      <c r="AM1099" s="9">
        <v>0</v>
      </c>
      <c r="AO1099" s="9" t="s">
        <v>987</v>
      </c>
      <c r="AQ1099" s="1"/>
    </row>
    <row r="1100" spans="1:43" x14ac:dyDescent="0.3">
      <c r="A1100" t="s">
        <v>1407</v>
      </c>
      <c r="B1100" s="8" t="s">
        <v>1592</v>
      </c>
      <c r="C1100">
        <v>60</v>
      </c>
      <c r="D1100" s="8">
        <v>1.4003000000000001</v>
      </c>
      <c r="I1100"/>
      <c r="J1100"/>
      <c r="K1100"/>
      <c r="N1100">
        <v>0.02</v>
      </c>
      <c r="O1100" s="3">
        <v>0</v>
      </c>
      <c r="P1100">
        <v>23</v>
      </c>
      <c r="Q1100">
        <v>6.6</v>
      </c>
      <c r="R1100" t="s">
        <v>102</v>
      </c>
      <c r="S1100">
        <v>0</v>
      </c>
      <c r="T1100" s="6">
        <f>10^-(14-Q1100)</f>
        <v>3.981071705534957E-8</v>
      </c>
      <c r="U1100" s="6">
        <v>0</v>
      </c>
      <c r="V1100" s="6">
        <v>0</v>
      </c>
      <c r="W1100" s="6">
        <v>0</v>
      </c>
      <c r="X1100" s="6">
        <v>0</v>
      </c>
      <c r="Y1100" t="s">
        <v>171</v>
      </c>
      <c r="AA1100"/>
      <c r="AB1100"/>
      <c r="AC1100"/>
      <c r="AE1100">
        <v>290</v>
      </c>
      <c r="AF1100">
        <v>1</v>
      </c>
      <c r="AG1100" s="9">
        <v>2.1000000000000001E-2</v>
      </c>
      <c r="AH1100" s="9">
        <v>0.55000000000000004</v>
      </c>
      <c r="AI1100" s="9">
        <v>0.68</v>
      </c>
      <c r="AJ1100" s="9">
        <v>2.1000000000000001E-2</v>
      </c>
      <c r="AK1100" s="9">
        <v>1E-3</v>
      </c>
      <c r="AL1100" s="9">
        <v>11.5</v>
      </c>
      <c r="AM1100" s="9">
        <v>0.5</v>
      </c>
      <c r="AN1100" s="9">
        <v>0.01</v>
      </c>
      <c r="AO1100" s="9">
        <v>1.2E-2</v>
      </c>
      <c r="AQ1100" s="1"/>
    </row>
    <row r="1101" spans="1:43" x14ac:dyDescent="0.3">
      <c r="A1101" t="s">
        <v>1424</v>
      </c>
      <c r="B1101" s="8" t="s">
        <v>1592</v>
      </c>
      <c r="C1101">
        <v>60</v>
      </c>
      <c r="D1101" s="8">
        <v>1.4512</v>
      </c>
      <c r="I1101"/>
      <c r="J1101"/>
      <c r="K1101"/>
      <c r="N1101">
        <v>0.02</v>
      </c>
      <c r="O1101" s="3">
        <v>0</v>
      </c>
      <c r="P1101">
        <v>50</v>
      </c>
      <c r="Q1101">
        <v>6.6</v>
      </c>
      <c r="R1101" t="s">
        <v>102</v>
      </c>
      <c r="S1101">
        <v>0</v>
      </c>
      <c r="T1101" s="6">
        <f>10^-(14-Q1101)</f>
        <v>3.981071705534957E-8</v>
      </c>
      <c r="U1101" s="6">
        <v>0</v>
      </c>
      <c r="V1101" s="6">
        <v>0</v>
      </c>
      <c r="W1101" s="6">
        <v>0</v>
      </c>
      <c r="X1101" s="6">
        <v>0</v>
      </c>
      <c r="Y1101" t="s">
        <v>171</v>
      </c>
      <c r="AA1101"/>
      <c r="AB1101"/>
      <c r="AC1101"/>
      <c r="AE1101">
        <v>175</v>
      </c>
      <c r="AF1101">
        <v>1</v>
      </c>
      <c r="AL1101" s="9">
        <v>11.5</v>
      </c>
      <c r="AM1101" s="9">
        <v>0</v>
      </c>
      <c r="AN1101" s="9" t="s">
        <v>987</v>
      </c>
      <c r="AO1101" s="9" t="s">
        <v>987</v>
      </c>
      <c r="AQ1101" s="1"/>
    </row>
    <row r="1102" spans="1:43" x14ac:dyDescent="0.3">
      <c r="A1102" t="s">
        <v>1425</v>
      </c>
      <c r="B1102" s="8" t="s">
        <v>1592</v>
      </c>
      <c r="C1102">
        <v>60</v>
      </c>
      <c r="D1102" s="8">
        <v>1.4003000000000001</v>
      </c>
      <c r="I1102"/>
      <c r="J1102"/>
      <c r="K1102"/>
      <c r="N1102">
        <v>0.02</v>
      </c>
      <c r="O1102" s="3">
        <v>0</v>
      </c>
      <c r="P1102">
        <v>50</v>
      </c>
      <c r="Q1102">
        <v>6.6</v>
      </c>
      <c r="R1102" t="s">
        <v>102</v>
      </c>
      <c r="S1102">
        <v>0</v>
      </c>
      <c r="T1102" s="6">
        <f>10^-(14-Q1102)</f>
        <v>3.981071705534957E-8</v>
      </c>
      <c r="U1102" s="6">
        <v>0</v>
      </c>
      <c r="V1102" s="6">
        <v>0</v>
      </c>
      <c r="W1102" s="6">
        <v>0</v>
      </c>
      <c r="X1102" s="6">
        <v>0</v>
      </c>
      <c r="Y1102" t="s">
        <v>171</v>
      </c>
      <c r="AA1102"/>
      <c r="AB1102"/>
      <c r="AC1102"/>
      <c r="AE1102">
        <v>175</v>
      </c>
      <c r="AF1102">
        <v>1</v>
      </c>
      <c r="AG1102" s="9">
        <v>2.1000000000000001E-2</v>
      </c>
      <c r="AH1102" s="9">
        <v>0.55000000000000004</v>
      </c>
      <c r="AI1102" s="9">
        <v>0.68</v>
      </c>
      <c r="AJ1102" s="9">
        <v>2.1000000000000001E-2</v>
      </c>
      <c r="AK1102" s="9">
        <v>1E-3</v>
      </c>
      <c r="AL1102" s="9">
        <v>11.5</v>
      </c>
      <c r="AM1102" s="9">
        <v>0.5</v>
      </c>
      <c r="AN1102" s="9">
        <v>0.01</v>
      </c>
      <c r="AO1102" s="9">
        <v>1.2E-2</v>
      </c>
      <c r="AQ1102" s="1"/>
    </row>
    <row r="1103" spans="1:43" x14ac:dyDescent="0.3">
      <c r="A1103" t="s">
        <v>1435</v>
      </c>
      <c r="B1103" s="8" t="s">
        <v>1592</v>
      </c>
      <c r="C1103">
        <v>60</v>
      </c>
      <c r="D1103" s="8">
        <v>1.4512</v>
      </c>
      <c r="I1103"/>
      <c r="J1103"/>
      <c r="K1103"/>
      <c r="N1103">
        <v>0.5</v>
      </c>
      <c r="O1103" s="3">
        <v>0</v>
      </c>
      <c r="P1103">
        <v>50</v>
      </c>
      <c r="Q1103">
        <v>6.6</v>
      </c>
      <c r="R1103" t="s">
        <v>102</v>
      </c>
      <c r="S1103">
        <v>0</v>
      </c>
      <c r="T1103" s="6">
        <f>10^-(14-Q1103)</f>
        <v>3.981071705534957E-8</v>
      </c>
      <c r="U1103" s="6">
        <v>0</v>
      </c>
      <c r="V1103" s="6">
        <v>0</v>
      </c>
      <c r="W1103" s="6">
        <v>0</v>
      </c>
      <c r="X1103" s="6">
        <v>0</v>
      </c>
      <c r="Y1103" t="s">
        <v>171</v>
      </c>
      <c r="AA1103"/>
      <c r="AB1103"/>
      <c r="AC1103"/>
      <c r="AE1103">
        <v>10</v>
      </c>
      <c r="AF1103">
        <v>1</v>
      </c>
      <c r="AL1103" s="9">
        <v>11.5</v>
      </c>
      <c r="AM1103" s="9">
        <v>0</v>
      </c>
      <c r="AN1103" s="9" t="s">
        <v>987</v>
      </c>
      <c r="AO1103" s="9" t="s">
        <v>987</v>
      </c>
      <c r="AQ1103" s="1"/>
    </row>
    <row r="1104" spans="1:43" x14ac:dyDescent="0.3">
      <c r="A1104" t="s">
        <v>1436</v>
      </c>
      <c r="B1104" s="8" t="s">
        <v>1592</v>
      </c>
      <c r="C1104">
        <v>60</v>
      </c>
      <c r="D1104" s="8">
        <v>1.4003000000000001</v>
      </c>
      <c r="I1104"/>
      <c r="J1104"/>
      <c r="K1104"/>
      <c r="N1104">
        <v>0.5</v>
      </c>
      <c r="O1104" s="3">
        <v>0</v>
      </c>
      <c r="P1104">
        <v>50</v>
      </c>
      <c r="Q1104">
        <v>6.6</v>
      </c>
      <c r="R1104" t="s">
        <v>102</v>
      </c>
      <c r="S1104">
        <v>0</v>
      </c>
      <c r="T1104" s="6">
        <f>10^-(14-Q1104)</f>
        <v>3.981071705534957E-8</v>
      </c>
      <c r="U1104" s="6">
        <v>0</v>
      </c>
      <c r="V1104" s="6">
        <v>0</v>
      </c>
      <c r="W1104" s="6">
        <v>0</v>
      </c>
      <c r="X1104" s="6">
        <v>0</v>
      </c>
      <c r="Y1104" t="s">
        <v>171</v>
      </c>
      <c r="AA1104"/>
      <c r="AB1104"/>
      <c r="AC1104"/>
      <c r="AE1104">
        <v>10</v>
      </c>
      <c r="AF1104">
        <v>1</v>
      </c>
      <c r="AG1104" s="9">
        <v>2.1000000000000001E-2</v>
      </c>
      <c r="AH1104" s="9">
        <v>0.55000000000000004</v>
      </c>
      <c r="AI1104" s="9">
        <v>0.68</v>
      </c>
      <c r="AJ1104" s="9">
        <v>2.1000000000000001E-2</v>
      </c>
      <c r="AK1104" s="9">
        <v>1E-3</v>
      </c>
      <c r="AL1104" s="9">
        <v>11.5</v>
      </c>
      <c r="AM1104" s="9">
        <v>0.5</v>
      </c>
      <c r="AN1104" s="9">
        <v>0.01</v>
      </c>
      <c r="AO1104" s="9">
        <v>1.2E-2</v>
      </c>
      <c r="AQ1104" s="1"/>
    </row>
    <row r="1105" spans="1:43" x14ac:dyDescent="0.3">
      <c r="A1105" t="s">
        <v>1440</v>
      </c>
      <c r="B1105" s="8" t="s">
        <v>1592</v>
      </c>
      <c r="C1105">
        <v>60</v>
      </c>
      <c r="D1105" s="8" t="s">
        <v>1635</v>
      </c>
      <c r="I1105"/>
      <c r="J1105"/>
      <c r="K1105"/>
      <c r="N1105">
        <v>0.5</v>
      </c>
      <c r="O1105" s="3">
        <v>0</v>
      </c>
      <c r="P1105">
        <v>50</v>
      </c>
      <c r="Q1105">
        <v>6.6</v>
      </c>
      <c r="R1105" t="s">
        <v>102</v>
      </c>
      <c r="S1105">
        <v>0</v>
      </c>
      <c r="T1105" s="6">
        <f>10^-(14-Q1105)</f>
        <v>3.981071705534957E-8</v>
      </c>
      <c r="U1105" s="6">
        <v>0</v>
      </c>
      <c r="V1105" s="6">
        <v>0</v>
      </c>
      <c r="W1105" s="6">
        <v>0</v>
      </c>
      <c r="X1105" s="6">
        <v>0</v>
      </c>
      <c r="Y1105" t="s">
        <v>171</v>
      </c>
      <c r="AA1105"/>
      <c r="AB1105"/>
      <c r="AC1105"/>
      <c r="AE1105">
        <v>230</v>
      </c>
      <c r="AF1105">
        <v>1</v>
      </c>
      <c r="AL1105" s="9">
        <v>11.5</v>
      </c>
      <c r="AM1105" s="9">
        <v>0</v>
      </c>
      <c r="AN1105" s="9" t="s">
        <v>987</v>
      </c>
      <c r="AO1105" s="9" t="s">
        <v>987</v>
      </c>
      <c r="AQ1105" s="1"/>
    </row>
    <row r="1106" spans="1:43" x14ac:dyDescent="0.3">
      <c r="A1106" t="s">
        <v>1405</v>
      </c>
      <c r="B1106" s="8" t="s">
        <v>1592</v>
      </c>
      <c r="C1106">
        <v>60</v>
      </c>
      <c r="D1106" s="8">
        <v>1.4020999999999999</v>
      </c>
      <c r="I1106"/>
      <c r="J1106"/>
      <c r="K1106"/>
      <c r="N1106">
        <v>0.02</v>
      </c>
      <c r="O1106" s="3">
        <v>0</v>
      </c>
      <c r="P1106">
        <v>23</v>
      </c>
      <c r="Q1106">
        <v>6.6</v>
      </c>
      <c r="R1106" t="s">
        <v>102</v>
      </c>
      <c r="S1106">
        <v>0</v>
      </c>
      <c r="T1106" s="6">
        <f>10^-(14-Q1106)</f>
        <v>3.981071705534957E-8</v>
      </c>
      <c r="U1106" s="6">
        <v>0</v>
      </c>
      <c r="V1106" s="6">
        <v>0</v>
      </c>
      <c r="W1106" s="6">
        <v>0</v>
      </c>
      <c r="X1106" s="6">
        <v>0</v>
      </c>
      <c r="Y1106" t="s">
        <v>171</v>
      </c>
      <c r="AA1106"/>
      <c r="AB1106"/>
      <c r="AC1106"/>
      <c r="AE1106">
        <v>310</v>
      </c>
      <c r="AF1106">
        <v>1</v>
      </c>
      <c r="AG1106" s="9">
        <v>0.02</v>
      </c>
      <c r="AK1106" s="9">
        <v>1.4999999999999999E-2</v>
      </c>
      <c r="AL1106" s="9">
        <v>13</v>
      </c>
      <c r="AM1106" s="9">
        <v>0</v>
      </c>
      <c r="AO1106" s="9" t="s">
        <v>987</v>
      </c>
      <c r="AQ1106" s="1"/>
    </row>
    <row r="1107" spans="1:43" x14ac:dyDescent="0.3">
      <c r="A1107" t="s">
        <v>1408</v>
      </c>
      <c r="B1107" s="8" t="s">
        <v>1592</v>
      </c>
      <c r="C1107">
        <v>60</v>
      </c>
      <c r="D1107" s="8" t="s">
        <v>1634</v>
      </c>
      <c r="I1107"/>
      <c r="J1107"/>
      <c r="K1107"/>
      <c r="N1107">
        <v>0.02</v>
      </c>
      <c r="O1107" s="3">
        <v>0</v>
      </c>
      <c r="P1107">
        <v>23</v>
      </c>
      <c r="Q1107">
        <v>6.6</v>
      </c>
      <c r="R1107" t="s">
        <v>102</v>
      </c>
      <c r="S1107">
        <v>0</v>
      </c>
      <c r="T1107" s="6">
        <f>10^-(14-Q1107)</f>
        <v>3.981071705534957E-8</v>
      </c>
      <c r="U1107" s="6">
        <v>0</v>
      </c>
      <c r="V1107" s="6">
        <v>0</v>
      </c>
      <c r="W1107" s="6">
        <v>0</v>
      </c>
      <c r="X1107" s="6">
        <v>0</v>
      </c>
      <c r="Y1107" t="s">
        <v>171</v>
      </c>
      <c r="AA1107"/>
      <c r="AB1107"/>
      <c r="AC1107"/>
      <c r="AE1107">
        <v>290</v>
      </c>
      <c r="AF1107">
        <v>1</v>
      </c>
      <c r="AL1107" s="9">
        <v>13</v>
      </c>
      <c r="AM1107" s="9">
        <v>0</v>
      </c>
      <c r="AN1107" s="9" t="s">
        <v>987</v>
      </c>
      <c r="AO1107" s="9" t="s">
        <v>987</v>
      </c>
      <c r="AQ1107" s="1"/>
    </row>
    <row r="1108" spans="1:43" x14ac:dyDescent="0.3">
      <c r="A1108" t="s">
        <v>1426</v>
      </c>
      <c r="B1108" s="8" t="s">
        <v>1592</v>
      </c>
      <c r="C1108">
        <v>60</v>
      </c>
      <c r="D1108" s="8" t="s">
        <v>1634</v>
      </c>
      <c r="I1108"/>
      <c r="J1108"/>
      <c r="K1108"/>
      <c r="N1108">
        <v>0.02</v>
      </c>
      <c r="O1108" s="3">
        <v>0</v>
      </c>
      <c r="P1108">
        <v>50</v>
      </c>
      <c r="Q1108">
        <v>6.6</v>
      </c>
      <c r="R1108" t="s">
        <v>102</v>
      </c>
      <c r="S1108">
        <v>0</v>
      </c>
      <c r="T1108" s="6">
        <f>10^-(14-Q1108)</f>
        <v>3.981071705534957E-8</v>
      </c>
      <c r="U1108" s="6">
        <v>0</v>
      </c>
      <c r="V1108" s="6">
        <v>0</v>
      </c>
      <c r="W1108" s="6">
        <v>0</v>
      </c>
      <c r="X1108" s="6">
        <v>0</v>
      </c>
      <c r="Y1108" t="s">
        <v>171</v>
      </c>
      <c r="AA1108"/>
      <c r="AB1108"/>
      <c r="AC1108"/>
      <c r="AE1108">
        <v>175</v>
      </c>
      <c r="AF1108">
        <v>1</v>
      </c>
      <c r="AL1108" s="9">
        <v>13</v>
      </c>
      <c r="AM1108" s="9">
        <v>0</v>
      </c>
      <c r="AN1108" s="9" t="s">
        <v>987</v>
      </c>
      <c r="AO1108" s="9" t="s">
        <v>987</v>
      </c>
      <c r="AQ1108" s="1"/>
    </row>
    <row r="1109" spans="1:43" x14ac:dyDescent="0.3">
      <c r="A1109" t="s">
        <v>1437</v>
      </c>
      <c r="B1109" s="8" t="s">
        <v>1592</v>
      </c>
      <c r="C1109">
        <v>60</v>
      </c>
      <c r="D1109" s="8" t="s">
        <v>1634</v>
      </c>
      <c r="I1109"/>
      <c r="J1109"/>
      <c r="K1109"/>
      <c r="N1109">
        <v>0.5</v>
      </c>
      <c r="O1109" s="3">
        <v>0</v>
      </c>
      <c r="P1109">
        <v>50</v>
      </c>
      <c r="Q1109">
        <v>6.6</v>
      </c>
      <c r="R1109" t="s">
        <v>102</v>
      </c>
      <c r="S1109">
        <v>0</v>
      </c>
      <c r="T1109" s="6">
        <f>10^-(14-Q1109)</f>
        <v>3.981071705534957E-8</v>
      </c>
      <c r="U1109" s="6">
        <v>0</v>
      </c>
      <c r="V1109" s="6">
        <v>0</v>
      </c>
      <c r="W1109" s="6">
        <v>0</v>
      </c>
      <c r="X1109" s="6">
        <v>0</v>
      </c>
      <c r="Y1109" t="s">
        <v>171</v>
      </c>
      <c r="AA1109"/>
      <c r="AB1109"/>
      <c r="AC1109"/>
      <c r="AE1109">
        <v>10</v>
      </c>
      <c r="AF1109">
        <v>1</v>
      </c>
      <c r="AL1109" s="9">
        <v>13</v>
      </c>
      <c r="AM1109" s="9">
        <v>0</v>
      </c>
      <c r="AN1109" s="9" t="s">
        <v>987</v>
      </c>
      <c r="AO1109" s="9" t="s">
        <v>987</v>
      </c>
      <c r="AQ1109" s="1"/>
    </row>
    <row r="1110" spans="1:43" x14ac:dyDescent="0.3">
      <c r="A1110" t="s">
        <v>1415</v>
      </c>
      <c r="B1110" s="8" t="s">
        <v>1592</v>
      </c>
      <c r="C1110">
        <v>60</v>
      </c>
      <c r="D1110" s="8">
        <v>1.4372</v>
      </c>
      <c r="I1110"/>
      <c r="J1110"/>
      <c r="K1110"/>
      <c r="N1110">
        <v>0.02</v>
      </c>
      <c r="O1110" s="3">
        <v>0</v>
      </c>
      <c r="P1110">
        <v>23</v>
      </c>
      <c r="Q1110">
        <v>6.6</v>
      </c>
      <c r="R1110" t="s">
        <v>102</v>
      </c>
      <c r="S1110">
        <v>0</v>
      </c>
      <c r="T1110" s="6">
        <f>10^-(14-Q1110)</f>
        <v>3.981071705534957E-8</v>
      </c>
      <c r="U1110" s="6">
        <v>0</v>
      </c>
      <c r="V1110" s="6">
        <v>0</v>
      </c>
      <c r="W1110" s="6">
        <v>0</v>
      </c>
      <c r="X1110" s="6">
        <v>0</v>
      </c>
      <c r="Y1110" t="s">
        <v>171</v>
      </c>
      <c r="AA1110"/>
      <c r="AB1110"/>
      <c r="AC1110"/>
      <c r="AE1110">
        <v>510</v>
      </c>
      <c r="AF1110">
        <v>1</v>
      </c>
      <c r="AH1110" s="9">
        <v>6.25</v>
      </c>
      <c r="AL1110" s="9">
        <v>16.5</v>
      </c>
      <c r="AM1110" s="9">
        <v>4</v>
      </c>
      <c r="AN1110" s="9" t="s">
        <v>987</v>
      </c>
      <c r="AO1110" s="9">
        <v>0.1</v>
      </c>
      <c r="AQ1110" s="1"/>
    </row>
    <row r="1111" spans="1:43" x14ac:dyDescent="0.3">
      <c r="A1111" t="s">
        <v>1416</v>
      </c>
      <c r="B1111" s="8" t="s">
        <v>1592</v>
      </c>
      <c r="C1111">
        <v>60</v>
      </c>
      <c r="D1111" s="8">
        <v>1.4371</v>
      </c>
      <c r="I1111"/>
      <c r="J1111"/>
      <c r="K1111"/>
      <c r="N1111">
        <v>0.02</v>
      </c>
      <c r="O1111" s="3">
        <v>0</v>
      </c>
      <c r="P1111">
        <v>23</v>
      </c>
      <c r="Q1111">
        <v>6.6</v>
      </c>
      <c r="R1111" t="s">
        <v>102</v>
      </c>
      <c r="S1111">
        <v>0</v>
      </c>
      <c r="T1111" s="6">
        <f>10^-(14-Q1111)</f>
        <v>3.981071705534957E-8</v>
      </c>
      <c r="U1111" s="6">
        <v>0</v>
      </c>
      <c r="V1111" s="6">
        <v>0</v>
      </c>
      <c r="W1111" s="6">
        <v>0</v>
      </c>
      <c r="X1111" s="6">
        <v>0</v>
      </c>
      <c r="Y1111" t="s">
        <v>171</v>
      </c>
      <c r="AA1111"/>
      <c r="AB1111"/>
      <c r="AC1111"/>
      <c r="AE1111">
        <v>510</v>
      </c>
      <c r="AF1111">
        <v>1</v>
      </c>
      <c r="AH1111" s="9">
        <v>7</v>
      </c>
      <c r="AL1111" s="9">
        <v>16.5</v>
      </c>
      <c r="AM1111" s="9">
        <v>4.5</v>
      </c>
      <c r="AN1111" s="9" t="s">
        <v>987</v>
      </c>
      <c r="AO1111" s="9">
        <v>0.2</v>
      </c>
      <c r="AQ1111" s="1"/>
    </row>
    <row r="1112" spans="1:43" x14ac:dyDescent="0.3">
      <c r="A1112" t="s">
        <v>1421</v>
      </c>
      <c r="B1112" s="8" t="s">
        <v>1592</v>
      </c>
      <c r="C1112">
        <v>60</v>
      </c>
      <c r="D1112" s="8">
        <v>1.4403999999999999</v>
      </c>
      <c r="I1112"/>
      <c r="J1112"/>
      <c r="K1112"/>
      <c r="N1112">
        <v>0.02</v>
      </c>
      <c r="O1112" s="3">
        <v>0</v>
      </c>
      <c r="P1112">
        <v>23</v>
      </c>
      <c r="Q1112">
        <v>6.6</v>
      </c>
      <c r="R1112" t="s">
        <v>102</v>
      </c>
      <c r="S1112">
        <v>0</v>
      </c>
      <c r="T1112" s="6">
        <f>10^-(14-Q1112)</f>
        <v>3.981071705534957E-8</v>
      </c>
      <c r="U1112" s="6">
        <v>0</v>
      </c>
      <c r="V1112" s="6">
        <v>0</v>
      </c>
      <c r="W1112" s="6">
        <v>0</v>
      </c>
      <c r="X1112" s="6">
        <v>0</v>
      </c>
      <c r="Y1112" t="s">
        <v>171</v>
      </c>
      <c r="AA1112"/>
      <c r="AB1112"/>
      <c r="AC1112"/>
      <c r="AE1112">
        <v>635</v>
      </c>
      <c r="AF1112">
        <v>1</v>
      </c>
      <c r="AG1112" s="9">
        <v>1.4999999999999999E-2</v>
      </c>
      <c r="AH1112" s="9">
        <v>1.29</v>
      </c>
      <c r="AI1112" s="9">
        <v>0.44</v>
      </c>
      <c r="AJ1112" s="9">
        <v>3.4000000000000002E-2</v>
      </c>
      <c r="AK1112" s="9">
        <v>2E-3</v>
      </c>
      <c r="AL1112" s="9">
        <v>16.7</v>
      </c>
      <c r="AM1112" s="9">
        <v>10.02</v>
      </c>
      <c r="AN1112" s="9">
        <v>2.02</v>
      </c>
      <c r="AO1112" s="9">
        <v>3.7999999999999999E-2</v>
      </c>
      <c r="AQ1112" s="1"/>
    </row>
    <row r="1113" spans="1:43" x14ac:dyDescent="0.3">
      <c r="A1113" t="s">
        <v>1422</v>
      </c>
      <c r="B1113" s="8" t="s">
        <v>1592</v>
      </c>
      <c r="C1113">
        <v>60</v>
      </c>
      <c r="D1113" s="8">
        <v>1.4571000000000001</v>
      </c>
      <c r="I1113"/>
      <c r="J1113"/>
      <c r="K1113"/>
      <c r="N1113">
        <v>0.02</v>
      </c>
      <c r="O1113" s="3">
        <v>0</v>
      </c>
      <c r="P1113">
        <v>23</v>
      </c>
      <c r="Q1113">
        <v>6.6</v>
      </c>
      <c r="R1113" t="s">
        <v>102</v>
      </c>
      <c r="S1113">
        <v>0</v>
      </c>
      <c r="T1113" s="6">
        <f>10^-(14-Q1113)</f>
        <v>3.981071705534957E-8</v>
      </c>
      <c r="U1113" s="6">
        <v>0</v>
      </c>
      <c r="V1113" s="6">
        <v>0</v>
      </c>
      <c r="W1113" s="6">
        <v>0</v>
      </c>
      <c r="X1113" s="6">
        <v>0</v>
      </c>
      <c r="Y1113" t="s">
        <v>171</v>
      </c>
      <c r="AA1113"/>
      <c r="AB1113"/>
      <c r="AC1113"/>
      <c r="AE1113">
        <v>665</v>
      </c>
      <c r="AF1113">
        <v>1</v>
      </c>
      <c r="AL1113" s="9">
        <v>16.7</v>
      </c>
      <c r="AM1113" s="9">
        <v>10.02</v>
      </c>
      <c r="AN1113" s="9">
        <v>2.02</v>
      </c>
      <c r="AO1113" s="9" t="s">
        <v>987</v>
      </c>
      <c r="AQ1113" s="1"/>
    </row>
    <row r="1114" spans="1:43" x14ac:dyDescent="0.3">
      <c r="A1114" t="s">
        <v>1434</v>
      </c>
      <c r="B1114" s="8" t="s">
        <v>1592</v>
      </c>
      <c r="C1114">
        <v>60</v>
      </c>
      <c r="D1114" s="8">
        <v>1.4403999999999999</v>
      </c>
      <c r="I1114"/>
      <c r="J1114"/>
      <c r="K1114"/>
      <c r="N1114">
        <v>0.02</v>
      </c>
      <c r="O1114" s="3">
        <v>0</v>
      </c>
      <c r="P1114">
        <v>50</v>
      </c>
      <c r="Q1114">
        <v>6.6</v>
      </c>
      <c r="R1114" t="s">
        <v>102</v>
      </c>
      <c r="S1114">
        <v>0</v>
      </c>
      <c r="T1114" s="6">
        <f>10^-(14-Q1114)</f>
        <v>3.981071705534957E-8</v>
      </c>
      <c r="U1114" s="6">
        <v>0</v>
      </c>
      <c r="V1114" s="6">
        <v>0</v>
      </c>
      <c r="W1114" s="6">
        <v>0</v>
      </c>
      <c r="X1114" s="6">
        <v>0</v>
      </c>
      <c r="Y1114" t="s">
        <v>171</v>
      </c>
      <c r="AA1114"/>
      <c r="AB1114"/>
      <c r="AC1114"/>
      <c r="AE1114">
        <v>520</v>
      </c>
      <c r="AF1114">
        <v>1</v>
      </c>
      <c r="AG1114" s="9">
        <v>1.4999999999999999E-2</v>
      </c>
      <c r="AH1114" s="9">
        <v>1.29</v>
      </c>
      <c r="AI1114" s="9">
        <v>0.44</v>
      </c>
      <c r="AJ1114" s="9">
        <v>3.4000000000000002E-2</v>
      </c>
      <c r="AK1114" s="9">
        <v>2E-3</v>
      </c>
      <c r="AL1114" s="9">
        <v>16.7</v>
      </c>
      <c r="AM1114" s="9">
        <v>10.02</v>
      </c>
      <c r="AN1114" s="9">
        <v>2.02</v>
      </c>
      <c r="AO1114" s="9">
        <v>3.7999999999999999E-2</v>
      </c>
      <c r="AQ1114" s="1"/>
    </row>
    <row r="1115" spans="1:43" x14ac:dyDescent="0.3">
      <c r="A1115" t="s">
        <v>1445</v>
      </c>
      <c r="B1115" s="8" t="s">
        <v>1592</v>
      </c>
      <c r="C1115">
        <v>60</v>
      </c>
      <c r="D1115" s="8">
        <v>1.4403999999999999</v>
      </c>
      <c r="I1115"/>
      <c r="J1115"/>
      <c r="K1115"/>
      <c r="N1115">
        <v>0.5</v>
      </c>
      <c r="O1115" s="3">
        <v>0</v>
      </c>
      <c r="P1115">
        <v>50</v>
      </c>
      <c r="Q1115">
        <v>6.6</v>
      </c>
      <c r="R1115" t="s">
        <v>102</v>
      </c>
      <c r="S1115">
        <v>0</v>
      </c>
      <c r="T1115" s="6">
        <f>10^-(14-Q1115)</f>
        <v>3.981071705534957E-8</v>
      </c>
      <c r="U1115" s="6">
        <v>0</v>
      </c>
      <c r="V1115" s="6">
        <v>0</v>
      </c>
      <c r="W1115" s="6">
        <v>0</v>
      </c>
      <c r="X1115" s="6">
        <v>0</v>
      </c>
      <c r="Y1115" t="s">
        <v>171</v>
      </c>
      <c r="AA1115"/>
      <c r="AB1115"/>
      <c r="AC1115"/>
      <c r="AE1115">
        <v>430</v>
      </c>
      <c r="AF1115">
        <v>1</v>
      </c>
      <c r="AG1115" s="9">
        <v>1.4999999999999999E-2</v>
      </c>
      <c r="AH1115" s="9">
        <v>1.29</v>
      </c>
      <c r="AI1115" s="9">
        <v>0.44</v>
      </c>
      <c r="AJ1115" s="9">
        <v>3.4000000000000002E-2</v>
      </c>
      <c r="AK1115" s="9">
        <v>2E-3</v>
      </c>
      <c r="AL1115" s="9">
        <v>16.7</v>
      </c>
      <c r="AM1115" s="9">
        <v>10.02</v>
      </c>
      <c r="AN1115" s="9">
        <v>2.02</v>
      </c>
      <c r="AO1115" s="9">
        <v>3.7999999999999999E-2</v>
      </c>
      <c r="AQ1115" s="1"/>
    </row>
    <row r="1116" spans="1:43" x14ac:dyDescent="0.3">
      <c r="A1116" t="s">
        <v>1450</v>
      </c>
      <c r="B1116" s="8" t="s">
        <v>1592</v>
      </c>
      <c r="C1116">
        <v>60</v>
      </c>
      <c r="D1116" s="8">
        <v>1.4403999999999999</v>
      </c>
      <c r="I1116"/>
      <c r="J1116"/>
      <c r="K1116"/>
      <c r="N1116">
        <v>0.5</v>
      </c>
      <c r="O1116" s="3">
        <v>0</v>
      </c>
      <c r="P1116">
        <v>23</v>
      </c>
      <c r="Q1116">
        <v>6.6</v>
      </c>
      <c r="R1116" t="s">
        <v>102</v>
      </c>
      <c r="S1116">
        <v>0</v>
      </c>
      <c r="T1116" s="6">
        <f>10^-(14-Q1116)</f>
        <v>3.981071705534957E-8</v>
      </c>
      <c r="U1116" s="6">
        <v>0</v>
      </c>
      <c r="V1116" s="6">
        <v>0</v>
      </c>
      <c r="W1116" s="6">
        <v>0</v>
      </c>
      <c r="X1116" s="6">
        <v>0</v>
      </c>
      <c r="Y1116" t="s">
        <v>171</v>
      </c>
      <c r="AA1116"/>
      <c r="AB1116"/>
      <c r="AC1116"/>
      <c r="AE1116">
        <v>480</v>
      </c>
      <c r="AF1116">
        <v>1</v>
      </c>
      <c r="AG1116" s="9">
        <v>1.4999999999999999E-2</v>
      </c>
      <c r="AH1116" s="9">
        <v>1.29</v>
      </c>
      <c r="AI1116" s="9">
        <v>0.44</v>
      </c>
      <c r="AJ1116" s="9">
        <v>3.4000000000000002E-2</v>
      </c>
      <c r="AK1116" s="9">
        <v>2E-3</v>
      </c>
      <c r="AL1116" s="9">
        <v>16.7</v>
      </c>
      <c r="AM1116" s="9">
        <v>10.02</v>
      </c>
      <c r="AN1116" s="9">
        <v>2.02</v>
      </c>
      <c r="AO1116" s="9">
        <v>3.7999999999999999E-2</v>
      </c>
      <c r="AQ1116" s="1"/>
    </row>
    <row r="1117" spans="1:43" x14ac:dyDescent="0.3">
      <c r="A1117" t="s">
        <v>1456</v>
      </c>
      <c r="B1117" s="8" t="s">
        <v>1592</v>
      </c>
      <c r="C1117">
        <v>60</v>
      </c>
      <c r="D1117" s="8">
        <v>1.4403999999999999</v>
      </c>
      <c r="I1117"/>
      <c r="J1117"/>
      <c r="K1117"/>
      <c r="N1117">
        <v>0.5</v>
      </c>
      <c r="O1117" s="3">
        <v>0</v>
      </c>
      <c r="P1117">
        <v>50</v>
      </c>
      <c r="Q1117">
        <v>6.6</v>
      </c>
      <c r="R1117" t="s">
        <v>102</v>
      </c>
      <c r="S1117">
        <v>0</v>
      </c>
      <c r="T1117" s="6">
        <f>10^-(14-Q1117)</f>
        <v>3.981071705534957E-8</v>
      </c>
      <c r="U1117" s="6">
        <v>0</v>
      </c>
      <c r="V1117" s="6">
        <v>0</v>
      </c>
      <c r="W1117" s="6">
        <v>0</v>
      </c>
      <c r="X1117" s="6">
        <v>0</v>
      </c>
      <c r="Y1117" t="s">
        <v>171</v>
      </c>
      <c r="AA1117"/>
      <c r="AB1117"/>
      <c r="AC1117"/>
      <c r="AE1117">
        <v>290</v>
      </c>
      <c r="AF1117">
        <v>1</v>
      </c>
      <c r="AG1117" s="9">
        <v>1.4999999999999999E-2</v>
      </c>
      <c r="AH1117" s="9">
        <v>1.29</v>
      </c>
      <c r="AI1117" s="9">
        <v>0.44</v>
      </c>
      <c r="AJ1117" s="9">
        <v>3.4000000000000002E-2</v>
      </c>
      <c r="AK1117" s="9">
        <v>2E-3</v>
      </c>
      <c r="AL1117" s="9">
        <v>16.7</v>
      </c>
      <c r="AM1117" s="9">
        <v>10.02</v>
      </c>
      <c r="AN1117" s="9">
        <v>2.02</v>
      </c>
      <c r="AO1117" s="9">
        <v>3.7999999999999999E-2</v>
      </c>
      <c r="AQ1117" s="1"/>
    </row>
    <row r="1118" spans="1:43" x14ac:dyDescent="0.3">
      <c r="A1118" t="s">
        <v>1409</v>
      </c>
      <c r="B1118" s="8" t="s">
        <v>1592</v>
      </c>
      <c r="C1118">
        <v>60</v>
      </c>
      <c r="D1118" s="8">
        <v>1.4016</v>
      </c>
      <c r="I1118"/>
      <c r="J1118"/>
      <c r="K1118"/>
      <c r="N1118">
        <v>0.02</v>
      </c>
      <c r="O1118" s="3">
        <v>0</v>
      </c>
      <c r="P1118">
        <v>23</v>
      </c>
      <c r="Q1118">
        <v>6.6</v>
      </c>
      <c r="R1118" t="s">
        <v>102</v>
      </c>
      <c r="S1118">
        <v>0</v>
      </c>
      <c r="T1118" s="6">
        <f>10^-(14-Q1118)</f>
        <v>3.981071705534957E-8</v>
      </c>
      <c r="U1118" s="6">
        <v>0</v>
      </c>
      <c r="V1118" s="6">
        <v>0</v>
      </c>
      <c r="W1118" s="6">
        <v>0</v>
      </c>
      <c r="X1118" s="6">
        <v>0</v>
      </c>
      <c r="Y1118" t="s">
        <v>171</v>
      </c>
      <c r="AA1118"/>
      <c r="AB1118"/>
      <c r="AC1118"/>
      <c r="AE1118">
        <v>395</v>
      </c>
      <c r="AF1118">
        <v>1</v>
      </c>
      <c r="AL1118" s="9">
        <v>17</v>
      </c>
      <c r="AM1118" s="9">
        <v>0</v>
      </c>
      <c r="AN1118" s="9" t="s">
        <v>987</v>
      </c>
      <c r="AO1118" s="9" t="s">
        <v>987</v>
      </c>
      <c r="AQ1118" s="1"/>
    </row>
    <row r="1119" spans="1:43" x14ac:dyDescent="0.3">
      <c r="A1119" t="s">
        <v>1410</v>
      </c>
      <c r="B1119" s="8" t="s">
        <v>1592</v>
      </c>
      <c r="C1119">
        <v>60</v>
      </c>
      <c r="D1119" s="8" t="s">
        <v>1635</v>
      </c>
      <c r="I1119"/>
      <c r="J1119"/>
      <c r="K1119"/>
      <c r="N1119">
        <v>0.02</v>
      </c>
      <c r="O1119" s="3">
        <v>0</v>
      </c>
      <c r="P1119">
        <v>23</v>
      </c>
      <c r="Q1119">
        <v>6.6</v>
      </c>
      <c r="R1119" t="s">
        <v>102</v>
      </c>
      <c r="S1119">
        <v>0</v>
      </c>
      <c r="T1119" s="6">
        <f>10^-(14-Q1119)</f>
        <v>3.981071705534957E-8</v>
      </c>
      <c r="U1119" s="6">
        <v>0</v>
      </c>
      <c r="V1119" s="6">
        <v>0</v>
      </c>
      <c r="W1119" s="6">
        <v>0</v>
      </c>
      <c r="X1119" s="6">
        <v>0</v>
      </c>
      <c r="Y1119" t="s">
        <v>171</v>
      </c>
      <c r="AA1119"/>
      <c r="AB1119"/>
      <c r="AC1119"/>
      <c r="AE1119">
        <v>470</v>
      </c>
      <c r="AF1119">
        <v>1</v>
      </c>
      <c r="AL1119" s="9">
        <v>17</v>
      </c>
      <c r="AM1119" s="9">
        <v>0</v>
      </c>
      <c r="AN1119" s="9" t="s">
        <v>987</v>
      </c>
      <c r="AO1119" s="9" t="s">
        <v>987</v>
      </c>
      <c r="AQ1119" s="1"/>
    </row>
    <row r="1120" spans="1:43" x14ac:dyDescent="0.3">
      <c r="A1120" t="s">
        <v>1412</v>
      </c>
      <c r="B1120" s="8" t="s">
        <v>1592</v>
      </c>
      <c r="C1120">
        <v>60</v>
      </c>
      <c r="D1120" s="8">
        <v>1.4525999999999999</v>
      </c>
      <c r="I1120"/>
      <c r="J1120"/>
      <c r="K1120"/>
      <c r="N1120">
        <v>0.02</v>
      </c>
      <c r="O1120" s="3">
        <v>0</v>
      </c>
      <c r="P1120">
        <v>23</v>
      </c>
      <c r="Q1120">
        <v>6.6</v>
      </c>
      <c r="R1120" t="s">
        <v>102</v>
      </c>
      <c r="S1120">
        <v>0</v>
      </c>
      <c r="T1120" s="6">
        <f>10^-(14-Q1120)</f>
        <v>3.981071705534957E-8</v>
      </c>
      <c r="U1120" s="6">
        <v>0</v>
      </c>
      <c r="V1120" s="6">
        <v>0</v>
      </c>
      <c r="W1120" s="6">
        <v>0</v>
      </c>
      <c r="X1120" s="6">
        <v>0</v>
      </c>
      <c r="Y1120" t="s">
        <v>171</v>
      </c>
      <c r="AA1120"/>
      <c r="AB1120"/>
      <c r="AC1120"/>
      <c r="AE1120">
        <v>560</v>
      </c>
      <c r="AF1120">
        <v>1</v>
      </c>
      <c r="AL1120" s="9">
        <v>17</v>
      </c>
      <c r="AM1120" s="9">
        <v>1.1000000000000001</v>
      </c>
      <c r="AN1120" s="9" t="s">
        <v>987</v>
      </c>
      <c r="AO1120" s="9" t="s">
        <v>987</v>
      </c>
      <c r="AQ1120" s="1"/>
    </row>
    <row r="1121" spans="1:43" x14ac:dyDescent="0.3">
      <c r="A1121" t="s">
        <v>1417</v>
      </c>
      <c r="B1121" s="8" t="s">
        <v>1592</v>
      </c>
      <c r="C1121">
        <v>60</v>
      </c>
      <c r="D1121" s="8">
        <v>1.4618</v>
      </c>
      <c r="I1121"/>
      <c r="J1121"/>
      <c r="K1121"/>
      <c r="N1121">
        <v>0.02</v>
      </c>
      <c r="O1121" s="3">
        <v>0</v>
      </c>
      <c r="P1121">
        <v>23</v>
      </c>
      <c r="Q1121">
        <v>6.6</v>
      </c>
      <c r="R1121" t="s">
        <v>102</v>
      </c>
      <c r="S1121">
        <v>0</v>
      </c>
      <c r="T1121" s="6">
        <f>10^-(14-Q1121)</f>
        <v>3.981071705534957E-8</v>
      </c>
      <c r="U1121" s="6">
        <v>0</v>
      </c>
      <c r="V1121" s="6">
        <v>0</v>
      </c>
      <c r="W1121" s="6">
        <v>0</v>
      </c>
      <c r="X1121" s="6">
        <v>0</v>
      </c>
      <c r="Y1121" t="s">
        <v>171</v>
      </c>
      <c r="AA1121"/>
      <c r="AB1121"/>
      <c r="AC1121"/>
      <c r="AE1121">
        <v>510</v>
      </c>
      <c r="AF1121">
        <v>1</v>
      </c>
      <c r="AH1121" s="9">
        <v>7.5</v>
      </c>
      <c r="AL1121" s="9">
        <v>17</v>
      </c>
      <c r="AM1121" s="9">
        <v>5</v>
      </c>
      <c r="AN1121" s="9" t="s">
        <v>987</v>
      </c>
      <c r="AO1121" s="9" t="s">
        <v>987</v>
      </c>
      <c r="AQ1121" s="1"/>
    </row>
    <row r="1122" spans="1:43" x14ac:dyDescent="0.3">
      <c r="A1122" t="s">
        <v>1418</v>
      </c>
      <c r="B1122" s="8" t="s">
        <v>1592</v>
      </c>
      <c r="C1122">
        <v>60</v>
      </c>
      <c r="D1122" s="8" t="s">
        <v>1636</v>
      </c>
      <c r="I1122"/>
      <c r="J1122"/>
      <c r="K1122"/>
      <c r="N1122">
        <v>0.02</v>
      </c>
      <c r="O1122" s="3">
        <v>0</v>
      </c>
      <c r="P1122">
        <v>23</v>
      </c>
      <c r="Q1122">
        <v>6.6</v>
      </c>
      <c r="R1122" t="s">
        <v>102</v>
      </c>
      <c r="S1122">
        <v>0</v>
      </c>
      <c r="T1122" s="6">
        <f>10^-(14-Q1122)</f>
        <v>3.981071705534957E-8</v>
      </c>
      <c r="U1122" s="6">
        <v>0</v>
      </c>
      <c r="V1122" s="6">
        <v>0</v>
      </c>
      <c r="W1122" s="6">
        <v>0</v>
      </c>
      <c r="X1122" s="6">
        <v>0</v>
      </c>
      <c r="Y1122" t="s">
        <v>171</v>
      </c>
      <c r="AA1122"/>
      <c r="AB1122"/>
      <c r="AC1122"/>
      <c r="AE1122">
        <v>540</v>
      </c>
      <c r="AF1122">
        <v>1</v>
      </c>
      <c r="AG1122" s="9">
        <v>0.1</v>
      </c>
      <c r="AL1122" s="9">
        <v>17</v>
      </c>
      <c r="AM1122" s="9">
        <v>8</v>
      </c>
      <c r="AN1122" s="9" t="s">
        <v>987</v>
      </c>
      <c r="AO1122" s="9" t="s">
        <v>987</v>
      </c>
      <c r="AQ1122" s="1"/>
    </row>
    <row r="1123" spans="1:43" x14ac:dyDescent="0.3">
      <c r="A1123" t="s">
        <v>1427</v>
      </c>
      <c r="B1123" s="8" t="s">
        <v>1592</v>
      </c>
      <c r="C1123">
        <v>60</v>
      </c>
      <c r="D1123" s="8">
        <v>1.4016</v>
      </c>
      <c r="I1123"/>
      <c r="J1123"/>
      <c r="K1123"/>
      <c r="N1123">
        <v>0.02</v>
      </c>
      <c r="O1123" s="3">
        <v>0</v>
      </c>
      <c r="P1123">
        <v>50</v>
      </c>
      <c r="Q1123">
        <v>6.6</v>
      </c>
      <c r="R1123" t="s">
        <v>102</v>
      </c>
      <c r="S1123">
        <v>0</v>
      </c>
      <c r="T1123" s="6">
        <f>10^-(14-Q1123)</f>
        <v>3.981071705534957E-8</v>
      </c>
      <c r="U1123" s="6">
        <v>0</v>
      </c>
      <c r="V1123" s="6">
        <v>0</v>
      </c>
      <c r="W1123" s="6">
        <v>0</v>
      </c>
      <c r="X1123" s="6">
        <v>0</v>
      </c>
      <c r="Y1123" t="s">
        <v>171</v>
      </c>
      <c r="AA1123"/>
      <c r="AB1123"/>
      <c r="AC1123"/>
      <c r="AE1123">
        <v>270</v>
      </c>
      <c r="AF1123">
        <v>1</v>
      </c>
      <c r="AL1123" s="9">
        <v>17</v>
      </c>
      <c r="AM1123" s="9">
        <v>0</v>
      </c>
      <c r="AN1123" s="9" t="s">
        <v>987</v>
      </c>
      <c r="AO1123" s="9" t="s">
        <v>987</v>
      </c>
      <c r="AQ1123" s="1"/>
    </row>
    <row r="1124" spans="1:43" x14ac:dyDescent="0.3">
      <c r="A1124" t="s">
        <v>1428</v>
      </c>
      <c r="B1124" s="8" t="s">
        <v>1592</v>
      </c>
      <c r="C1124">
        <v>60</v>
      </c>
      <c r="D1124" s="8">
        <v>1.4016999999999999</v>
      </c>
      <c r="I1124"/>
      <c r="J1124"/>
      <c r="K1124"/>
      <c r="N1124">
        <v>0.02</v>
      </c>
      <c r="O1124" s="3">
        <v>0</v>
      </c>
      <c r="P1124">
        <v>50</v>
      </c>
      <c r="Q1124">
        <v>6.6</v>
      </c>
      <c r="R1124" t="s">
        <v>102</v>
      </c>
      <c r="S1124">
        <v>0</v>
      </c>
      <c r="T1124" s="6">
        <f>10^-(14-Q1124)</f>
        <v>3.981071705534957E-8</v>
      </c>
      <c r="U1124" s="6">
        <v>0</v>
      </c>
      <c r="V1124" s="6">
        <v>0</v>
      </c>
      <c r="W1124" s="6">
        <v>0</v>
      </c>
      <c r="X1124" s="6">
        <v>0</v>
      </c>
      <c r="Y1124" t="s">
        <v>171</v>
      </c>
      <c r="AA1124"/>
      <c r="AB1124"/>
      <c r="AC1124"/>
      <c r="AE1124">
        <v>270</v>
      </c>
      <c r="AF1124">
        <v>1</v>
      </c>
      <c r="AL1124" s="9">
        <v>17</v>
      </c>
      <c r="AM1124" s="9">
        <v>1.4</v>
      </c>
      <c r="AN1124" s="9" t="s">
        <v>987</v>
      </c>
      <c r="AO1124" s="9" t="s">
        <v>987</v>
      </c>
      <c r="AQ1124" s="1"/>
    </row>
    <row r="1125" spans="1:43" x14ac:dyDescent="0.3">
      <c r="A1125" t="s">
        <v>1429</v>
      </c>
      <c r="B1125" s="8" t="s">
        <v>1592</v>
      </c>
      <c r="C1125">
        <v>60</v>
      </c>
      <c r="D1125" s="8" t="s">
        <v>1635</v>
      </c>
      <c r="I1125"/>
      <c r="J1125"/>
      <c r="K1125"/>
      <c r="N1125">
        <v>0.02</v>
      </c>
      <c r="O1125" s="3">
        <v>0</v>
      </c>
      <c r="P1125">
        <v>50</v>
      </c>
      <c r="Q1125">
        <v>6.6</v>
      </c>
      <c r="R1125" t="s">
        <v>102</v>
      </c>
      <c r="S1125">
        <v>0</v>
      </c>
      <c r="T1125" s="6">
        <f>10^-(14-Q1125)</f>
        <v>3.981071705534957E-8</v>
      </c>
      <c r="U1125" s="6">
        <v>0</v>
      </c>
      <c r="V1125" s="6">
        <v>0</v>
      </c>
      <c r="W1125" s="6">
        <v>0</v>
      </c>
      <c r="X1125" s="6">
        <v>0</v>
      </c>
      <c r="Y1125" t="s">
        <v>171</v>
      </c>
      <c r="AA1125"/>
      <c r="AB1125"/>
      <c r="AC1125"/>
      <c r="AE1125">
        <v>350</v>
      </c>
      <c r="AF1125">
        <v>1</v>
      </c>
      <c r="AL1125" s="9">
        <v>17</v>
      </c>
      <c r="AM1125" s="9">
        <v>0</v>
      </c>
      <c r="AN1125" s="9" t="s">
        <v>987</v>
      </c>
      <c r="AO1125" s="9" t="s">
        <v>987</v>
      </c>
      <c r="AQ1125" s="1"/>
    </row>
    <row r="1126" spans="1:43" x14ac:dyDescent="0.3">
      <c r="A1126" t="s">
        <v>1431</v>
      </c>
      <c r="B1126" s="8" t="s">
        <v>1592</v>
      </c>
      <c r="C1126">
        <v>60</v>
      </c>
      <c r="D1126" s="8">
        <v>1.4525999999999999</v>
      </c>
      <c r="I1126"/>
      <c r="J1126"/>
      <c r="K1126"/>
      <c r="N1126">
        <v>0.02</v>
      </c>
      <c r="O1126" s="3">
        <v>0</v>
      </c>
      <c r="P1126">
        <v>50</v>
      </c>
      <c r="Q1126">
        <v>6.6</v>
      </c>
      <c r="R1126" t="s">
        <v>102</v>
      </c>
      <c r="S1126">
        <v>0</v>
      </c>
      <c r="T1126" s="6">
        <f>10^-(14-Q1126)</f>
        <v>3.981071705534957E-8</v>
      </c>
      <c r="U1126" s="6">
        <v>0</v>
      </c>
      <c r="V1126" s="6">
        <v>0</v>
      </c>
      <c r="W1126" s="6">
        <v>0</v>
      </c>
      <c r="X1126" s="6">
        <v>0</v>
      </c>
      <c r="Y1126" t="s">
        <v>171</v>
      </c>
      <c r="AA1126"/>
      <c r="AB1126"/>
      <c r="AC1126"/>
      <c r="AE1126">
        <v>400</v>
      </c>
      <c r="AF1126">
        <v>1</v>
      </c>
      <c r="AL1126" s="9">
        <v>17</v>
      </c>
      <c r="AM1126" s="9">
        <v>1.1000000000000001</v>
      </c>
      <c r="AN1126" s="9" t="s">
        <v>987</v>
      </c>
      <c r="AO1126" s="9" t="s">
        <v>987</v>
      </c>
      <c r="AQ1126" s="1"/>
    </row>
    <row r="1127" spans="1:43" x14ac:dyDescent="0.3">
      <c r="A1127" t="s">
        <v>1438</v>
      </c>
      <c r="B1127" s="8" t="s">
        <v>1592</v>
      </c>
      <c r="C1127">
        <v>60</v>
      </c>
      <c r="D1127" s="8">
        <v>1.4016</v>
      </c>
      <c r="I1127"/>
      <c r="J1127"/>
      <c r="K1127"/>
      <c r="N1127">
        <v>0.5</v>
      </c>
      <c r="O1127" s="3">
        <v>0</v>
      </c>
      <c r="P1127">
        <v>50</v>
      </c>
      <c r="Q1127">
        <v>6.6</v>
      </c>
      <c r="R1127" t="s">
        <v>102</v>
      </c>
      <c r="S1127">
        <v>0</v>
      </c>
      <c r="T1127" s="6">
        <f>10^-(14-Q1127)</f>
        <v>3.981071705534957E-8</v>
      </c>
      <c r="U1127" s="6">
        <v>0</v>
      </c>
      <c r="V1127" s="6">
        <v>0</v>
      </c>
      <c r="W1127" s="6">
        <v>0</v>
      </c>
      <c r="X1127" s="6">
        <v>0</v>
      </c>
      <c r="Y1127" t="s">
        <v>171</v>
      </c>
      <c r="AA1127"/>
      <c r="AB1127"/>
      <c r="AC1127"/>
      <c r="AE1127">
        <v>130</v>
      </c>
      <c r="AF1127">
        <v>1</v>
      </c>
      <c r="AL1127" s="9">
        <v>17</v>
      </c>
      <c r="AM1127" s="9">
        <v>0</v>
      </c>
      <c r="AN1127" s="9" t="s">
        <v>987</v>
      </c>
      <c r="AO1127" s="9" t="s">
        <v>987</v>
      </c>
      <c r="AQ1127" s="1"/>
    </row>
    <row r="1128" spans="1:43" x14ac:dyDescent="0.3">
      <c r="A1128" t="s">
        <v>1439</v>
      </c>
      <c r="B1128" s="8" t="s">
        <v>1592</v>
      </c>
      <c r="C1128">
        <v>60</v>
      </c>
      <c r="D1128" s="8">
        <v>1.4016999999999999</v>
      </c>
      <c r="I1128"/>
      <c r="J1128"/>
      <c r="K1128"/>
      <c r="N1128">
        <v>0.5</v>
      </c>
      <c r="O1128" s="3">
        <v>0</v>
      </c>
      <c r="P1128">
        <v>50</v>
      </c>
      <c r="Q1128">
        <v>6.6</v>
      </c>
      <c r="R1128" t="s">
        <v>102</v>
      </c>
      <c r="S1128">
        <v>0</v>
      </c>
      <c r="T1128" s="6">
        <f>10^-(14-Q1128)</f>
        <v>3.981071705534957E-8</v>
      </c>
      <c r="U1128" s="6">
        <v>0</v>
      </c>
      <c r="V1128" s="6">
        <v>0</v>
      </c>
      <c r="W1128" s="6">
        <v>0</v>
      </c>
      <c r="X1128" s="6">
        <v>0</v>
      </c>
      <c r="Y1128" t="s">
        <v>171</v>
      </c>
      <c r="AA1128"/>
      <c r="AB1128"/>
      <c r="AC1128"/>
      <c r="AE1128">
        <v>130</v>
      </c>
      <c r="AF1128">
        <v>1</v>
      </c>
      <c r="AL1128" s="9">
        <v>17</v>
      </c>
      <c r="AM1128" s="9">
        <v>1.4</v>
      </c>
      <c r="AN1128" s="9" t="s">
        <v>987</v>
      </c>
      <c r="AO1128" s="9" t="s">
        <v>987</v>
      </c>
      <c r="AQ1128" s="1"/>
    </row>
    <row r="1129" spans="1:43" x14ac:dyDescent="0.3">
      <c r="A1129" t="s">
        <v>1442</v>
      </c>
      <c r="B1129" s="8" t="s">
        <v>1592</v>
      </c>
      <c r="C1129">
        <v>60</v>
      </c>
      <c r="D1129" s="8">
        <v>1.4525999999999999</v>
      </c>
      <c r="I1129"/>
      <c r="J1129"/>
      <c r="K1129"/>
      <c r="N1129">
        <v>0.5</v>
      </c>
      <c r="O1129" s="3">
        <v>0</v>
      </c>
      <c r="P1129">
        <v>50</v>
      </c>
      <c r="Q1129">
        <v>6.6</v>
      </c>
      <c r="R1129" t="s">
        <v>102</v>
      </c>
      <c r="S1129">
        <v>0</v>
      </c>
      <c r="T1129" s="6">
        <f>10^-(14-Q1129)</f>
        <v>3.981071705534957E-8</v>
      </c>
      <c r="U1129" s="6">
        <v>0</v>
      </c>
      <c r="V1129" s="6">
        <v>0</v>
      </c>
      <c r="W1129" s="6">
        <v>0</v>
      </c>
      <c r="X1129" s="6">
        <v>0</v>
      </c>
      <c r="Y1129" t="s">
        <v>171</v>
      </c>
      <c r="AA1129"/>
      <c r="AB1129"/>
      <c r="AC1129"/>
      <c r="AE1129">
        <v>295</v>
      </c>
      <c r="AF1129">
        <v>1</v>
      </c>
      <c r="AL1129" s="9">
        <v>17</v>
      </c>
      <c r="AM1129" s="9">
        <v>1.1000000000000001</v>
      </c>
      <c r="AN1129" s="9" t="s">
        <v>987</v>
      </c>
      <c r="AO1129" s="9" t="s">
        <v>987</v>
      </c>
      <c r="AQ1129" s="1"/>
    </row>
    <row r="1130" spans="1:43" x14ac:dyDescent="0.3">
      <c r="A1130" t="s">
        <v>168</v>
      </c>
      <c r="B1130" s="8" t="s">
        <v>1592</v>
      </c>
      <c r="C1130">
        <v>60</v>
      </c>
      <c r="D1130" s="8">
        <v>1.4403999999999999</v>
      </c>
      <c r="H1130" t="s">
        <v>987</v>
      </c>
      <c r="L1130" t="s">
        <v>140</v>
      </c>
      <c r="M1130" t="s">
        <v>171</v>
      </c>
      <c r="N1130" s="3">
        <v>0.02</v>
      </c>
      <c r="O1130" s="3">
        <v>0</v>
      </c>
      <c r="P1130">
        <v>22.5</v>
      </c>
      <c r="Q1130">
        <v>6.5</v>
      </c>
      <c r="R1130" t="s">
        <v>102</v>
      </c>
      <c r="S1130">
        <v>0</v>
      </c>
      <c r="T1130" s="6">
        <f>10^-(14-Q1130)</f>
        <v>3.1622776601683699E-8</v>
      </c>
      <c r="U1130" s="6">
        <v>0</v>
      </c>
      <c r="V1130" s="6">
        <v>0</v>
      </c>
      <c r="W1130" s="6">
        <v>0</v>
      </c>
      <c r="X1130" s="6">
        <v>0</v>
      </c>
      <c r="Y1130" t="s">
        <v>171</v>
      </c>
      <c r="AE1130">
        <v>630</v>
      </c>
      <c r="AF1130">
        <v>1</v>
      </c>
      <c r="AL1130" s="9">
        <v>17.5</v>
      </c>
      <c r="AM1130" s="9">
        <v>11</v>
      </c>
      <c r="AN1130" s="9">
        <v>2.5</v>
      </c>
      <c r="AQ1130" s="1"/>
    </row>
    <row r="1131" spans="1:43" x14ac:dyDescent="0.3">
      <c r="A1131" t="s">
        <v>169</v>
      </c>
      <c r="B1131" s="8" t="s">
        <v>1592</v>
      </c>
      <c r="C1131">
        <v>60</v>
      </c>
      <c r="D1131" s="8">
        <v>1.4403999999999999</v>
      </c>
      <c r="H1131" t="s">
        <v>987</v>
      </c>
      <c r="L1131" t="s">
        <v>140</v>
      </c>
      <c r="M1131" t="s">
        <v>171</v>
      </c>
      <c r="N1131" s="3">
        <v>0.5</v>
      </c>
      <c r="O1131" s="3">
        <v>0</v>
      </c>
      <c r="P1131">
        <v>22.5</v>
      </c>
      <c r="Q1131">
        <v>6.5</v>
      </c>
      <c r="R1131" t="s">
        <v>102</v>
      </c>
      <c r="S1131">
        <v>0</v>
      </c>
      <c r="T1131" s="6">
        <f>10^-(14-Q1131)</f>
        <v>3.1622776601683699E-8</v>
      </c>
      <c r="U1131" s="6">
        <v>0</v>
      </c>
      <c r="V1131" s="6">
        <v>0</v>
      </c>
      <c r="W1131" s="6">
        <v>0</v>
      </c>
      <c r="X1131" s="6">
        <v>0</v>
      </c>
      <c r="Y1131" t="s">
        <v>171</v>
      </c>
      <c r="AE1131">
        <v>520</v>
      </c>
      <c r="AF1131">
        <v>1</v>
      </c>
      <c r="AL1131" s="9">
        <v>17.5</v>
      </c>
      <c r="AM1131" s="9">
        <v>11</v>
      </c>
      <c r="AN1131" s="9">
        <v>2.5</v>
      </c>
      <c r="AQ1131" s="1"/>
    </row>
    <row r="1132" spans="1:43" x14ac:dyDescent="0.3">
      <c r="A1132" t="s">
        <v>170</v>
      </c>
      <c r="B1132" s="8" t="s">
        <v>1592</v>
      </c>
      <c r="C1132">
        <v>60</v>
      </c>
      <c r="D1132" s="8">
        <v>1.4403999999999999</v>
      </c>
      <c r="H1132" t="s">
        <v>987</v>
      </c>
      <c r="L1132" t="s">
        <v>140</v>
      </c>
      <c r="M1132" t="s">
        <v>171</v>
      </c>
      <c r="N1132" s="3">
        <v>0.5</v>
      </c>
      <c r="O1132" s="3">
        <v>0</v>
      </c>
      <c r="P1132">
        <v>50</v>
      </c>
      <c r="Q1132">
        <v>6.5</v>
      </c>
      <c r="R1132" t="s">
        <v>102</v>
      </c>
      <c r="S1132">
        <v>0</v>
      </c>
      <c r="T1132" s="6">
        <f>10^-(14-Q1132)</f>
        <v>3.1622776601683699E-8</v>
      </c>
      <c r="U1132" s="6">
        <v>0</v>
      </c>
      <c r="V1132" s="6">
        <v>0</v>
      </c>
      <c r="W1132" s="6">
        <v>0</v>
      </c>
      <c r="X1132" s="6">
        <v>0</v>
      </c>
      <c r="Y1132" t="s">
        <v>171</v>
      </c>
      <c r="AE1132">
        <v>450</v>
      </c>
      <c r="AF1132">
        <v>1</v>
      </c>
      <c r="AL1132" s="9">
        <v>17.5</v>
      </c>
      <c r="AM1132" s="9">
        <v>11</v>
      </c>
      <c r="AN1132" s="9">
        <v>2.5</v>
      </c>
      <c r="AQ1132" s="1"/>
    </row>
    <row r="1133" spans="1:43" x14ac:dyDescent="0.3">
      <c r="A1133" t="s">
        <v>1419</v>
      </c>
      <c r="B1133" s="8" t="s">
        <v>1592</v>
      </c>
      <c r="C1133">
        <v>60</v>
      </c>
      <c r="D1133" s="8">
        <v>1.4318</v>
      </c>
      <c r="I1133"/>
      <c r="J1133"/>
      <c r="K1133"/>
      <c r="N1133">
        <v>0.02</v>
      </c>
      <c r="O1133" s="3">
        <v>0</v>
      </c>
      <c r="P1133">
        <v>23</v>
      </c>
      <c r="Q1133">
        <v>6.6</v>
      </c>
      <c r="R1133" t="s">
        <v>102</v>
      </c>
      <c r="S1133">
        <v>0</v>
      </c>
      <c r="T1133" s="6">
        <f>10^-(14-Q1133)</f>
        <v>3.981071705534957E-8</v>
      </c>
      <c r="U1133" s="6">
        <v>0</v>
      </c>
      <c r="V1133" s="6">
        <v>0</v>
      </c>
      <c r="W1133" s="6">
        <v>0</v>
      </c>
      <c r="X1133" s="6">
        <v>0</v>
      </c>
      <c r="Y1133" t="s">
        <v>171</v>
      </c>
      <c r="AA1133"/>
      <c r="AB1133"/>
      <c r="AC1133"/>
      <c r="AE1133">
        <v>535</v>
      </c>
      <c r="AF1133">
        <v>1</v>
      </c>
      <c r="AG1133" s="9">
        <v>2.4E-2</v>
      </c>
      <c r="AH1133" s="9">
        <v>1.26</v>
      </c>
      <c r="AI1133" s="9">
        <v>0.45</v>
      </c>
      <c r="AJ1133" s="9">
        <v>2.7E-2</v>
      </c>
      <c r="AK1133" s="9">
        <v>2E-3</v>
      </c>
      <c r="AL1133" s="9">
        <v>17.5</v>
      </c>
      <c r="AM1133" s="9">
        <v>6.61</v>
      </c>
      <c r="AN1133" s="9">
        <v>0.09</v>
      </c>
      <c r="AO1133" s="9">
        <v>0.14499999999999999</v>
      </c>
      <c r="AQ1133" s="1"/>
    </row>
    <row r="1134" spans="1:43" x14ac:dyDescent="0.3">
      <c r="A1134" t="s">
        <v>1420</v>
      </c>
      <c r="B1134" s="8" t="s">
        <v>1592</v>
      </c>
      <c r="C1134">
        <v>60</v>
      </c>
      <c r="D1134" s="8">
        <v>1.4307000000000001</v>
      </c>
      <c r="I1134"/>
      <c r="J1134"/>
      <c r="K1134"/>
      <c r="N1134">
        <v>0.02</v>
      </c>
      <c r="O1134" s="3">
        <v>0</v>
      </c>
      <c r="P1134">
        <v>23</v>
      </c>
      <c r="Q1134">
        <v>6.6</v>
      </c>
      <c r="R1134" t="s">
        <v>102</v>
      </c>
      <c r="S1134">
        <v>0</v>
      </c>
      <c r="T1134" s="6">
        <f>10^-(14-Q1134)</f>
        <v>3.981071705534957E-8</v>
      </c>
      <c r="U1134" s="6">
        <v>0</v>
      </c>
      <c r="V1134" s="6">
        <v>0</v>
      </c>
      <c r="W1134" s="6">
        <v>0</v>
      </c>
      <c r="X1134" s="6">
        <v>0</v>
      </c>
      <c r="Y1134" t="s">
        <v>171</v>
      </c>
      <c r="AA1134"/>
      <c r="AB1134"/>
      <c r="AC1134"/>
      <c r="AE1134">
        <v>575</v>
      </c>
      <c r="AF1134">
        <v>1</v>
      </c>
      <c r="AL1134" s="9">
        <v>18</v>
      </c>
      <c r="AM1134" s="9">
        <v>8</v>
      </c>
      <c r="AN1134" s="9" t="s">
        <v>987</v>
      </c>
      <c r="AO1134" s="9" t="s">
        <v>987</v>
      </c>
      <c r="AQ1134" s="1"/>
    </row>
    <row r="1135" spans="1:43" x14ac:dyDescent="0.3">
      <c r="A1135" t="s">
        <v>1423</v>
      </c>
      <c r="B1135" s="8" t="s">
        <v>1592</v>
      </c>
      <c r="C1135">
        <v>60</v>
      </c>
      <c r="D1135" s="8">
        <v>1.4540999999999999</v>
      </c>
      <c r="I1135"/>
      <c r="J1135"/>
      <c r="K1135"/>
      <c r="N1135">
        <v>0.02</v>
      </c>
      <c r="O1135" s="3">
        <v>0</v>
      </c>
      <c r="P1135">
        <v>23</v>
      </c>
      <c r="Q1135">
        <v>6.6</v>
      </c>
      <c r="R1135" t="s">
        <v>102</v>
      </c>
      <c r="S1135">
        <v>0</v>
      </c>
      <c r="T1135" s="6">
        <f>10^-(14-Q1135)</f>
        <v>3.981071705534957E-8</v>
      </c>
      <c r="U1135" s="6">
        <v>0</v>
      </c>
      <c r="V1135" s="6">
        <v>0</v>
      </c>
      <c r="W1135" s="6">
        <v>0</v>
      </c>
      <c r="X1135" s="6">
        <v>0</v>
      </c>
      <c r="Y1135" t="s">
        <v>171</v>
      </c>
      <c r="AA1135"/>
      <c r="AB1135"/>
      <c r="AC1135"/>
      <c r="AE1135">
        <v>560</v>
      </c>
      <c r="AF1135">
        <v>1</v>
      </c>
      <c r="AL1135" s="9">
        <v>18</v>
      </c>
      <c r="AM1135" s="9">
        <v>8</v>
      </c>
      <c r="AN1135" s="9" t="s">
        <v>987</v>
      </c>
      <c r="AO1135" s="9" t="s">
        <v>987</v>
      </c>
      <c r="AQ1135" s="1"/>
    </row>
    <row r="1136" spans="1:43" x14ac:dyDescent="0.3">
      <c r="A1136" t="s">
        <v>1430</v>
      </c>
      <c r="B1136" s="8" t="s">
        <v>1592</v>
      </c>
      <c r="C1136">
        <v>60</v>
      </c>
      <c r="D1136" s="8">
        <v>1.4509000000000001</v>
      </c>
      <c r="I1136"/>
      <c r="J1136"/>
      <c r="K1136"/>
      <c r="N1136">
        <v>0.02</v>
      </c>
      <c r="O1136" s="3">
        <v>0</v>
      </c>
      <c r="P1136">
        <v>50</v>
      </c>
      <c r="Q1136">
        <v>6.6</v>
      </c>
      <c r="R1136" t="s">
        <v>102</v>
      </c>
      <c r="S1136">
        <v>0</v>
      </c>
      <c r="T1136" s="6">
        <f>10^-(14-Q1136)</f>
        <v>3.981071705534957E-8</v>
      </c>
      <c r="U1136" s="6">
        <v>0</v>
      </c>
      <c r="V1136" s="6">
        <v>0</v>
      </c>
      <c r="W1136" s="6">
        <v>0</v>
      </c>
      <c r="X1136" s="6">
        <v>0</v>
      </c>
      <c r="Y1136" t="s">
        <v>171</v>
      </c>
      <c r="AA1136"/>
      <c r="AB1136"/>
      <c r="AC1136"/>
      <c r="AE1136">
        <v>365</v>
      </c>
      <c r="AF1136">
        <v>1</v>
      </c>
      <c r="AG1136" s="9">
        <v>1.7999999999999999E-2</v>
      </c>
      <c r="AH1136" s="9">
        <v>0.36</v>
      </c>
      <c r="AI1136" s="9">
        <v>0.48</v>
      </c>
      <c r="AJ1136" s="9">
        <v>2.9000000000000001E-2</v>
      </c>
      <c r="AK1136" s="9">
        <v>1E-3</v>
      </c>
      <c r="AL1136" s="9">
        <v>18</v>
      </c>
      <c r="AM1136" s="9">
        <v>0.28999999999999998</v>
      </c>
      <c r="AN1136" s="9">
        <v>0.03</v>
      </c>
      <c r="AO1136" s="9">
        <v>2.1000000000000001E-2</v>
      </c>
      <c r="AQ1136" s="1"/>
    </row>
    <row r="1137" spans="1:43" x14ac:dyDescent="0.3">
      <c r="A1137" t="s">
        <v>1433</v>
      </c>
      <c r="B1137" s="8" t="s">
        <v>1592</v>
      </c>
      <c r="C1137">
        <v>60</v>
      </c>
      <c r="D1137" s="8">
        <v>1.4307000000000001</v>
      </c>
      <c r="I1137"/>
      <c r="J1137"/>
      <c r="K1137"/>
      <c r="N1137">
        <v>0.02</v>
      </c>
      <c r="O1137" s="3">
        <v>0</v>
      </c>
      <c r="P1137">
        <v>50</v>
      </c>
      <c r="Q1137">
        <v>6.6</v>
      </c>
      <c r="R1137" t="s">
        <v>102</v>
      </c>
      <c r="S1137">
        <v>0</v>
      </c>
      <c r="T1137" s="6">
        <f>10^-(14-Q1137)</f>
        <v>3.981071705534957E-8</v>
      </c>
      <c r="U1137" s="6">
        <v>0</v>
      </c>
      <c r="V1137" s="6">
        <v>0</v>
      </c>
      <c r="W1137" s="6">
        <v>0</v>
      </c>
      <c r="X1137" s="6">
        <v>0</v>
      </c>
      <c r="Y1137" t="s">
        <v>171</v>
      </c>
      <c r="AA1137"/>
      <c r="AB1137"/>
      <c r="AC1137"/>
      <c r="AE1137">
        <v>385</v>
      </c>
      <c r="AF1137">
        <v>1</v>
      </c>
      <c r="AL1137" s="9">
        <v>18</v>
      </c>
      <c r="AM1137" s="9">
        <v>8</v>
      </c>
      <c r="AN1137" s="9" t="s">
        <v>987</v>
      </c>
      <c r="AO1137" s="9" t="s">
        <v>987</v>
      </c>
      <c r="AQ1137" s="1"/>
    </row>
    <row r="1138" spans="1:43" x14ac:dyDescent="0.3">
      <c r="A1138" t="s">
        <v>1441</v>
      </c>
      <c r="B1138" s="8" t="s">
        <v>1592</v>
      </c>
      <c r="C1138">
        <v>60</v>
      </c>
      <c r="D1138" s="8">
        <v>1.4509000000000001</v>
      </c>
      <c r="I1138"/>
      <c r="J1138"/>
      <c r="K1138"/>
      <c r="N1138">
        <v>0.5</v>
      </c>
      <c r="O1138" s="3">
        <v>0</v>
      </c>
      <c r="P1138">
        <v>50</v>
      </c>
      <c r="Q1138">
        <v>6.6</v>
      </c>
      <c r="R1138" t="s">
        <v>102</v>
      </c>
      <c r="S1138">
        <v>0</v>
      </c>
      <c r="T1138" s="6">
        <f>10^-(14-Q1138)</f>
        <v>3.981071705534957E-8</v>
      </c>
      <c r="U1138" s="6">
        <v>0</v>
      </c>
      <c r="V1138" s="6">
        <v>0</v>
      </c>
      <c r="W1138" s="6">
        <v>0</v>
      </c>
      <c r="X1138" s="6">
        <v>0</v>
      </c>
      <c r="Y1138" t="s">
        <v>171</v>
      </c>
      <c r="AA1138"/>
      <c r="AB1138"/>
      <c r="AC1138"/>
      <c r="AE1138">
        <v>255</v>
      </c>
      <c r="AF1138">
        <v>1</v>
      </c>
      <c r="AG1138" s="9">
        <v>1.7999999999999999E-2</v>
      </c>
      <c r="AH1138" s="9">
        <v>0.36</v>
      </c>
      <c r="AI1138" s="9">
        <v>0.48</v>
      </c>
      <c r="AJ1138" s="9">
        <v>2.9000000000000001E-2</v>
      </c>
      <c r="AK1138" s="9">
        <v>1E-3</v>
      </c>
      <c r="AL1138" s="9">
        <v>18</v>
      </c>
      <c r="AM1138" s="9">
        <v>0.28999999999999998</v>
      </c>
      <c r="AN1138" s="9">
        <v>0.03</v>
      </c>
      <c r="AO1138" s="9">
        <v>2.1000000000000001E-2</v>
      </c>
      <c r="AQ1138" s="1"/>
    </row>
    <row r="1139" spans="1:43" x14ac:dyDescent="0.3">
      <c r="A1139" t="s">
        <v>1444</v>
      </c>
      <c r="B1139" s="8" t="s">
        <v>1592</v>
      </c>
      <c r="C1139">
        <v>60</v>
      </c>
      <c r="D1139" s="8">
        <v>1.4307000000000001</v>
      </c>
      <c r="I1139"/>
      <c r="J1139"/>
      <c r="K1139"/>
      <c r="N1139">
        <v>0.5</v>
      </c>
      <c r="O1139" s="3">
        <v>0</v>
      </c>
      <c r="P1139">
        <v>50</v>
      </c>
      <c r="Q1139">
        <v>6.6</v>
      </c>
      <c r="R1139" t="s">
        <v>102</v>
      </c>
      <c r="S1139">
        <v>0</v>
      </c>
      <c r="T1139" s="6">
        <f>10^-(14-Q1139)</f>
        <v>3.981071705534957E-8</v>
      </c>
      <c r="U1139" s="6">
        <v>0</v>
      </c>
      <c r="V1139" s="6">
        <v>0</v>
      </c>
      <c r="W1139" s="6">
        <v>0</v>
      </c>
      <c r="X1139" s="6">
        <v>0</v>
      </c>
      <c r="Y1139" t="s">
        <v>171</v>
      </c>
      <c r="AA1139"/>
      <c r="AB1139"/>
      <c r="AC1139"/>
      <c r="AE1139">
        <v>300</v>
      </c>
      <c r="AF1139">
        <v>1</v>
      </c>
      <c r="AL1139" s="9">
        <v>18</v>
      </c>
      <c r="AM1139" s="9">
        <v>8</v>
      </c>
      <c r="AN1139" s="9" t="s">
        <v>987</v>
      </c>
      <c r="AO1139" s="9" t="s">
        <v>987</v>
      </c>
      <c r="AQ1139" s="1"/>
    </row>
    <row r="1140" spans="1:43" x14ac:dyDescent="0.3">
      <c r="A1140" t="s">
        <v>1449</v>
      </c>
      <c r="B1140" s="8" t="s">
        <v>1592</v>
      </c>
      <c r="C1140">
        <v>60</v>
      </c>
      <c r="D1140" s="8">
        <v>1.4307000000000001</v>
      </c>
      <c r="I1140"/>
      <c r="J1140"/>
      <c r="K1140"/>
      <c r="N1140">
        <v>0.5</v>
      </c>
      <c r="O1140" s="3">
        <v>0</v>
      </c>
      <c r="P1140">
        <v>23</v>
      </c>
      <c r="Q1140">
        <v>6.6</v>
      </c>
      <c r="R1140" t="s">
        <v>102</v>
      </c>
      <c r="S1140">
        <v>0</v>
      </c>
      <c r="T1140" s="6">
        <f>10^-(14-Q1140)</f>
        <v>3.981071705534957E-8</v>
      </c>
      <c r="U1140" s="6">
        <v>0</v>
      </c>
      <c r="V1140" s="6">
        <v>0</v>
      </c>
      <c r="W1140" s="6">
        <v>0</v>
      </c>
      <c r="X1140" s="6">
        <v>0</v>
      </c>
      <c r="Y1140" t="s">
        <v>171</v>
      </c>
      <c r="AA1140"/>
      <c r="AB1140"/>
      <c r="AC1140"/>
      <c r="AE1140">
        <v>390</v>
      </c>
      <c r="AF1140">
        <v>1</v>
      </c>
      <c r="AL1140" s="9">
        <v>18</v>
      </c>
      <c r="AM1140" s="9">
        <v>8</v>
      </c>
      <c r="AN1140" s="9" t="s">
        <v>987</v>
      </c>
      <c r="AO1140" s="9" t="s">
        <v>987</v>
      </c>
      <c r="AQ1140" s="1"/>
    </row>
    <row r="1141" spans="1:43" x14ac:dyDescent="0.3">
      <c r="A1141" t="s">
        <v>1455</v>
      </c>
      <c r="B1141" s="8" t="s">
        <v>1592</v>
      </c>
      <c r="C1141">
        <v>60</v>
      </c>
      <c r="D1141" s="8">
        <v>1.4307000000000001</v>
      </c>
      <c r="I1141"/>
      <c r="J1141"/>
      <c r="K1141"/>
      <c r="N1141">
        <v>0.5</v>
      </c>
      <c r="O1141" s="3">
        <v>0</v>
      </c>
      <c r="P1141">
        <v>50</v>
      </c>
      <c r="Q1141">
        <v>6.6</v>
      </c>
      <c r="R1141" t="s">
        <v>102</v>
      </c>
      <c r="S1141">
        <v>0</v>
      </c>
      <c r="T1141" s="6">
        <f>10^-(14-Q1141)</f>
        <v>3.981071705534957E-8</v>
      </c>
      <c r="U1141" s="6">
        <v>0</v>
      </c>
      <c r="V1141" s="6">
        <v>0</v>
      </c>
      <c r="W1141" s="6">
        <v>0</v>
      </c>
      <c r="X1141" s="6">
        <v>0</v>
      </c>
      <c r="Y1141" t="s">
        <v>171</v>
      </c>
      <c r="AA1141"/>
      <c r="AB1141"/>
      <c r="AC1141"/>
      <c r="AE1141">
        <v>200</v>
      </c>
      <c r="AF1141">
        <v>1</v>
      </c>
      <c r="AL1141" s="9">
        <v>18</v>
      </c>
      <c r="AM1141" s="9">
        <v>8</v>
      </c>
      <c r="AN1141" s="9" t="s">
        <v>987</v>
      </c>
      <c r="AO1141" s="9" t="s">
        <v>987</v>
      </c>
      <c r="AQ1141" s="1"/>
    </row>
    <row r="1142" spans="1:43" x14ac:dyDescent="0.3">
      <c r="A1142" t="s">
        <v>1411</v>
      </c>
      <c r="B1142" s="8" t="s">
        <v>1592</v>
      </c>
      <c r="C1142">
        <v>60</v>
      </c>
      <c r="D1142" s="8">
        <v>1.4509000000000001</v>
      </c>
      <c r="I1142"/>
      <c r="J1142"/>
      <c r="K1142"/>
      <c r="N1142">
        <v>0.02</v>
      </c>
      <c r="O1142" s="3">
        <v>0</v>
      </c>
      <c r="P1142">
        <v>23</v>
      </c>
      <c r="Q1142">
        <v>6.6</v>
      </c>
      <c r="R1142" t="s">
        <v>102</v>
      </c>
      <c r="S1142">
        <v>0</v>
      </c>
      <c r="T1142" s="6">
        <f>10^-(14-Q1142)</f>
        <v>3.981071705534957E-8</v>
      </c>
      <c r="U1142" s="6">
        <v>0</v>
      </c>
      <c r="V1142" s="6">
        <v>0</v>
      </c>
      <c r="W1142" s="6">
        <v>0</v>
      </c>
      <c r="X1142" s="6">
        <v>0</v>
      </c>
      <c r="Y1142" t="s">
        <v>171</v>
      </c>
      <c r="AA1142"/>
      <c r="AB1142"/>
      <c r="AC1142"/>
      <c r="AE1142">
        <v>520</v>
      </c>
      <c r="AF1142">
        <v>1</v>
      </c>
      <c r="AG1142" s="9">
        <v>0.02</v>
      </c>
      <c r="AH1142" s="9">
        <v>0.44</v>
      </c>
      <c r="AI1142" s="9">
        <v>0.56000000000000005</v>
      </c>
      <c r="AJ1142" s="9">
        <v>2.5000000000000001E-2</v>
      </c>
      <c r="AK1142" s="9">
        <v>1E-3</v>
      </c>
      <c r="AL1142" s="9">
        <v>18.2</v>
      </c>
      <c r="AM1142" s="9">
        <v>0.18</v>
      </c>
      <c r="AN1142" s="9">
        <v>0.05</v>
      </c>
      <c r="AO1142" s="9">
        <v>2.4E-2</v>
      </c>
      <c r="AQ1142" s="1"/>
    </row>
    <row r="1143" spans="1:43" x14ac:dyDescent="0.3">
      <c r="A1143" t="s">
        <v>1414</v>
      </c>
      <c r="B1143" s="8" t="s">
        <v>1592</v>
      </c>
      <c r="C1143">
        <v>60</v>
      </c>
      <c r="D1143" s="8">
        <v>1.4520999999999999</v>
      </c>
      <c r="I1143"/>
      <c r="J1143"/>
      <c r="K1143"/>
      <c r="N1143">
        <v>0.02</v>
      </c>
      <c r="O1143" s="3">
        <v>0</v>
      </c>
      <c r="P1143">
        <v>23</v>
      </c>
      <c r="Q1143">
        <v>6.6</v>
      </c>
      <c r="R1143" t="s">
        <v>102</v>
      </c>
      <c r="S1143">
        <v>0</v>
      </c>
      <c r="T1143" s="6">
        <f>10^-(14-Q1143)</f>
        <v>3.981071705534957E-8</v>
      </c>
      <c r="U1143" s="6">
        <v>0</v>
      </c>
      <c r="V1143" s="6">
        <v>0</v>
      </c>
      <c r="W1143" s="6">
        <v>0</v>
      </c>
      <c r="X1143" s="6">
        <v>0</v>
      </c>
      <c r="Y1143" t="s">
        <v>171</v>
      </c>
      <c r="AA1143"/>
      <c r="AB1143"/>
      <c r="AC1143"/>
      <c r="AE1143">
        <v>785</v>
      </c>
      <c r="AF1143">
        <v>1</v>
      </c>
      <c r="AG1143" s="9">
        <v>0.02</v>
      </c>
      <c r="AH1143" s="9">
        <v>0.52</v>
      </c>
      <c r="AI1143" s="9">
        <v>0.59</v>
      </c>
      <c r="AJ1143" s="9">
        <v>2.7E-2</v>
      </c>
      <c r="AK1143" s="9">
        <v>2E-3</v>
      </c>
      <c r="AL1143" s="9">
        <v>18.3</v>
      </c>
      <c r="AM1143" s="9">
        <v>0.14000000000000001</v>
      </c>
      <c r="AN1143" s="9">
        <v>2.0099999999999998</v>
      </c>
      <c r="AO1143" s="9">
        <v>2.3E-2</v>
      </c>
      <c r="AQ1143" s="1"/>
    </row>
    <row r="1144" spans="1:43" x14ac:dyDescent="0.3">
      <c r="A1144" t="s">
        <v>1432</v>
      </c>
      <c r="B1144" s="8" t="s">
        <v>1592</v>
      </c>
      <c r="C1144">
        <v>60</v>
      </c>
      <c r="D1144" s="8">
        <v>1.4520999999999999</v>
      </c>
      <c r="I1144"/>
      <c r="J1144"/>
      <c r="K1144"/>
      <c r="N1144">
        <v>0.02</v>
      </c>
      <c r="O1144" s="3">
        <v>0</v>
      </c>
      <c r="P1144">
        <v>50</v>
      </c>
      <c r="Q1144">
        <v>6.6</v>
      </c>
      <c r="R1144" t="s">
        <v>102</v>
      </c>
      <c r="S1144">
        <v>0</v>
      </c>
      <c r="T1144" s="6">
        <f>10^-(14-Q1144)</f>
        <v>3.981071705534957E-8</v>
      </c>
      <c r="U1144" s="6">
        <v>0</v>
      </c>
      <c r="V1144" s="6">
        <v>0</v>
      </c>
      <c r="W1144" s="6">
        <v>0</v>
      </c>
      <c r="X1144" s="6">
        <v>0</v>
      </c>
      <c r="Y1144" t="s">
        <v>171</v>
      </c>
      <c r="AA1144"/>
      <c r="AB1144"/>
      <c r="AC1144"/>
      <c r="AE1144">
        <v>610</v>
      </c>
      <c r="AF1144">
        <v>1</v>
      </c>
      <c r="AG1144" s="9">
        <v>0.02</v>
      </c>
      <c r="AH1144" s="9">
        <v>0.52</v>
      </c>
      <c r="AI1144" s="9">
        <v>0.59</v>
      </c>
      <c r="AJ1144" s="9">
        <v>2.7E-2</v>
      </c>
      <c r="AK1144" s="9">
        <v>2E-3</v>
      </c>
      <c r="AL1144" s="9">
        <v>18.3</v>
      </c>
      <c r="AM1144" s="9">
        <v>0.14000000000000001</v>
      </c>
      <c r="AN1144" s="9">
        <v>2.0099999999999998</v>
      </c>
      <c r="AO1144" s="9">
        <v>2.3E-2</v>
      </c>
      <c r="AQ1144" s="1"/>
    </row>
    <row r="1145" spans="1:43" x14ac:dyDescent="0.3">
      <c r="A1145" t="s">
        <v>1443</v>
      </c>
      <c r="B1145" s="8" t="s">
        <v>1592</v>
      </c>
      <c r="C1145">
        <v>60</v>
      </c>
      <c r="D1145" s="8">
        <v>1.4520999999999999</v>
      </c>
      <c r="I1145"/>
      <c r="J1145"/>
      <c r="K1145"/>
      <c r="N1145">
        <v>0.5</v>
      </c>
      <c r="O1145" s="3">
        <v>0</v>
      </c>
      <c r="P1145">
        <v>50</v>
      </c>
      <c r="Q1145">
        <v>6.6</v>
      </c>
      <c r="R1145" t="s">
        <v>102</v>
      </c>
      <c r="S1145">
        <v>0</v>
      </c>
      <c r="T1145" s="6">
        <f>10^-(14-Q1145)</f>
        <v>3.981071705534957E-8</v>
      </c>
      <c r="U1145" s="6">
        <v>0</v>
      </c>
      <c r="V1145" s="6">
        <v>0</v>
      </c>
      <c r="W1145" s="6">
        <v>0</v>
      </c>
      <c r="X1145" s="6">
        <v>0</v>
      </c>
      <c r="Y1145" t="s">
        <v>171</v>
      </c>
      <c r="AA1145"/>
      <c r="AB1145"/>
      <c r="AC1145"/>
      <c r="AE1145">
        <v>420</v>
      </c>
      <c r="AF1145">
        <v>1</v>
      </c>
      <c r="AG1145" s="9">
        <v>0.02</v>
      </c>
      <c r="AH1145" s="9">
        <v>0.52</v>
      </c>
      <c r="AI1145" s="9">
        <v>0.59</v>
      </c>
      <c r="AJ1145" s="9">
        <v>2.7E-2</v>
      </c>
      <c r="AK1145" s="9">
        <v>2E-3</v>
      </c>
      <c r="AL1145" s="9">
        <v>18.3</v>
      </c>
      <c r="AM1145" s="9">
        <v>0.14000000000000001</v>
      </c>
      <c r="AN1145" s="9">
        <v>2.0099999999999998</v>
      </c>
      <c r="AO1145" s="9">
        <v>2.3E-2</v>
      </c>
      <c r="AQ1145" s="1"/>
    </row>
    <row r="1146" spans="1:43" x14ac:dyDescent="0.3">
      <c r="A1146" t="s">
        <v>1451</v>
      </c>
      <c r="B1146" s="8" t="s">
        <v>1592</v>
      </c>
      <c r="C1146">
        <v>60</v>
      </c>
      <c r="D1146" s="8">
        <v>1.4520999999999999</v>
      </c>
      <c r="I1146"/>
      <c r="J1146"/>
      <c r="K1146"/>
      <c r="N1146">
        <v>0.5</v>
      </c>
      <c r="O1146" s="3">
        <v>0</v>
      </c>
      <c r="P1146">
        <v>23</v>
      </c>
      <c r="Q1146">
        <v>6.6</v>
      </c>
      <c r="R1146" t="s">
        <v>102</v>
      </c>
      <c r="S1146">
        <v>0</v>
      </c>
      <c r="T1146" s="6">
        <f>10^-(14-Q1146)</f>
        <v>3.981071705534957E-8</v>
      </c>
      <c r="U1146" s="6">
        <v>0</v>
      </c>
      <c r="V1146" s="6">
        <v>0</v>
      </c>
      <c r="W1146" s="6">
        <v>0</v>
      </c>
      <c r="X1146" s="6">
        <v>0</v>
      </c>
      <c r="Y1146" t="s">
        <v>171</v>
      </c>
      <c r="AA1146"/>
      <c r="AB1146"/>
      <c r="AC1146"/>
      <c r="AE1146">
        <v>500</v>
      </c>
      <c r="AF1146">
        <v>1</v>
      </c>
      <c r="AG1146" s="9">
        <v>0.02</v>
      </c>
      <c r="AH1146" s="9">
        <v>0.52</v>
      </c>
      <c r="AI1146" s="9">
        <v>0.59</v>
      </c>
      <c r="AJ1146" s="9">
        <v>2.7E-2</v>
      </c>
      <c r="AK1146" s="9">
        <v>2E-3</v>
      </c>
      <c r="AL1146" s="9">
        <v>18.3</v>
      </c>
      <c r="AM1146" s="9">
        <v>0.14000000000000001</v>
      </c>
      <c r="AN1146" s="9">
        <v>2.0099999999999998</v>
      </c>
      <c r="AO1146" s="9">
        <v>2.3E-2</v>
      </c>
      <c r="AQ1146" s="1"/>
    </row>
    <row r="1147" spans="1:43" x14ac:dyDescent="0.3">
      <c r="A1147" t="s">
        <v>1457</v>
      </c>
      <c r="B1147" s="8" t="s">
        <v>1592</v>
      </c>
      <c r="C1147">
        <v>60</v>
      </c>
      <c r="D1147" s="8">
        <v>1.4520999999999999</v>
      </c>
      <c r="I1147"/>
      <c r="J1147"/>
      <c r="K1147"/>
      <c r="N1147">
        <v>0.5</v>
      </c>
      <c r="O1147" s="3">
        <v>0</v>
      </c>
      <c r="P1147">
        <v>50</v>
      </c>
      <c r="Q1147">
        <v>6.6</v>
      </c>
      <c r="R1147" t="s">
        <v>102</v>
      </c>
      <c r="S1147">
        <v>0</v>
      </c>
      <c r="T1147" s="6">
        <f>10^-(14-Q1147)</f>
        <v>3.981071705534957E-8</v>
      </c>
      <c r="U1147" s="6">
        <v>0</v>
      </c>
      <c r="V1147" s="6">
        <v>0</v>
      </c>
      <c r="W1147" s="6">
        <v>0</v>
      </c>
      <c r="X1147" s="6">
        <v>0</v>
      </c>
      <c r="Y1147" t="s">
        <v>171</v>
      </c>
      <c r="AA1147"/>
      <c r="AB1147"/>
      <c r="AC1147"/>
      <c r="AE1147">
        <v>300</v>
      </c>
      <c r="AF1147">
        <v>1</v>
      </c>
      <c r="AG1147" s="9">
        <v>0.02</v>
      </c>
      <c r="AH1147" s="9">
        <v>0.52</v>
      </c>
      <c r="AI1147" s="9">
        <v>0.59</v>
      </c>
      <c r="AJ1147" s="9">
        <v>2.7E-2</v>
      </c>
      <c r="AK1147" s="9">
        <v>2E-3</v>
      </c>
      <c r="AL1147" s="9">
        <v>18.3</v>
      </c>
      <c r="AM1147" s="9">
        <v>0.14000000000000001</v>
      </c>
      <c r="AN1147" s="9">
        <v>2.0099999999999998</v>
      </c>
      <c r="AO1147" s="9">
        <v>2.3E-2</v>
      </c>
      <c r="AQ1147" s="1"/>
    </row>
    <row r="1148" spans="1:43" x14ac:dyDescent="0.3">
      <c r="A1148" t="s">
        <v>1413</v>
      </c>
      <c r="B1148" s="8" t="s">
        <v>1592</v>
      </c>
      <c r="C1148">
        <v>60</v>
      </c>
      <c r="D1148" s="8">
        <v>1.4621</v>
      </c>
      <c r="I1148"/>
      <c r="J1148"/>
      <c r="K1148"/>
      <c r="N1148">
        <v>0.02</v>
      </c>
      <c r="O1148" s="3">
        <v>0</v>
      </c>
      <c r="P1148">
        <v>23</v>
      </c>
      <c r="Q1148">
        <v>6.6</v>
      </c>
      <c r="R1148" t="s">
        <v>102</v>
      </c>
      <c r="S1148">
        <v>0</v>
      </c>
      <c r="T1148" s="6">
        <f>10^-(14-Q1148)</f>
        <v>3.981071705534957E-8</v>
      </c>
      <c r="U1148" s="6">
        <v>0</v>
      </c>
      <c r="V1148" s="6">
        <v>0</v>
      </c>
      <c r="W1148" s="6">
        <v>0</v>
      </c>
      <c r="X1148" s="6">
        <v>0</v>
      </c>
      <c r="Y1148" t="s">
        <v>171</v>
      </c>
      <c r="AA1148"/>
      <c r="AB1148"/>
      <c r="AC1148"/>
      <c r="AE1148">
        <v>590</v>
      </c>
      <c r="AF1148">
        <v>1</v>
      </c>
      <c r="AL1148" s="9">
        <v>20.5</v>
      </c>
      <c r="AM1148" s="9">
        <v>0</v>
      </c>
      <c r="AN1148" s="9" t="s">
        <v>987</v>
      </c>
      <c r="AO1148" s="9" t="s">
        <v>987</v>
      </c>
      <c r="AQ1148" s="1"/>
    </row>
    <row r="1149" spans="1:43" x14ac:dyDescent="0.3">
      <c r="A1149" t="s">
        <v>1447</v>
      </c>
      <c r="B1149" s="8" t="s">
        <v>1592</v>
      </c>
      <c r="C1149">
        <v>60</v>
      </c>
      <c r="D1149" s="8">
        <v>1.4461999999999999</v>
      </c>
      <c r="I1149"/>
      <c r="J1149"/>
      <c r="K1149"/>
      <c r="N1149">
        <v>0.5</v>
      </c>
      <c r="O1149" s="3">
        <v>0</v>
      </c>
      <c r="P1149">
        <v>23</v>
      </c>
      <c r="Q1149">
        <v>6.6</v>
      </c>
      <c r="R1149" t="s">
        <v>102</v>
      </c>
      <c r="S1149">
        <v>0</v>
      </c>
      <c r="T1149" s="6">
        <f>10^-(14-Q1149)</f>
        <v>3.981071705534957E-8</v>
      </c>
      <c r="U1149" s="6">
        <v>0</v>
      </c>
      <c r="V1149" s="6">
        <v>0</v>
      </c>
      <c r="W1149" s="6">
        <v>0</v>
      </c>
      <c r="X1149" s="6">
        <v>0</v>
      </c>
      <c r="Y1149" t="s">
        <v>171</v>
      </c>
      <c r="AA1149"/>
      <c r="AB1149"/>
      <c r="AC1149"/>
      <c r="AE1149">
        <v>1200</v>
      </c>
      <c r="AF1149">
        <v>2</v>
      </c>
      <c r="AG1149" s="9">
        <v>2.1000000000000001E-2</v>
      </c>
      <c r="AH1149" s="9">
        <v>1.37</v>
      </c>
      <c r="AI1149" s="9">
        <v>0.42</v>
      </c>
      <c r="AJ1149" s="9">
        <v>2.7E-2</v>
      </c>
      <c r="AK1149" s="9">
        <v>1E-3</v>
      </c>
      <c r="AL1149" s="9">
        <v>22.7</v>
      </c>
      <c r="AM1149" s="9">
        <v>5.44</v>
      </c>
      <c r="AN1149" s="9">
        <v>3.23</v>
      </c>
      <c r="AO1149" s="9">
        <v>0.154</v>
      </c>
      <c r="AQ1149" s="1"/>
    </row>
    <row r="1150" spans="1:43" x14ac:dyDescent="0.3">
      <c r="A1150" t="s">
        <v>1453</v>
      </c>
      <c r="B1150" s="8" t="s">
        <v>1592</v>
      </c>
      <c r="C1150">
        <v>60</v>
      </c>
      <c r="D1150" s="8">
        <v>1.4461999999999999</v>
      </c>
      <c r="I1150"/>
      <c r="J1150"/>
      <c r="K1150"/>
      <c r="N1150">
        <v>0.5</v>
      </c>
      <c r="O1150" s="3">
        <v>0</v>
      </c>
      <c r="P1150">
        <v>50</v>
      </c>
      <c r="Q1150">
        <v>6.6</v>
      </c>
      <c r="R1150" t="s">
        <v>102</v>
      </c>
      <c r="S1150">
        <v>0</v>
      </c>
      <c r="T1150" s="6">
        <f>10^-(14-Q1150)</f>
        <v>3.981071705534957E-8</v>
      </c>
      <c r="U1150" s="6">
        <v>0</v>
      </c>
      <c r="V1150" s="6">
        <v>0</v>
      </c>
      <c r="W1150" s="6">
        <v>0</v>
      </c>
      <c r="X1150" s="6">
        <v>0</v>
      </c>
      <c r="Y1150" t="s">
        <v>171</v>
      </c>
      <c r="AA1150"/>
      <c r="AB1150"/>
      <c r="AC1150"/>
      <c r="AE1150">
        <v>1200</v>
      </c>
      <c r="AF1150">
        <v>2</v>
      </c>
      <c r="AG1150" s="9">
        <v>1.7000000000000001E-2</v>
      </c>
      <c r="AH1150" s="9">
        <v>1.4</v>
      </c>
      <c r="AI1150" s="9">
        <v>0.49</v>
      </c>
      <c r="AJ1150" s="9">
        <v>2.5999999999999999E-2</v>
      </c>
      <c r="AK1150" s="9">
        <v>1E-3</v>
      </c>
      <c r="AL1150" s="9">
        <v>22.9</v>
      </c>
      <c r="AM1150" s="9">
        <v>5.44</v>
      </c>
      <c r="AN1150" s="9">
        <v>3.28</v>
      </c>
      <c r="AO1150" s="9">
        <v>0.16200000000000001</v>
      </c>
      <c r="AQ1150" s="1"/>
    </row>
    <row r="1151" spans="1:43" x14ac:dyDescent="0.3">
      <c r="A1151" t="s">
        <v>1446</v>
      </c>
      <c r="B1151" s="8" t="s">
        <v>1592</v>
      </c>
      <c r="C1151">
        <v>60</v>
      </c>
      <c r="D1151" s="8">
        <v>1.4061999999999999</v>
      </c>
      <c r="I1151"/>
      <c r="J1151"/>
      <c r="K1151"/>
      <c r="N1151">
        <v>0.5</v>
      </c>
      <c r="O1151" s="3">
        <v>0</v>
      </c>
      <c r="P1151">
        <v>23</v>
      </c>
      <c r="Q1151">
        <v>6.6</v>
      </c>
      <c r="R1151" t="s">
        <v>102</v>
      </c>
      <c r="S1151">
        <v>0</v>
      </c>
      <c r="T1151" s="6">
        <f>10^-(14-Q1151)</f>
        <v>3.981071705534957E-8</v>
      </c>
      <c r="U1151" s="6">
        <v>0</v>
      </c>
      <c r="V1151" s="6">
        <v>0</v>
      </c>
      <c r="W1151" s="6">
        <v>0</v>
      </c>
      <c r="X1151" s="6">
        <v>0</v>
      </c>
      <c r="Y1151" t="s">
        <v>171</v>
      </c>
      <c r="AA1151"/>
      <c r="AB1151"/>
      <c r="AC1151"/>
      <c r="AE1151">
        <v>680</v>
      </c>
      <c r="AF1151">
        <v>1</v>
      </c>
      <c r="AL1151" s="9">
        <v>23</v>
      </c>
      <c r="AM1151" s="9">
        <v>2</v>
      </c>
      <c r="AN1151" s="9" t="s">
        <v>987</v>
      </c>
      <c r="AO1151" s="9">
        <v>0.22</v>
      </c>
      <c r="AQ1151" s="1"/>
    </row>
    <row r="1152" spans="1:43" x14ac:dyDescent="0.3">
      <c r="A1152" t="s">
        <v>1448</v>
      </c>
      <c r="B1152" s="8" t="s">
        <v>1592</v>
      </c>
      <c r="C1152">
        <v>60</v>
      </c>
      <c r="D1152" s="8">
        <v>1.4361999999999999</v>
      </c>
      <c r="I1152"/>
      <c r="J1152"/>
      <c r="K1152"/>
      <c r="N1152">
        <v>0.5</v>
      </c>
      <c r="O1152" s="3">
        <v>0</v>
      </c>
      <c r="P1152">
        <v>23</v>
      </c>
      <c r="Q1152">
        <v>6.6</v>
      </c>
      <c r="R1152" t="s">
        <v>102</v>
      </c>
      <c r="S1152">
        <v>0</v>
      </c>
      <c r="T1152" s="6">
        <f>10^-(14-Q1152)</f>
        <v>3.981071705534957E-8</v>
      </c>
      <c r="U1152" s="6">
        <v>0</v>
      </c>
      <c r="V1152" s="6">
        <v>0</v>
      </c>
      <c r="W1152" s="6">
        <v>0</v>
      </c>
      <c r="X1152" s="6">
        <v>0</v>
      </c>
      <c r="Y1152" t="s">
        <v>171</v>
      </c>
      <c r="AA1152"/>
      <c r="AB1152"/>
      <c r="AC1152"/>
      <c r="AE1152">
        <v>1200</v>
      </c>
      <c r="AF1152">
        <v>2</v>
      </c>
      <c r="AL1152" s="9">
        <v>23</v>
      </c>
      <c r="AM1152" s="9">
        <v>4.5</v>
      </c>
      <c r="AN1152" s="9">
        <v>0.35</v>
      </c>
      <c r="AO1152" s="9">
        <v>0.1</v>
      </c>
      <c r="AQ1152" s="1"/>
    </row>
    <row r="1153" spans="1:43" x14ac:dyDescent="0.3">
      <c r="A1153" t="s">
        <v>1452</v>
      </c>
      <c r="B1153" s="8" t="s">
        <v>1592</v>
      </c>
      <c r="C1153">
        <v>60</v>
      </c>
      <c r="D1153" s="8">
        <v>1.4061999999999999</v>
      </c>
      <c r="I1153"/>
      <c r="J1153"/>
      <c r="K1153"/>
      <c r="N1153">
        <v>0.5</v>
      </c>
      <c r="O1153" s="3">
        <v>0</v>
      </c>
      <c r="P1153">
        <v>50</v>
      </c>
      <c r="Q1153">
        <v>6.6</v>
      </c>
      <c r="R1153" t="s">
        <v>102</v>
      </c>
      <c r="S1153">
        <v>0</v>
      </c>
      <c r="T1153" s="6">
        <f>10^-(14-Q1153)</f>
        <v>3.981071705534957E-8</v>
      </c>
      <c r="U1153" s="6">
        <v>0</v>
      </c>
      <c r="V1153" s="6">
        <v>0</v>
      </c>
      <c r="W1153" s="6">
        <v>0</v>
      </c>
      <c r="X1153" s="6">
        <v>0</v>
      </c>
      <c r="Y1153" t="s">
        <v>171</v>
      </c>
      <c r="AA1153"/>
      <c r="AB1153"/>
      <c r="AC1153"/>
      <c r="AE1153">
        <v>200</v>
      </c>
      <c r="AF1153">
        <v>1</v>
      </c>
      <c r="AL1153" s="9">
        <v>23</v>
      </c>
      <c r="AM1153" s="9">
        <v>2</v>
      </c>
      <c r="AN1153" s="9" t="s">
        <v>987</v>
      </c>
      <c r="AO1153" s="9">
        <v>0.22</v>
      </c>
      <c r="AQ1153" s="1"/>
    </row>
    <row r="1154" spans="1:43" x14ac:dyDescent="0.3">
      <c r="A1154" t="s">
        <v>1454</v>
      </c>
      <c r="B1154" s="8" t="s">
        <v>1592</v>
      </c>
      <c r="C1154">
        <v>60</v>
      </c>
      <c r="D1154" s="8">
        <v>1.4361999999999999</v>
      </c>
      <c r="I1154"/>
      <c r="J1154"/>
      <c r="K1154"/>
      <c r="N1154">
        <v>0.5</v>
      </c>
      <c r="O1154" s="3">
        <v>0</v>
      </c>
      <c r="P1154">
        <v>50</v>
      </c>
      <c r="Q1154">
        <v>6.6</v>
      </c>
      <c r="R1154" t="s">
        <v>102</v>
      </c>
      <c r="S1154">
        <v>0</v>
      </c>
      <c r="T1154" s="6">
        <f>10^-(14-Q1154)</f>
        <v>3.981071705534957E-8</v>
      </c>
      <c r="U1154" s="6">
        <v>0</v>
      </c>
      <c r="V1154" s="6">
        <v>0</v>
      </c>
      <c r="W1154" s="6">
        <v>0</v>
      </c>
      <c r="X1154" s="6">
        <v>0</v>
      </c>
      <c r="Y1154" t="s">
        <v>171</v>
      </c>
      <c r="AA1154"/>
      <c r="AB1154"/>
      <c r="AC1154"/>
      <c r="AE1154">
        <v>510</v>
      </c>
      <c r="AF1154">
        <v>1</v>
      </c>
      <c r="AL1154" s="9">
        <v>23</v>
      </c>
      <c r="AM1154" s="9">
        <v>4.5</v>
      </c>
      <c r="AN1154" s="9">
        <v>0.35</v>
      </c>
      <c r="AO1154" s="9">
        <v>0.1</v>
      </c>
      <c r="AQ1154" s="1"/>
    </row>
    <row r="1155" spans="1:43" x14ac:dyDescent="0.3">
      <c r="A1155" t="s">
        <v>653</v>
      </c>
      <c r="B1155" s="1" t="s">
        <v>1613</v>
      </c>
      <c r="C1155">
        <v>61</v>
      </c>
      <c r="D1155" s="8">
        <v>1.4400999999999999</v>
      </c>
      <c r="E1155">
        <v>14000</v>
      </c>
      <c r="H1155" t="s">
        <v>987</v>
      </c>
      <c r="K1155" s="4">
        <v>0.5</v>
      </c>
      <c r="L1155" t="s">
        <v>172</v>
      </c>
      <c r="N1155" s="3">
        <v>0.5</v>
      </c>
      <c r="O1155" s="3">
        <v>0</v>
      </c>
      <c r="P1155">
        <v>22.5</v>
      </c>
      <c r="Q1155">
        <v>9</v>
      </c>
      <c r="R1155" t="s">
        <v>775</v>
      </c>
      <c r="S1155">
        <v>0.02</v>
      </c>
      <c r="T1155" s="6">
        <f>10^-(14-Q1155)</f>
        <v>1.0000000000000001E-5</v>
      </c>
      <c r="U1155" s="6">
        <v>0</v>
      </c>
      <c r="V1155" s="6">
        <v>0.02</v>
      </c>
      <c r="W1155" s="6">
        <v>0</v>
      </c>
      <c r="X1155" s="6">
        <v>0</v>
      </c>
      <c r="Y1155" t="s">
        <v>171</v>
      </c>
      <c r="AD1155">
        <v>0.2</v>
      </c>
      <c r="AE1155">
        <v>860</v>
      </c>
      <c r="AF1155">
        <v>2</v>
      </c>
      <c r="AL1155" s="9">
        <v>17.5</v>
      </c>
      <c r="AM1155" s="9">
        <v>11</v>
      </c>
      <c r="AN1155" s="9">
        <v>2.5</v>
      </c>
      <c r="AO1155" s="9" t="s">
        <v>987</v>
      </c>
      <c r="AQ1155" s="1"/>
    </row>
    <row r="1156" spans="1:43" x14ac:dyDescent="0.3">
      <c r="A1156" t="s">
        <v>654</v>
      </c>
      <c r="B1156" s="1" t="s">
        <v>1613</v>
      </c>
      <c r="C1156">
        <v>61</v>
      </c>
      <c r="D1156" s="8">
        <v>1.4400999999999999</v>
      </c>
      <c r="E1156">
        <v>14000</v>
      </c>
      <c r="H1156" t="s">
        <v>987</v>
      </c>
      <c r="K1156" s="4">
        <v>0.5</v>
      </c>
      <c r="L1156" t="s">
        <v>172</v>
      </c>
      <c r="N1156" s="3">
        <v>1</v>
      </c>
      <c r="O1156" s="3">
        <v>0</v>
      </c>
      <c r="P1156">
        <v>22.5</v>
      </c>
      <c r="Q1156">
        <v>9</v>
      </c>
      <c r="R1156" t="s">
        <v>775</v>
      </c>
      <c r="S1156">
        <v>0.02</v>
      </c>
      <c r="T1156" s="6">
        <f>10^-(14-Q1156)</f>
        <v>1.0000000000000001E-5</v>
      </c>
      <c r="U1156" s="6">
        <v>0</v>
      </c>
      <c r="V1156" s="6">
        <v>0.02</v>
      </c>
      <c r="W1156" s="6">
        <v>0</v>
      </c>
      <c r="X1156" s="6">
        <v>0</v>
      </c>
      <c r="Y1156" t="s">
        <v>171</v>
      </c>
      <c r="AD1156">
        <v>0.2</v>
      </c>
      <c r="AE1156">
        <v>450</v>
      </c>
      <c r="AF1156">
        <v>1</v>
      </c>
      <c r="AL1156" s="9">
        <v>17.5</v>
      </c>
      <c r="AM1156" s="9">
        <v>11</v>
      </c>
      <c r="AN1156" s="9">
        <v>2.5</v>
      </c>
      <c r="AO1156" s="9" t="s">
        <v>987</v>
      </c>
      <c r="AQ1156" s="1"/>
    </row>
    <row r="1157" spans="1:43" x14ac:dyDescent="0.3">
      <c r="A1157" t="s">
        <v>655</v>
      </c>
      <c r="B1157" s="1" t="s">
        <v>1613</v>
      </c>
      <c r="C1157">
        <v>61</v>
      </c>
      <c r="D1157" s="8">
        <v>1.4400999999999999</v>
      </c>
      <c r="E1157">
        <v>14000</v>
      </c>
      <c r="H1157" t="s">
        <v>987</v>
      </c>
      <c r="K1157" s="4">
        <v>0.5</v>
      </c>
      <c r="L1157" t="s">
        <v>172</v>
      </c>
      <c r="N1157" s="3">
        <v>2</v>
      </c>
      <c r="O1157" s="3">
        <v>0</v>
      </c>
      <c r="P1157">
        <v>22.5</v>
      </c>
      <c r="Q1157">
        <v>9</v>
      </c>
      <c r="R1157" t="s">
        <v>775</v>
      </c>
      <c r="S1157">
        <v>0.02</v>
      </c>
      <c r="T1157" s="6">
        <f>10^-(14-Q1157)</f>
        <v>1.0000000000000001E-5</v>
      </c>
      <c r="U1157" s="6">
        <v>0</v>
      </c>
      <c r="V1157" s="6">
        <v>0.02</v>
      </c>
      <c r="W1157" s="6">
        <v>0</v>
      </c>
      <c r="X1157" s="6">
        <v>0</v>
      </c>
      <c r="Y1157" t="s">
        <v>171</v>
      </c>
      <c r="AD1157">
        <v>0.2</v>
      </c>
      <c r="AE1157">
        <v>300</v>
      </c>
      <c r="AF1157">
        <v>1</v>
      </c>
      <c r="AL1157" s="9">
        <v>17.5</v>
      </c>
      <c r="AM1157" s="9">
        <v>11</v>
      </c>
      <c r="AN1157" s="9">
        <v>2.5</v>
      </c>
      <c r="AO1157" s="9" t="s">
        <v>987</v>
      </c>
      <c r="AQ1157" s="1"/>
    </row>
    <row r="1158" spans="1:43" x14ac:dyDescent="0.3">
      <c r="A1158" t="s">
        <v>656</v>
      </c>
      <c r="B1158" s="1" t="s">
        <v>1613</v>
      </c>
      <c r="C1158">
        <v>61</v>
      </c>
      <c r="D1158" s="8">
        <v>1.4400999999999999</v>
      </c>
      <c r="E1158">
        <v>14000</v>
      </c>
      <c r="H1158" t="s">
        <v>987</v>
      </c>
      <c r="K1158" s="4">
        <v>0.5</v>
      </c>
      <c r="L1158" t="s">
        <v>172</v>
      </c>
      <c r="N1158" s="3">
        <v>3</v>
      </c>
      <c r="O1158" s="3">
        <v>0</v>
      </c>
      <c r="P1158">
        <v>22.5</v>
      </c>
      <c r="Q1158">
        <v>9</v>
      </c>
      <c r="R1158" t="s">
        <v>775</v>
      </c>
      <c r="S1158">
        <v>0.02</v>
      </c>
      <c r="T1158" s="6">
        <f>10^-(14-Q1158)</f>
        <v>1.0000000000000001E-5</v>
      </c>
      <c r="U1158" s="6">
        <v>0</v>
      </c>
      <c r="V1158" s="6">
        <v>0.02</v>
      </c>
      <c r="W1158" s="6">
        <v>0</v>
      </c>
      <c r="X1158" s="6">
        <v>0</v>
      </c>
      <c r="Y1158" t="s">
        <v>171</v>
      </c>
      <c r="AD1158">
        <v>0.2</v>
      </c>
      <c r="AE1158">
        <v>200</v>
      </c>
      <c r="AF1158">
        <v>1</v>
      </c>
      <c r="AL1158" s="9">
        <v>17.5</v>
      </c>
      <c r="AM1158" s="9">
        <v>11</v>
      </c>
      <c r="AN1158" s="9">
        <v>2.5</v>
      </c>
      <c r="AO1158" s="9" t="s">
        <v>987</v>
      </c>
      <c r="AQ1158" s="1"/>
    </row>
    <row r="1159" spans="1:43" x14ac:dyDescent="0.3">
      <c r="A1159" t="s">
        <v>657</v>
      </c>
      <c r="B1159" s="1" t="s">
        <v>1613</v>
      </c>
      <c r="C1159">
        <v>61</v>
      </c>
      <c r="D1159" s="8">
        <v>1.4400999999999999</v>
      </c>
      <c r="E1159">
        <v>14000</v>
      </c>
      <c r="H1159" t="s">
        <v>987</v>
      </c>
      <c r="K1159" s="4">
        <v>0.5</v>
      </c>
      <c r="L1159" t="s">
        <v>172</v>
      </c>
      <c r="N1159" s="3">
        <v>5</v>
      </c>
      <c r="O1159" s="3">
        <v>0</v>
      </c>
      <c r="P1159">
        <v>22.5</v>
      </c>
      <c r="Q1159">
        <v>9</v>
      </c>
      <c r="R1159" t="s">
        <v>775</v>
      </c>
      <c r="S1159">
        <v>0.02</v>
      </c>
      <c r="T1159" s="6">
        <f>10^-(14-Q1159)</f>
        <v>1.0000000000000001E-5</v>
      </c>
      <c r="U1159" s="6">
        <v>0</v>
      </c>
      <c r="V1159" s="6">
        <v>0.02</v>
      </c>
      <c r="W1159" s="6">
        <v>0</v>
      </c>
      <c r="X1159" s="6">
        <v>0</v>
      </c>
      <c r="Y1159" t="s">
        <v>171</v>
      </c>
      <c r="AD1159">
        <v>0.2</v>
      </c>
      <c r="AE1159">
        <v>100</v>
      </c>
      <c r="AF1159">
        <v>1</v>
      </c>
      <c r="AL1159" s="9">
        <v>17.5</v>
      </c>
      <c r="AM1159" s="9">
        <v>11</v>
      </c>
      <c r="AN1159" s="9">
        <v>2.5</v>
      </c>
      <c r="AO1159" s="9" t="s">
        <v>987</v>
      </c>
      <c r="AQ1159" s="1"/>
    </row>
    <row r="1160" spans="1:43" x14ac:dyDescent="0.3">
      <c r="A1160" t="s">
        <v>630</v>
      </c>
      <c r="B1160" s="1" t="s">
        <v>1613</v>
      </c>
      <c r="C1160">
        <v>61</v>
      </c>
      <c r="D1160" s="8">
        <v>1.4456</v>
      </c>
      <c r="E1160">
        <v>14000</v>
      </c>
      <c r="H1160" t="s">
        <v>987</v>
      </c>
      <c r="K1160" s="4">
        <v>0.5</v>
      </c>
      <c r="L1160" t="s">
        <v>172</v>
      </c>
      <c r="N1160" s="3">
        <v>1</v>
      </c>
      <c r="O1160" s="3">
        <v>0</v>
      </c>
      <c r="P1160">
        <v>22.5</v>
      </c>
      <c r="Q1160">
        <v>13</v>
      </c>
      <c r="R1160" t="s">
        <v>774</v>
      </c>
      <c r="S1160">
        <v>0.1</v>
      </c>
      <c r="T1160" s="6">
        <f>10^-(14-Q1160)</f>
        <v>0.1</v>
      </c>
      <c r="U1160" s="6">
        <v>0</v>
      </c>
      <c r="V1160" s="6">
        <v>0</v>
      </c>
      <c r="W1160" s="6">
        <v>0</v>
      </c>
      <c r="X1160" s="6">
        <v>0</v>
      </c>
      <c r="Y1160" t="s">
        <v>171</v>
      </c>
      <c r="Z1160" s="5">
        <v>-300</v>
      </c>
      <c r="AD1160">
        <v>0.2</v>
      </c>
      <c r="AE1160">
        <v>580</v>
      </c>
      <c r="AF1160">
        <v>1</v>
      </c>
      <c r="AH1160" s="9">
        <v>18.399999999999999</v>
      </c>
      <c r="AK1160" s="9">
        <v>4.0000000000000001E-3</v>
      </c>
      <c r="AL1160" s="9">
        <v>17.899999999999999</v>
      </c>
      <c r="AM1160" s="9">
        <v>0.2</v>
      </c>
      <c r="AN1160" s="9">
        <v>1.9</v>
      </c>
      <c r="AQ1160" s="1"/>
    </row>
    <row r="1161" spans="1:43" x14ac:dyDescent="0.3">
      <c r="A1161" t="s">
        <v>631</v>
      </c>
      <c r="B1161" s="1" t="s">
        <v>1613</v>
      </c>
      <c r="C1161">
        <v>61</v>
      </c>
      <c r="D1161" s="8">
        <v>1.4456</v>
      </c>
      <c r="E1161">
        <v>14000</v>
      </c>
      <c r="H1161" t="s">
        <v>987</v>
      </c>
      <c r="K1161" s="4">
        <v>0.5</v>
      </c>
      <c r="L1161" t="s">
        <v>172</v>
      </c>
      <c r="N1161" s="3">
        <v>2</v>
      </c>
      <c r="O1161" s="3">
        <v>0</v>
      </c>
      <c r="P1161">
        <v>22.5</v>
      </c>
      <c r="Q1161">
        <v>13</v>
      </c>
      <c r="R1161" t="s">
        <v>774</v>
      </c>
      <c r="S1161">
        <v>0.1</v>
      </c>
      <c r="T1161" s="6">
        <f>10^-(14-Q1161)</f>
        <v>0.1</v>
      </c>
      <c r="U1161" s="6">
        <v>0</v>
      </c>
      <c r="V1161" s="6">
        <v>0</v>
      </c>
      <c r="W1161" s="6">
        <v>0</v>
      </c>
      <c r="X1161" s="6">
        <v>0</v>
      </c>
      <c r="Y1161" t="s">
        <v>171</v>
      </c>
      <c r="Z1161" s="5">
        <v>-300</v>
      </c>
      <c r="AD1161">
        <v>0.2</v>
      </c>
      <c r="AE1161">
        <v>580</v>
      </c>
      <c r="AF1161">
        <v>1</v>
      </c>
      <c r="AH1161" s="9">
        <v>18.399999999999999</v>
      </c>
      <c r="AK1161" s="9">
        <v>4.0000000000000001E-3</v>
      </c>
      <c r="AL1161" s="9">
        <v>17.899999999999999</v>
      </c>
      <c r="AM1161" s="9">
        <v>0.2</v>
      </c>
      <c r="AN1161" s="9">
        <v>1.9</v>
      </c>
      <c r="AQ1161" s="1"/>
    </row>
    <row r="1162" spans="1:43" x14ac:dyDescent="0.3">
      <c r="A1162" t="s">
        <v>632</v>
      </c>
      <c r="B1162" s="1" t="s">
        <v>1613</v>
      </c>
      <c r="C1162">
        <v>61</v>
      </c>
      <c r="D1162" s="8">
        <v>1.4456</v>
      </c>
      <c r="E1162">
        <v>14000</v>
      </c>
      <c r="H1162" t="s">
        <v>987</v>
      </c>
      <c r="K1162" s="4">
        <v>0.5</v>
      </c>
      <c r="L1162" t="s">
        <v>172</v>
      </c>
      <c r="N1162" s="3">
        <v>3</v>
      </c>
      <c r="O1162" s="3">
        <v>0</v>
      </c>
      <c r="P1162">
        <v>22.5</v>
      </c>
      <c r="Q1162">
        <v>13</v>
      </c>
      <c r="R1162" t="s">
        <v>774</v>
      </c>
      <c r="S1162">
        <v>0.1</v>
      </c>
      <c r="T1162" s="6">
        <f>10^-(14-Q1162)</f>
        <v>0.1</v>
      </c>
      <c r="U1162" s="6">
        <v>0</v>
      </c>
      <c r="V1162" s="6">
        <v>0</v>
      </c>
      <c r="W1162" s="6">
        <v>0</v>
      </c>
      <c r="X1162" s="6">
        <v>0</v>
      </c>
      <c r="Y1162" t="s">
        <v>171</v>
      </c>
      <c r="Z1162" s="5">
        <v>-300</v>
      </c>
      <c r="AD1162">
        <v>0.2</v>
      </c>
      <c r="AE1162">
        <v>560</v>
      </c>
      <c r="AF1162">
        <v>1</v>
      </c>
      <c r="AH1162" s="9">
        <v>18.399999999999999</v>
      </c>
      <c r="AK1162" s="9">
        <v>4.0000000000000001E-3</v>
      </c>
      <c r="AL1162" s="9">
        <v>17.899999999999999</v>
      </c>
      <c r="AM1162" s="9">
        <v>0.2</v>
      </c>
      <c r="AN1162" s="9">
        <v>1.9</v>
      </c>
      <c r="AQ1162" s="1"/>
    </row>
    <row r="1163" spans="1:43" x14ac:dyDescent="0.3">
      <c r="A1163" t="s">
        <v>633</v>
      </c>
      <c r="B1163" s="1" t="s">
        <v>1613</v>
      </c>
      <c r="C1163">
        <v>61</v>
      </c>
      <c r="D1163" s="8">
        <v>1.4456</v>
      </c>
      <c r="E1163">
        <v>14000</v>
      </c>
      <c r="H1163" t="s">
        <v>987</v>
      </c>
      <c r="K1163" s="4">
        <v>0.5</v>
      </c>
      <c r="L1163" t="s">
        <v>172</v>
      </c>
      <c r="N1163" s="3">
        <v>4</v>
      </c>
      <c r="O1163" s="3">
        <v>0</v>
      </c>
      <c r="P1163">
        <v>22.5</v>
      </c>
      <c r="Q1163">
        <v>13</v>
      </c>
      <c r="R1163" t="s">
        <v>774</v>
      </c>
      <c r="S1163">
        <v>0.1</v>
      </c>
      <c r="T1163" s="6">
        <f>10^-(14-Q1163)</f>
        <v>0.1</v>
      </c>
      <c r="U1163" s="6">
        <v>0</v>
      </c>
      <c r="V1163" s="6">
        <v>0</v>
      </c>
      <c r="W1163" s="6">
        <v>0</v>
      </c>
      <c r="X1163" s="6">
        <v>0</v>
      </c>
      <c r="Y1163" t="s">
        <v>171</v>
      </c>
      <c r="Z1163" s="5">
        <v>-300</v>
      </c>
      <c r="AD1163">
        <v>0.2</v>
      </c>
      <c r="AE1163">
        <v>560</v>
      </c>
      <c r="AF1163">
        <v>1</v>
      </c>
      <c r="AH1163" s="9">
        <v>18.399999999999999</v>
      </c>
      <c r="AK1163" s="9">
        <v>4.0000000000000001E-3</v>
      </c>
      <c r="AL1163" s="9">
        <v>17.899999999999999</v>
      </c>
      <c r="AM1163" s="9">
        <v>0.2</v>
      </c>
      <c r="AN1163" s="9">
        <v>1.9</v>
      </c>
      <c r="AQ1163" s="1"/>
    </row>
    <row r="1164" spans="1:43" x14ac:dyDescent="0.3">
      <c r="A1164" t="s">
        <v>634</v>
      </c>
      <c r="B1164" s="1" t="s">
        <v>1613</v>
      </c>
      <c r="C1164">
        <v>61</v>
      </c>
      <c r="D1164" s="8">
        <v>1.4456</v>
      </c>
      <c r="E1164">
        <v>14000</v>
      </c>
      <c r="H1164" t="s">
        <v>987</v>
      </c>
      <c r="K1164" s="4">
        <v>0.5</v>
      </c>
      <c r="L1164" t="s">
        <v>172</v>
      </c>
      <c r="N1164" s="3">
        <v>5</v>
      </c>
      <c r="O1164" s="3">
        <v>0</v>
      </c>
      <c r="P1164">
        <v>22.5</v>
      </c>
      <c r="Q1164">
        <v>13</v>
      </c>
      <c r="R1164" t="s">
        <v>774</v>
      </c>
      <c r="S1164">
        <v>0.1</v>
      </c>
      <c r="T1164" s="6">
        <f>10^-(14-Q1164)</f>
        <v>0.1</v>
      </c>
      <c r="U1164" s="6">
        <v>0</v>
      </c>
      <c r="V1164" s="6">
        <v>0</v>
      </c>
      <c r="W1164" s="6">
        <v>0</v>
      </c>
      <c r="X1164" s="6">
        <v>0</v>
      </c>
      <c r="Y1164" t="s">
        <v>171</v>
      </c>
      <c r="Z1164" s="5">
        <v>-300</v>
      </c>
      <c r="AD1164">
        <v>0.2</v>
      </c>
      <c r="AE1164">
        <v>400</v>
      </c>
      <c r="AF1164">
        <v>1</v>
      </c>
      <c r="AH1164" s="9">
        <v>18.399999999999999</v>
      </c>
      <c r="AK1164" s="9">
        <v>4.0000000000000001E-3</v>
      </c>
      <c r="AL1164" s="9">
        <v>17.899999999999999</v>
      </c>
      <c r="AM1164" s="9">
        <v>0.2</v>
      </c>
      <c r="AN1164" s="9">
        <v>1.9</v>
      </c>
      <c r="AQ1164" s="1"/>
    </row>
    <row r="1165" spans="1:43" x14ac:dyDescent="0.3">
      <c r="A1165" t="s">
        <v>663</v>
      </c>
      <c r="B1165" s="1" t="s">
        <v>1613</v>
      </c>
      <c r="C1165">
        <v>61</v>
      </c>
      <c r="D1165" s="8">
        <v>1.4456</v>
      </c>
      <c r="E1165">
        <v>14000</v>
      </c>
      <c r="H1165" t="s">
        <v>987</v>
      </c>
      <c r="K1165" s="4">
        <v>0.5</v>
      </c>
      <c r="L1165" t="s">
        <v>172</v>
      </c>
      <c r="N1165" s="3">
        <v>0.5</v>
      </c>
      <c r="O1165" s="3">
        <v>0</v>
      </c>
      <c r="P1165">
        <v>22.5</v>
      </c>
      <c r="Q1165">
        <v>9</v>
      </c>
      <c r="R1165" t="s">
        <v>775</v>
      </c>
      <c r="S1165">
        <v>0.02</v>
      </c>
      <c r="T1165" s="6">
        <f>10^-(14-Q1165)</f>
        <v>1.0000000000000001E-5</v>
      </c>
      <c r="U1165" s="6">
        <v>0</v>
      </c>
      <c r="V1165" s="6">
        <v>0.02</v>
      </c>
      <c r="W1165" s="6">
        <v>0</v>
      </c>
      <c r="X1165" s="6">
        <v>0</v>
      </c>
      <c r="Y1165" t="s">
        <v>171</v>
      </c>
      <c r="Z1165" s="5">
        <v>-300</v>
      </c>
      <c r="AD1165">
        <v>0.2</v>
      </c>
      <c r="AE1165">
        <v>880</v>
      </c>
      <c r="AF1165">
        <v>2</v>
      </c>
      <c r="AH1165" s="9">
        <v>18.399999999999999</v>
      </c>
      <c r="AK1165" s="9">
        <v>4.0000000000000001E-3</v>
      </c>
      <c r="AL1165" s="9">
        <v>17.899999999999999</v>
      </c>
      <c r="AM1165" s="9">
        <v>0.2</v>
      </c>
      <c r="AN1165" s="9">
        <v>1.9</v>
      </c>
      <c r="AO1165" s="9" t="s">
        <v>987</v>
      </c>
      <c r="AQ1165" s="1"/>
    </row>
    <row r="1166" spans="1:43" x14ac:dyDescent="0.3">
      <c r="A1166" t="s">
        <v>664</v>
      </c>
      <c r="B1166" s="1" t="s">
        <v>1613</v>
      </c>
      <c r="C1166">
        <v>61</v>
      </c>
      <c r="D1166" s="8">
        <v>1.4456</v>
      </c>
      <c r="E1166">
        <v>14000</v>
      </c>
      <c r="H1166" t="s">
        <v>987</v>
      </c>
      <c r="K1166" s="4">
        <v>0.5</v>
      </c>
      <c r="L1166" t="s">
        <v>172</v>
      </c>
      <c r="N1166" s="3">
        <v>1</v>
      </c>
      <c r="O1166" s="3">
        <v>0</v>
      </c>
      <c r="P1166">
        <v>22.5</v>
      </c>
      <c r="Q1166">
        <v>9</v>
      </c>
      <c r="R1166" t="s">
        <v>775</v>
      </c>
      <c r="S1166">
        <v>0.02</v>
      </c>
      <c r="T1166" s="6">
        <f>10^-(14-Q1166)</f>
        <v>1.0000000000000001E-5</v>
      </c>
      <c r="U1166" s="6">
        <v>0</v>
      </c>
      <c r="V1166" s="6">
        <v>0.02</v>
      </c>
      <c r="W1166" s="6">
        <v>0</v>
      </c>
      <c r="X1166" s="6">
        <v>0</v>
      </c>
      <c r="Y1166" t="s">
        <v>171</v>
      </c>
      <c r="Z1166" s="5">
        <v>-300</v>
      </c>
      <c r="AD1166">
        <v>0.2</v>
      </c>
      <c r="AE1166">
        <v>880</v>
      </c>
      <c r="AF1166">
        <v>2</v>
      </c>
      <c r="AH1166" s="9">
        <v>18.399999999999999</v>
      </c>
      <c r="AK1166" s="9">
        <v>4.0000000000000001E-3</v>
      </c>
      <c r="AL1166" s="9">
        <v>17.899999999999999</v>
      </c>
      <c r="AM1166" s="9">
        <v>0.2</v>
      </c>
      <c r="AN1166" s="9">
        <v>1.9</v>
      </c>
      <c r="AO1166" s="9" t="s">
        <v>987</v>
      </c>
      <c r="AQ1166" s="1"/>
    </row>
    <row r="1167" spans="1:43" x14ac:dyDescent="0.3">
      <c r="A1167" t="s">
        <v>665</v>
      </c>
      <c r="B1167" s="1" t="s">
        <v>1613</v>
      </c>
      <c r="C1167">
        <v>61</v>
      </c>
      <c r="D1167" s="8">
        <v>1.4456</v>
      </c>
      <c r="E1167">
        <v>14000</v>
      </c>
      <c r="H1167" t="s">
        <v>987</v>
      </c>
      <c r="K1167" s="4">
        <v>0.5</v>
      </c>
      <c r="L1167" t="s">
        <v>172</v>
      </c>
      <c r="N1167" s="3">
        <v>2</v>
      </c>
      <c r="O1167" s="3">
        <v>0</v>
      </c>
      <c r="P1167">
        <v>22.5</v>
      </c>
      <c r="Q1167">
        <v>9</v>
      </c>
      <c r="R1167" t="s">
        <v>775</v>
      </c>
      <c r="S1167">
        <v>0.02</v>
      </c>
      <c r="T1167" s="6">
        <f>10^-(14-Q1167)</f>
        <v>1.0000000000000001E-5</v>
      </c>
      <c r="U1167" s="6">
        <v>0</v>
      </c>
      <c r="V1167" s="6">
        <v>0.02</v>
      </c>
      <c r="W1167" s="6">
        <v>0</v>
      </c>
      <c r="X1167" s="6">
        <v>0</v>
      </c>
      <c r="Y1167" t="s">
        <v>171</v>
      </c>
      <c r="Z1167" s="5">
        <v>-300</v>
      </c>
      <c r="AD1167">
        <v>0.2</v>
      </c>
      <c r="AE1167">
        <v>880</v>
      </c>
      <c r="AF1167">
        <v>2</v>
      </c>
      <c r="AH1167" s="9">
        <v>18.399999999999999</v>
      </c>
      <c r="AK1167" s="9">
        <v>4.0000000000000001E-3</v>
      </c>
      <c r="AL1167" s="9">
        <v>17.899999999999999</v>
      </c>
      <c r="AM1167" s="9">
        <v>0.2</v>
      </c>
      <c r="AN1167" s="9">
        <v>1.9</v>
      </c>
      <c r="AO1167" s="9" t="s">
        <v>987</v>
      </c>
      <c r="AQ1167" s="1"/>
    </row>
    <row r="1168" spans="1:43" x14ac:dyDescent="0.3">
      <c r="A1168" t="s">
        <v>666</v>
      </c>
      <c r="B1168" s="1" t="s">
        <v>1613</v>
      </c>
      <c r="C1168">
        <v>61</v>
      </c>
      <c r="D1168" s="8">
        <v>1.4456</v>
      </c>
      <c r="E1168">
        <v>14000</v>
      </c>
      <c r="H1168" t="s">
        <v>987</v>
      </c>
      <c r="K1168" s="4">
        <v>0.5</v>
      </c>
      <c r="L1168" t="s">
        <v>172</v>
      </c>
      <c r="N1168" s="3">
        <v>3</v>
      </c>
      <c r="O1168" s="3">
        <v>0</v>
      </c>
      <c r="P1168">
        <v>22.5</v>
      </c>
      <c r="Q1168">
        <v>9</v>
      </c>
      <c r="R1168" t="s">
        <v>775</v>
      </c>
      <c r="S1168">
        <v>0.02</v>
      </c>
      <c r="T1168" s="6">
        <f>10^-(14-Q1168)</f>
        <v>1.0000000000000001E-5</v>
      </c>
      <c r="U1168" s="6">
        <v>0</v>
      </c>
      <c r="V1168" s="6">
        <v>0.02</v>
      </c>
      <c r="W1168" s="6">
        <v>0</v>
      </c>
      <c r="X1168" s="6">
        <v>0</v>
      </c>
      <c r="Y1168" t="s">
        <v>171</v>
      </c>
      <c r="Z1168" s="5">
        <v>-300</v>
      </c>
      <c r="AD1168">
        <v>0.2</v>
      </c>
      <c r="AE1168">
        <v>880</v>
      </c>
      <c r="AF1168">
        <v>2</v>
      </c>
      <c r="AH1168" s="9">
        <v>18.399999999999999</v>
      </c>
      <c r="AK1168" s="9">
        <v>4.0000000000000001E-3</v>
      </c>
      <c r="AL1168" s="9">
        <v>17.899999999999999</v>
      </c>
      <c r="AM1168" s="9">
        <v>0.2</v>
      </c>
      <c r="AN1168" s="9">
        <v>1.9</v>
      </c>
      <c r="AO1168" s="9" t="s">
        <v>987</v>
      </c>
      <c r="AQ1168" s="1"/>
    </row>
    <row r="1169" spans="1:43" x14ac:dyDescent="0.3">
      <c r="A1169" t="s">
        <v>667</v>
      </c>
      <c r="B1169" s="1" t="s">
        <v>1613</v>
      </c>
      <c r="C1169">
        <v>61</v>
      </c>
      <c r="D1169" s="8">
        <v>1.4456</v>
      </c>
      <c r="E1169">
        <v>14000</v>
      </c>
      <c r="H1169" t="s">
        <v>987</v>
      </c>
      <c r="K1169" s="4">
        <v>0.5</v>
      </c>
      <c r="L1169" t="s">
        <v>172</v>
      </c>
      <c r="N1169" s="3">
        <v>3</v>
      </c>
      <c r="O1169" s="3">
        <v>0</v>
      </c>
      <c r="P1169">
        <v>22.5</v>
      </c>
      <c r="Q1169">
        <v>9</v>
      </c>
      <c r="R1169" t="s">
        <v>775</v>
      </c>
      <c r="S1169">
        <v>0.02</v>
      </c>
      <c r="T1169" s="6">
        <f>10^-(14-Q1169)</f>
        <v>1.0000000000000001E-5</v>
      </c>
      <c r="U1169" s="6">
        <v>0</v>
      </c>
      <c r="V1169" s="6">
        <v>0.02</v>
      </c>
      <c r="W1169" s="6">
        <v>0</v>
      </c>
      <c r="X1169" s="6">
        <v>0</v>
      </c>
      <c r="Y1169" t="s">
        <v>171</v>
      </c>
      <c r="Z1169" s="5">
        <v>-300</v>
      </c>
      <c r="AD1169">
        <v>0.2</v>
      </c>
      <c r="AE1169">
        <v>380</v>
      </c>
      <c r="AF1169">
        <v>1</v>
      </c>
      <c r="AH1169" s="9">
        <v>18.399999999999999</v>
      </c>
      <c r="AK1169" s="9">
        <v>4.0000000000000001E-3</v>
      </c>
      <c r="AL1169" s="9">
        <v>17.899999999999999</v>
      </c>
      <c r="AM1169" s="9">
        <v>0.2</v>
      </c>
      <c r="AN1169" s="9">
        <v>1.9</v>
      </c>
      <c r="AO1169" s="9" t="s">
        <v>987</v>
      </c>
      <c r="AQ1169" s="1"/>
    </row>
    <row r="1170" spans="1:43" x14ac:dyDescent="0.3">
      <c r="A1170" t="s">
        <v>668</v>
      </c>
      <c r="B1170" s="1" t="s">
        <v>1613</v>
      </c>
      <c r="C1170">
        <v>61</v>
      </c>
      <c r="D1170" s="8">
        <v>1.4456</v>
      </c>
      <c r="E1170">
        <v>14000</v>
      </c>
      <c r="H1170" t="s">
        <v>987</v>
      </c>
      <c r="K1170" s="4">
        <v>0.5</v>
      </c>
      <c r="L1170" t="s">
        <v>172</v>
      </c>
      <c r="N1170" s="3">
        <v>5</v>
      </c>
      <c r="O1170" s="3">
        <v>0</v>
      </c>
      <c r="P1170">
        <v>22.5</v>
      </c>
      <c r="Q1170">
        <v>9</v>
      </c>
      <c r="R1170" t="s">
        <v>775</v>
      </c>
      <c r="S1170">
        <v>0.02</v>
      </c>
      <c r="T1170" s="6">
        <f>10^-(14-Q1170)</f>
        <v>1.0000000000000001E-5</v>
      </c>
      <c r="U1170" s="6">
        <v>0</v>
      </c>
      <c r="V1170" s="6">
        <v>0.02</v>
      </c>
      <c r="W1170" s="6">
        <v>0</v>
      </c>
      <c r="X1170" s="6">
        <v>0</v>
      </c>
      <c r="Y1170" t="s">
        <v>171</v>
      </c>
      <c r="Z1170" s="5">
        <v>-300</v>
      </c>
      <c r="AD1170">
        <v>0.2</v>
      </c>
      <c r="AE1170">
        <v>220</v>
      </c>
      <c r="AF1170">
        <v>1</v>
      </c>
      <c r="AH1170" s="9">
        <v>18.399999999999999</v>
      </c>
      <c r="AK1170" s="9">
        <v>4.0000000000000001E-3</v>
      </c>
      <c r="AL1170" s="9">
        <v>17.899999999999999</v>
      </c>
      <c r="AM1170" s="9">
        <v>0.2</v>
      </c>
      <c r="AN1170" s="9">
        <v>1.9</v>
      </c>
      <c r="AO1170" s="9" t="s">
        <v>987</v>
      </c>
      <c r="AQ1170" s="1"/>
    </row>
    <row r="1171" spans="1:43" x14ac:dyDescent="0.3">
      <c r="A1171" t="s">
        <v>669</v>
      </c>
      <c r="B1171" s="1" t="s">
        <v>1613</v>
      </c>
      <c r="C1171">
        <v>61</v>
      </c>
      <c r="D1171" s="8">
        <v>1.4456</v>
      </c>
      <c r="E1171">
        <v>14000</v>
      </c>
      <c r="H1171" t="s">
        <v>987</v>
      </c>
      <c r="K1171" s="4">
        <v>0.5</v>
      </c>
      <c r="L1171" t="s">
        <v>172</v>
      </c>
      <c r="N1171" s="3">
        <v>5</v>
      </c>
      <c r="O1171" s="3">
        <v>0</v>
      </c>
      <c r="P1171">
        <v>22.5</v>
      </c>
      <c r="Q1171">
        <v>9</v>
      </c>
      <c r="R1171" t="s">
        <v>775</v>
      </c>
      <c r="S1171">
        <v>0.02</v>
      </c>
      <c r="T1171" s="6">
        <f>10^-(14-Q1171)</f>
        <v>1.0000000000000001E-5</v>
      </c>
      <c r="U1171" s="6">
        <v>0</v>
      </c>
      <c r="V1171" s="6">
        <v>0.02</v>
      </c>
      <c r="W1171" s="6">
        <v>0</v>
      </c>
      <c r="X1171" s="6">
        <v>0</v>
      </c>
      <c r="Y1171" t="s">
        <v>171</v>
      </c>
      <c r="Z1171" s="5">
        <v>-300</v>
      </c>
      <c r="AD1171">
        <v>0.2</v>
      </c>
      <c r="AE1171">
        <v>180</v>
      </c>
      <c r="AF1171">
        <v>1</v>
      </c>
      <c r="AH1171" s="9">
        <v>18.399999999999999</v>
      </c>
      <c r="AK1171" s="9">
        <v>4.0000000000000001E-3</v>
      </c>
      <c r="AL1171" s="9">
        <v>17.899999999999999</v>
      </c>
      <c r="AM1171" s="9">
        <v>0.2</v>
      </c>
      <c r="AN1171" s="9">
        <v>1.9</v>
      </c>
      <c r="AO1171" s="9" t="s">
        <v>987</v>
      </c>
      <c r="AQ1171" s="1"/>
    </row>
    <row r="1172" spans="1:43" x14ac:dyDescent="0.3">
      <c r="A1172" t="s">
        <v>642</v>
      </c>
      <c r="B1172" s="1" t="s">
        <v>1613</v>
      </c>
      <c r="C1172">
        <v>61</v>
      </c>
      <c r="D1172" s="8">
        <v>1.4300999999999999</v>
      </c>
      <c r="E1172">
        <v>14000</v>
      </c>
      <c r="H1172" t="s">
        <v>987</v>
      </c>
      <c r="K1172" s="4">
        <v>0.5</v>
      </c>
      <c r="L1172" t="s">
        <v>172</v>
      </c>
      <c r="N1172" s="3">
        <v>0.5</v>
      </c>
      <c r="O1172" s="3">
        <v>0</v>
      </c>
      <c r="P1172">
        <v>22.5</v>
      </c>
      <c r="Q1172">
        <v>9</v>
      </c>
      <c r="R1172" t="s">
        <v>775</v>
      </c>
      <c r="S1172">
        <v>0.02</v>
      </c>
      <c r="T1172" s="6">
        <f>10^-(14-Q1172)</f>
        <v>1.0000000000000001E-5</v>
      </c>
      <c r="U1172" s="6">
        <v>0</v>
      </c>
      <c r="V1172" s="6">
        <v>0.02</v>
      </c>
      <c r="W1172" s="6">
        <v>0</v>
      </c>
      <c r="X1172" s="6">
        <v>0</v>
      </c>
      <c r="Y1172" t="s">
        <v>171</v>
      </c>
      <c r="AD1172">
        <v>0.2</v>
      </c>
      <c r="AE1172">
        <v>450</v>
      </c>
      <c r="AF1172">
        <v>1</v>
      </c>
      <c r="AL1172" s="9">
        <v>18</v>
      </c>
      <c r="AM1172" s="9">
        <v>8</v>
      </c>
      <c r="AO1172" s="9" t="s">
        <v>987</v>
      </c>
      <c r="AQ1172" s="1"/>
    </row>
    <row r="1173" spans="1:43" x14ac:dyDescent="0.3">
      <c r="A1173" t="s">
        <v>643</v>
      </c>
      <c r="B1173" s="1" t="s">
        <v>1613</v>
      </c>
      <c r="C1173">
        <v>61</v>
      </c>
      <c r="D1173" s="8">
        <v>1.4300999999999999</v>
      </c>
      <c r="E1173">
        <v>14000</v>
      </c>
      <c r="H1173" t="s">
        <v>987</v>
      </c>
      <c r="K1173" s="4">
        <v>0.5</v>
      </c>
      <c r="L1173" t="s">
        <v>172</v>
      </c>
      <c r="N1173" s="3">
        <v>1</v>
      </c>
      <c r="O1173" s="3">
        <v>0</v>
      </c>
      <c r="P1173">
        <v>22.5</v>
      </c>
      <c r="Q1173">
        <v>9</v>
      </c>
      <c r="R1173" t="s">
        <v>775</v>
      </c>
      <c r="S1173">
        <v>0.02</v>
      </c>
      <c r="T1173" s="6">
        <f>10^-(14-Q1173)</f>
        <v>1.0000000000000001E-5</v>
      </c>
      <c r="U1173" s="6">
        <v>0</v>
      </c>
      <c r="V1173" s="6">
        <v>0.02</v>
      </c>
      <c r="W1173" s="6">
        <v>0</v>
      </c>
      <c r="X1173" s="6">
        <v>0</v>
      </c>
      <c r="Y1173" t="s">
        <v>171</v>
      </c>
      <c r="AD1173">
        <v>0.2</v>
      </c>
      <c r="AE1173">
        <v>300</v>
      </c>
      <c r="AF1173">
        <v>1</v>
      </c>
      <c r="AL1173" s="9">
        <v>18</v>
      </c>
      <c r="AM1173" s="9">
        <v>8</v>
      </c>
      <c r="AO1173" s="9" t="s">
        <v>987</v>
      </c>
      <c r="AQ1173" s="1"/>
    </row>
    <row r="1174" spans="1:43" x14ac:dyDescent="0.3">
      <c r="A1174" t="s">
        <v>644</v>
      </c>
      <c r="B1174" s="1" t="s">
        <v>1613</v>
      </c>
      <c r="C1174">
        <v>61</v>
      </c>
      <c r="D1174" s="8">
        <v>1.4300999999999999</v>
      </c>
      <c r="E1174">
        <v>14000</v>
      </c>
      <c r="H1174" t="s">
        <v>987</v>
      </c>
      <c r="K1174" s="4">
        <v>0.5</v>
      </c>
      <c r="L1174" t="s">
        <v>172</v>
      </c>
      <c r="N1174" s="3">
        <v>2</v>
      </c>
      <c r="O1174" s="3">
        <v>0</v>
      </c>
      <c r="P1174">
        <v>22.5</v>
      </c>
      <c r="Q1174">
        <v>9</v>
      </c>
      <c r="R1174" t="s">
        <v>775</v>
      </c>
      <c r="S1174">
        <v>0.02</v>
      </c>
      <c r="T1174" s="6">
        <f>10^-(14-Q1174)</f>
        <v>1.0000000000000001E-5</v>
      </c>
      <c r="U1174" s="6">
        <v>0</v>
      </c>
      <c r="V1174" s="6">
        <v>0.02</v>
      </c>
      <c r="W1174" s="6">
        <v>0</v>
      </c>
      <c r="X1174" s="6">
        <v>0</v>
      </c>
      <c r="Y1174" t="s">
        <v>171</v>
      </c>
      <c r="AD1174">
        <v>0.2</v>
      </c>
      <c r="AE1174">
        <v>250</v>
      </c>
      <c r="AF1174">
        <v>1</v>
      </c>
      <c r="AL1174" s="9">
        <v>18</v>
      </c>
      <c r="AM1174" s="9">
        <v>8</v>
      </c>
      <c r="AO1174" s="9" t="s">
        <v>987</v>
      </c>
      <c r="AQ1174" s="1"/>
    </row>
    <row r="1175" spans="1:43" x14ac:dyDescent="0.3">
      <c r="A1175" t="s">
        <v>645</v>
      </c>
      <c r="B1175" s="1" t="s">
        <v>1613</v>
      </c>
      <c r="C1175">
        <v>61</v>
      </c>
      <c r="D1175" s="8">
        <v>1.4300999999999999</v>
      </c>
      <c r="E1175">
        <v>14000</v>
      </c>
      <c r="H1175" t="s">
        <v>987</v>
      </c>
      <c r="K1175" s="4">
        <v>0.5</v>
      </c>
      <c r="L1175" t="s">
        <v>172</v>
      </c>
      <c r="N1175" s="3">
        <v>3</v>
      </c>
      <c r="O1175" s="3">
        <v>0</v>
      </c>
      <c r="P1175">
        <v>22.5</v>
      </c>
      <c r="Q1175">
        <v>9</v>
      </c>
      <c r="R1175" t="s">
        <v>775</v>
      </c>
      <c r="S1175">
        <v>0.02</v>
      </c>
      <c r="T1175" s="6">
        <f>10^-(14-Q1175)</f>
        <v>1.0000000000000001E-5</v>
      </c>
      <c r="U1175" s="6">
        <v>0</v>
      </c>
      <c r="V1175" s="6">
        <v>0.02</v>
      </c>
      <c r="W1175" s="6">
        <v>0</v>
      </c>
      <c r="X1175" s="6">
        <v>0</v>
      </c>
      <c r="Y1175" t="s">
        <v>171</v>
      </c>
      <c r="AD1175">
        <v>0.2</v>
      </c>
      <c r="AE1175">
        <v>180</v>
      </c>
      <c r="AF1175">
        <v>1</v>
      </c>
      <c r="AL1175" s="9">
        <v>18</v>
      </c>
      <c r="AM1175" s="9">
        <v>8</v>
      </c>
      <c r="AO1175" s="9" t="s">
        <v>987</v>
      </c>
      <c r="AQ1175" s="1"/>
    </row>
    <row r="1176" spans="1:43" x14ac:dyDescent="0.3">
      <c r="A1176" t="s">
        <v>646</v>
      </c>
      <c r="B1176" s="1" t="s">
        <v>1613</v>
      </c>
      <c r="C1176">
        <v>61</v>
      </c>
      <c r="D1176" s="8">
        <v>1.4300999999999999</v>
      </c>
      <c r="E1176">
        <v>14000</v>
      </c>
      <c r="H1176" t="s">
        <v>987</v>
      </c>
      <c r="K1176" s="4">
        <v>0.5</v>
      </c>
      <c r="L1176" t="s">
        <v>172</v>
      </c>
      <c r="N1176" s="3">
        <v>5</v>
      </c>
      <c r="O1176" s="3">
        <v>0</v>
      </c>
      <c r="P1176">
        <v>22.5</v>
      </c>
      <c r="Q1176">
        <v>9</v>
      </c>
      <c r="R1176" t="s">
        <v>775</v>
      </c>
      <c r="S1176">
        <v>0.02</v>
      </c>
      <c r="T1176" s="6">
        <f>10^-(14-Q1176)</f>
        <v>1.0000000000000001E-5</v>
      </c>
      <c r="U1176" s="6">
        <v>0</v>
      </c>
      <c r="V1176" s="6">
        <v>0.02</v>
      </c>
      <c r="W1176" s="6">
        <v>0</v>
      </c>
      <c r="X1176" s="6">
        <v>0</v>
      </c>
      <c r="Y1176" t="s">
        <v>171</v>
      </c>
      <c r="AD1176">
        <v>0.2</v>
      </c>
      <c r="AE1176">
        <v>50</v>
      </c>
      <c r="AF1176">
        <v>1</v>
      </c>
      <c r="AL1176" s="9">
        <v>18</v>
      </c>
      <c r="AM1176" s="9">
        <v>8</v>
      </c>
      <c r="AO1176" s="9" t="s">
        <v>987</v>
      </c>
      <c r="AQ1176" s="1"/>
    </row>
    <row r="1177" spans="1:43" x14ac:dyDescent="0.3">
      <c r="A1177" t="s">
        <v>676</v>
      </c>
      <c r="B1177" s="1" t="s">
        <v>1613</v>
      </c>
      <c r="C1177">
        <v>61</v>
      </c>
      <c r="D1177" s="8">
        <v>1.4300999999999999</v>
      </c>
      <c r="E1177">
        <v>14000</v>
      </c>
      <c r="H1177" t="s">
        <v>987</v>
      </c>
      <c r="K1177" s="4">
        <v>0.5</v>
      </c>
      <c r="L1177" t="s">
        <v>172</v>
      </c>
      <c r="N1177" s="3">
        <v>5</v>
      </c>
      <c r="O1177" s="3">
        <v>0</v>
      </c>
      <c r="P1177">
        <v>22.5</v>
      </c>
      <c r="Q1177">
        <v>13.9</v>
      </c>
      <c r="R1177" t="s">
        <v>776</v>
      </c>
      <c r="S1177">
        <v>1</v>
      </c>
      <c r="T1177" s="6">
        <f>10^-(14-Q1177)</f>
        <v>0.79432823472428216</v>
      </c>
      <c r="U1177" s="6">
        <v>0</v>
      </c>
      <c r="V1177" s="6">
        <v>0</v>
      </c>
      <c r="W1177" s="6">
        <v>0</v>
      </c>
      <c r="X1177" s="6">
        <v>0</v>
      </c>
      <c r="Y1177" t="s">
        <v>171</v>
      </c>
      <c r="AD1177">
        <v>0.2</v>
      </c>
      <c r="AE1177">
        <v>500</v>
      </c>
      <c r="AF1177">
        <v>2</v>
      </c>
      <c r="AL1177" s="9">
        <v>18</v>
      </c>
      <c r="AM1177" s="9">
        <v>8</v>
      </c>
      <c r="AO1177" s="9" t="s">
        <v>987</v>
      </c>
      <c r="AQ1177" s="1"/>
    </row>
    <row r="1178" spans="1:43" x14ac:dyDescent="0.3">
      <c r="A1178" t="s">
        <v>677</v>
      </c>
      <c r="B1178" s="1" t="s">
        <v>1613</v>
      </c>
      <c r="C1178">
        <v>61</v>
      </c>
      <c r="D1178" s="8">
        <v>1.4300999999999999</v>
      </c>
      <c r="E1178">
        <v>14000</v>
      </c>
      <c r="H1178" t="s">
        <v>987</v>
      </c>
      <c r="K1178" s="4">
        <v>0.5</v>
      </c>
      <c r="L1178" t="s">
        <v>172</v>
      </c>
      <c r="N1178" s="3">
        <v>5</v>
      </c>
      <c r="O1178" s="3">
        <v>0</v>
      </c>
      <c r="P1178">
        <v>22.5</v>
      </c>
      <c r="Q1178">
        <v>13.9</v>
      </c>
      <c r="R1178" t="s">
        <v>776</v>
      </c>
      <c r="S1178">
        <v>1</v>
      </c>
      <c r="T1178" s="6">
        <f>10^-(14-Q1178)</f>
        <v>0.79432823472428216</v>
      </c>
      <c r="U1178" s="6">
        <v>0</v>
      </c>
      <c r="V1178" s="6">
        <v>0</v>
      </c>
      <c r="W1178" s="6">
        <v>0</v>
      </c>
      <c r="X1178" s="6">
        <v>0</v>
      </c>
      <c r="Y1178" t="s">
        <v>171</v>
      </c>
      <c r="AD1178">
        <v>0.2</v>
      </c>
      <c r="AE1178">
        <v>500</v>
      </c>
      <c r="AF1178">
        <v>2</v>
      </c>
      <c r="AL1178" s="9">
        <v>18</v>
      </c>
      <c r="AM1178" s="9">
        <v>8</v>
      </c>
      <c r="AO1178" s="9" t="s">
        <v>987</v>
      </c>
      <c r="AQ1178" s="1"/>
    </row>
    <row r="1179" spans="1:43" x14ac:dyDescent="0.3">
      <c r="A1179" t="s">
        <v>619</v>
      </c>
      <c r="B1179" s="1" t="s">
        <v>1613</v>
      </c>
      <c r="C1179">
        <v>61</v>
      </c>
      <c r="D1179" s="8">
        <v>1.4300999999999999</v>
      </c>
      <c r="E1179">
        <v>14000</v>
      </c>
      <c r="H1179" t="s">
        <v>987</v>
      </c>
      <c r="K1179" s="4">
        <v>0.5</v>
      </c>
      <c r="L1179" t="s">
        <v>172</v>
      </c>
      <c r="N1179" s="3">
        <v>5</v>
      </c>
      <c r="O1179" s="3">
        <v>0</v>
      </c>
      <c r="P1179">
        <v>22.5</v>
      </c>
      <c r="Q1179">
        <v>13</v>
      </c>
      <c r="R1179" t="s">
        <v>774</v>
      </c>
      <c r="S1179">
        <v>0.1</v>
      </c>
      <c r="T1179" s="6">
        <f>10^-(14-Q1179)</f>
        <v>0.1</v>
      </c>
      <c r="U1179" s="6">
        <v>0</v>
      </c>
      <c r="V1179" s="6">
        <v>0</v>
      </c>
      <c r="W1179" s="6">
        <v>0</v>
      </c>
      <c r="X1179" s="6">
        <v>0</v>
      </c>
      <c r="Y1179" t="s">
        <v>171</v>
      </c>
      <c r="Z1179" s="5">
        <v>-400</v>
      </c>
      <c r="AD1179">
        <v>0.2</v>
      </c>
      <c r="AE1179">
        <v>200</v>
      </c>
      <c r="AF1179">
        <v>1</v>
      </c>
      <c r="AK1179" s="9">
        <v>3.0000000000000001E-3</v>
      </c>
      <c r="AL1179" s="9">
        <v>18.100000000000001</v>
      </c>
      <c r="AM1179" s="9">
        <v>8.6999999999999993</v>
      </c>
      <c r="AN1179" s="9">
        <v>0.05</v>
      </c>
      <c r="AQ1179" s="1"/>
    </row>
    <row r="1180" spans="1:43" x14ac:dyDescent="0.3">
      <c r="A1180" t="s">
        <v>620</v>
      </c>
      <c r="B1180" s="1" t="s">
        <v>1613</v>
      </c>
      <c r="C1180">
        <v>61</v>
      </c>
      <c r="D1180" s="8">
        <v>1.4300999999999999</v>
      </c>
      <c r="E1180">
        <v>14000</v>
      </c>
      <c r="H1180" t="s">
        <v>987</v>
      </c>
      <c r="K1180" s="4">
        <v>0.5</v>
      </c>
      <c r="L1180" t="s">
        <v>172</v>
      </c>
      <c r="N1180" s="3">
        <v>5</v>
      </c>
      <c r="O1180" s="3">
        <v>0</v>
      </c>
      <c r="P1180">
        <v>22.5</v>
      </c>
      <c r="Q1180">
        <v>13</v>
      </c>
      <c r="R1180" t="s">
        <v>774</v>
      </c>
      <c r="S1180">
        <v>0.1</v>
      </c>
      <c r="T1180" s="6">
        <f>10^-(14-Q1180)</f>
        <v>0.1</v>
      </c>
      <c r="U1180" s="6">
        <v>0</v>
      </c>
      <c r="V1180" s="6">
        <v>0</v>
      </c>
      <c r="W1180" s="6">
        <v>0</v>
      </c>
      <c r="X1180" s="6">
        <v>0</v>
      </c>
      <c r="Y1180" t="s">
        <v>171</v>
      </c>
      <c r="Z1180" s="5">
        <v>-400</v>
      </c>
      <c r="AD1180">
        <v>0.2</v>
      </c>
      <c r="AE1180">
        <v>300</v>
      </c>
      <c r="AF1180">
        <v>1</v>
      </c>
      <c r="AK1180" s="9">
        <v>3.0000000000000001E-3</v>
      </c>
      <c r="AL1180" s="9">
        <v>18.100000000000001</v>
      </c>
      <c r="AM1180" s="9">
        <v>8.6999999999999993</v>
      </c>
      <c r="AN1180" s="9">
        <v>0.05</v>
      </c>
      <c r="AQ1180" s="1"/>
    </row>
    <row r="1181" spans="1:43" x14ac:dyDescent="0.3">
      <c r="A1181" t="s">
        <v>621</v>
      </c>
      <c r="B1181" s="1" t="s">
        <v>1613</v>
      </c>
      <c r="C1181">
        <v>61</v>
      </c>
      <c r="D1181" s="8">
        <v>1.4300999999999999</v>
      </c>
      <c r="E1181">
        <v>14000</v>
      </c>
      <c r="H1181" t="s">
        <v>987</v>
      </c>
      <c r="K1181" s="4">
        <v>0.5</v>
      </c>
      <c r="L1181" t="s">
        <v>172</v>
      </c>
      <c r="N1181" s="3">
        <v>5</v>
      </c>
      <c r="O1181" s="3">
        <v>0</v>
      </c>
      <c r="P1181">
        <v>22.5</v>
      </c>
      <c r="Q1181">
        <v>13</v>
      </c>
      <c r="R1181" t="s">
        <v>774</v>
      </c>
      <c r="S1181">
        <v>0.1</v>
      </c>
      <c r="T1181" s="6">
        <f>10^-(14-Q1181)</f>
        <v>0.1</v>
      </c>
      <c r="U1181" s="6">
        <v>0</v>
      </c>
      <c r="V1181" s="6">
        <v>0</v>
      </c>
      <c r="W1181" s="6">
        <v>0</v>
      </c>
      <c r="X1181" s="6">
        <v>0</v>
      </c>
      <c r="Y1181" t="s">
        <v>171</v>
      </c>
      <c r="Z1181" s="5">
        <v>-400</v>
      </c>
      <c r="AD1181">
        <v>0.2</v>
      </c>
      <c r="AE1181">
        <v>450</v>
      </c>
      <c r="AF1181">
        <v>1</v>
      </c>
      <c r="AK1181" s="9">
        <v>3.0000000000000001E-3</v>
      </c>
      <c r="AL1181" s="9">
        <v>18.100000000000001</v>
      </c>
      <c r="AM1181" s="9">
        <v>8.6999999999999993</v>
      </c>
      <c r="AN1181" s="9">
        <v>0.05</v>
      </c>
      <c r="AQ1181" s="1"/>
    </row>
    <row r="1182" spans="1:43" x14ac:dyDescent="0.3">
      <c r="A1182" t="s">
        <v>622</v>
      </c>
      <c r="B1182" s="1" t="s">
        <v>1613</v>
      </c>
      <c r="C1182">
        <v>61</v>
      </c>
      <c r="D1182" s="8">
        <v>1.4300999999999999</v>
      </c>
      <c r="E1182">
        <v>14000</v>
      </c>
      <c r="H1182" t="s">
        <v>987</v>
      </c>
      <c r="K1182" s="4">
        <v>0.5</v>
      </c>
      <c r="L1182" t="s">
        <v>172</v>
      </c>
      <c r="N1182" s="3">
        <v>5</v>
      </c>
      <c r="O1182" s="3">
        <v>0</v>
      </c>
      <c r="P1182">
        <v>22.5</v>
      </c>
      <c r="Q1182">
        <v>13</v>
      </c>
      <c r="R1182" t="s">
        <v>774</v>
      </c>
      <c r="S1182">
        <v>0.1</v>
      </c>
      <c r="T1182" s="6">
        <f>10^-(14-Q1182)</f>
        <v>0.1</v>
      </c>
      <c r="U1182" s="6">
        <v>0</v>
      </c>
      <c r="V1182" s="6">
        <v>0</v>
      </c>
      <c r="W1182" s="6">
        <v>0</v>
      </c>
      <c r="X1182" s="6">
        <v>0</v>
      </c>
      <c r="Y1182" t="s">
        <v>171</v>
      </c>
      <c r="Z1182" s="5">
        <v>-400</v>
      </c>
      <c r="AD1182">
        <v>0.2</v>
      </c>
      <c r="AE1182">
        <v>500</v>
      </c>
      <c r="AF1182">
        <v>1</v>
      </c>
      <c r="AK1182" s="9">
        <v>3.0000000000000001E-3</v>
      </c>
      <c r="AL1182" s="9">
        <v>18.100000000000001</v>
      </c>
      <c r="AM1182" s="9">
        <v>8.6999999999999993</v>
      </c>
      <c r="AN1182" s="9">
        <v>0.05</v>
      </c>
      <c r="AQ1182" s="1"/>
    </row>
    <row r="1183" spans="1:43" x14ac:dyDescent="0.3">
      <c r="A1183" t="s">
        <v>623</v>
      </c>
      <c r="B1183" s="1" t="s">
        <v>1613</v>
      </c>
      <c r="C1183">
        <v>61</v>
      </c>
      <c r="D1183" s="8">
        <v>1.4300999999999999</v>
      </c>
      <c r="E1183">
        <v>14000</v>
      </c>
      <c r="H1183" t="s">
        <v>987</v>
      </c>
      <c r="K1183" s="4">
        <v>0.5</v>
      </c>
      <c r="L1183" t="s">
        <v>172</v>
      </c>
      <c r="N1183" s="3">
        <v>3</v>
      </c>
      <c r="O1183" s="3">
        <v>0</v>
      </c>
      <c r="P1183">
        <v>22.5</v>
      </c>
      <c r="Q1183">
        <v>13</v>
      </c>
      <c r="R1183" t="s">
        <v>774</v>
      </c>
      <c r="S1183">
        <v>0.1</v>
      </c>
      <c r="T1183" s="6">
        <f>10^-(14-Q1183)</f>
        <v>0.1</v>
      </c>
      <c r="U1183" s="6">
        <v>0</v>
      </c>
      <c r="V1183" s="6">
        <v>0</v>
      </c>
      <c r="W1183" s="6">
        <v>0</v>
      </c>
      <c r="X1183" s="6">
        <v>0</v>
      </c>
      <c r="Y1183" t="s">
        <v>171</v>
      </c>
      <c r="Z1183" s="5">
        <v>-400</v>
      </c>
      <c r="AD1183">
        <v>0.2</v>
      </c>
      <c r="AE1183">
        <v>580</v>
      </c>
      <c r="AF1183">
        <v>1</v>
      </c>
      <c r="AK1183" s="9">
        <v>3.0000000000000001E-3</v>
      </c>
      <c r="AL1183" s="9">
        <v>18.100000000000001</v>
      </c>
      <c r="AM1183" s="9">
        <v>8.6999999999999993</v>
      </c>
      <c r="AN1183" s="9">
        <v>0.05</v>
      </c>
      <c r="AQ1183" s="1"/>
    </row>
    <row r="1184" spans="1:43" x14ac:dyDescent="0.3">
      <c r="A1184" t="s">
        <v>658</v>
      </c>
      <c r="B1184" s="1" t="s">
        <v>1613</v>
      </c>
      <c r="C1184">
        <v>61</v>
      </c>
      <c r="D1184" s="8">
        <v>1.4461999999999999</v>
      </c>
      <c r="E1184">
        <v>14000</v>
      </c>
      <c r="H1184" t="s">
        <v>987</v>
      </c>
      <c r="K1184" s="4">
        <v>0.5</v>
      </c>
      <c r="L1184" t="s">
        <v>172</v>
      </c>
      <c r="N1184" s="3">
        <v>0.5</v>
      </c>
      <c r="O1184" s="3">
        <v>0</v>
      </c>
      <c r="P1184">
        <v>22.5</v>
      </c>
      <c r="Q1184">
        <v>9</v>
      </c>
      <c r="R1184" t="s">
        <v>775</v>
      </c>
      <c r="S1184">
        <v>0.02</v>
      </c>
      <c r="T1184" s="6">
        <f>10^-(14-Q1184)</f>
        <v>1.0000000000000001E-5</v>
      </c>
      <c r="U1184" s="6">
        <v>0</v>
      </c>
      <c r="V1184" s="6">
        <v>0.02</v>
      </c>
      <c r="W1184" s="6">
        <v>0</v>
      </c>
      <c r="X1184" s="6">
        <v>0</v>
      </c>
      <c r="Y1184" t="s">
        <v>171</v>
      </c>
      <c r="Z1184" s="5">
        <v>-300</v>
      </c>
      <c r="AD1184">
        <v>0.2</v>
      </c>
      <c r="AE1184">
        <v>900</v>
      </c>
      <c r="AF1184">
        <v>2</v>
      </c>
      <c r="AK1184" s="9">
        <v>3.0000000000000001E-3</v>
      </c>
      <c r="AL1184" s="9">
        <v>18.100000000000001</v>
      </c>
      <c r="AM1184" s="9">
        <v>8.6999999999999993</v>
      </c>
      <c r="AN1184" s="9">
        <v>0.05</v>
      </c>
      <c r="AO1184" s="9" t="s">
        <v>987</v>
      </c>
      <c r="AQ1184" s="1"/>
    </row>
    <row r="1185" spans="1:43" x14ac:dyDescent="0.3">
      <c r="A1185" t="s">
        <v>659</v>
      </c>
      <c r="B1185" s="1" t="s">
        <v>1613</v>
      </c>
      <c r="C1185">
        <v>61</v>
      </c>
      <c r="D1185" s="8">
        <v>1.4461999999999999</v>
      </c>
      <c r="E1185">
        <v>14000</v>
      </c>
      <c r="H1185" t="s">
        <v>987</v>
      </c>
      <c r="K1185" s="4">
        <v>0.5</v>
      </c>
      <c r="L1185" t="s">
        <v>172</v>
      </c>
      <c r="N1185" s="3">
        <v>1</v>
      </c>
      <c r="O1185" s="3">
        <v>0</v>
      </c>
      <c r="P1185">
        <v>22.5</v>
      </c>
      <c r="Q1185">
        <v>9</v>
      </c>
      <c r="R1185" t="s">
        <v>775</v>
      </c>
      <c r="S1185">
        <v>0.02</v>
      </c>
      <c r="T1185" s="6">
        <f>10^-(14-Q1185)</f>
        <v>1.0000000000000001E-5</v>
      </c>
      <c r="U1185" s="6">
        <v>0</v>
      </c>
      <c r="V1185" s="6">
        <v>0.02</v>
      </c>
      <c r="W1185" s="6">
        <v>0</v>
      </c>
      <c r="X1185" s="6">
        <v>0</v>
      </c>
      <c r="Y1185" t="s">
        <v>171</v>
      </c>
      <c r="Z1185" s="5">
        <v>-300</v>
      </c>
      <c r="AD1185">
        <v>0.2</v>
      </c>
      <c r="AE1185">
        <v>900</v>
      </c>
      <c r="AF1185">
        <v>2</v>
      </c>
      <c r="AK1185" s="9">
        <v>3.0000000000000001E-3</v>
      </c>
      <c r="AL1185" s="9">
        <v>18.100000000000001</v>
      </c>
      <c r="AM1185" s="9">
        <v>8.6999999999999993</v>
      </c>
      <c r="AN1185" s="9">
        <v>0.05</v>
      </c>
      <c r="AO1185" s="9" t="s">
        <v>987</v>
      </c>
      <c r="AQ1185" s="1"/>
    </row>
    <row r="1186" spans="1:43" x14ac:dyDescent="0.3">
      <c r="A1186" t="s">
        <v>660</v>
      </c>
      <c r="B1186" s="1" t="s">
        <v>1613</v>
      </c>
      <c r="C1186">
        <v>61</v>
      </c>
      <c r="D1186" s="8">
        <v>1.4461999999999999</v>
      </c>
      <c r="E1186">
        <v>14000</v>
      </c>
      <c r="H1186" t="s">
        <v>987</v>
      </c>
      <c r="K1186" s="4">
        <v>0.5</v>
      </c>
      <c r="L1186" t="s">
        <v>172</v>
      </c>
      <c r="N1186" s="3">
        <v>2</v>
      </c>
      <c r="O1186" s="3">
        <v>0</v>
      </c>
      <c r="P1186">
        <v>22.5</v>
      </c>
      <c r="Q1186">
        <v>9</v>
      </c>
      <c r="R1186" t="s">
        <v>775</v>
      </c>
      <c r="S1186">
        <v>0.02</v>
      </c>
      <c r="T1186" s="6">
        <f>10^-(14-Q1186)</f>
        <v>1.0000000000000001E-5</v>
      </c>
      <c r="U1186" s="6">
        <v>0</v>
      </c>
      <c r="V1186" s="6">
        <v>0.02</v>
      </c>
      <c r="W1186" s="6">
        <v>0</v>
      </c>
      <c r="X1186" s="6">
        <v>0</v>
      </c>
      <c r="Y1186" t="s">
        <v>171</v>
      </c>
      <c r="Z1186" s="5">
        <v>-300</v>
      </c>
      <c r="AD1186">
        <v>0.2</v>
      </c>
      <c r="AE1186">
        <v>900</v>
      </c>
      <c r="AF1186">
        <v>2</v>
      </c>
      <c r="AK1186" s="9">
        <v>3.0000000000000001E-3</v>
      </c>
      <c r="AL1186" s="9">
        <v>18.100000000000001</v>
      </c>
      <c r="AM1186" s="9">
        <v>8.6999999999999993</v>
      </c>
      <c r="AN1186" s="9">
        <v>0.05</v>
      </c>
      <c r="AO1186" s="9" t="s">
        <v>987</v>
      </c>
      <c r="AQ1186" s="1"/>
    </row>
    <row r="1187" spans="1:43" x14ac:dyDescent="0.3">
      <c r="A1187" t="s">
        <v>661</v>
      </c>
      <c r="B1187" s="1" t="s">
        <v>1613</v>
      </c>
      <c r="C1187">
        <v>61</v>
      </c>
      <c r="D1187" s="8">
        <v>1.4461999999999999</v>
      </c>
      <c r="E1187">
        <v>14000</v>
      </c>
      <c r="H1187" t="s">
        <v>987</v>
      </c>
      <c r="K1187" s="4">
        <v>0.5</v>
      </c>
      <c r="L1187" t="s">
        <v>172</v>
      </c>
      <c r="N1187" s="3">
        <v>3</v>
      </c>
      <c r="O1187" s="3">
        <v>0</v>
      </c>
      <c r="P1187">
        <v>22.5</v>
      </c>
      <c r="Q1187">
        <v>9</v>
      </c>
      <c r="R1187" t="s">
        <v>775</v>
      </c>
      <c r="S1187">
        <v>0.02</v>
      </c>
      <c r="T1187" s="6">
        <f>10^-(14-Q1187)</f>
        <v>1.0000000000000001E-5</v>
      </c>
      <c r="U1187" s="6">
        <v>0</v>
      </c>
      <c r="V1187" s="6">
        <v>0.02</v>
      </c>
      <c r="W1187" s="6">
        <v>0</v>
      </c>
      <c r="X1187" s="6">
        <v>0</v>
      </c>
      <c r="Y1187" t="s">
        <v>171</v>
      </c>
      <c r="Z1187" s="5">
        <v>-300</v>
      </c>
      <c r="AD1187">
        <v>0.2</v>
      </c>
      <c r="AE1187">
        <v>900</v>
      </c>
      <c r="AF1187">
        <v>2</v>
      </c>
      <c r="AK1187" s="9">
        <v>3.0000000000000001E-3</v>
      </c>
      <c r="AL1187" s="9">
        <v>18.100000000000001</v>
      </c>
      <c r="AM1187" s="9">
        <v>8.6999999999999993</v>
      </c>
      <c r="AN1187" s="9">
        <v>0.05</v>
      </c>
      <c r="AO1187" s="9" t="s">
        <v>987</v>
      </c>
      <c r="AQ1187" s="1"/>
    </row>
    <row r="1188" spans="1:43" x14ac:dyDescent="0.3">
      <c r="A1188" t="s">
        <v>662</v>
      </c>
      <c r="B1188" s="1" t="s">
        <v>1613</v>
      </c>
      <c r="C1188">
        <v>61</v>
      </c>
      <c r="D1188" s="8">
        <v>1.4461999999999999</v>
      </c>
      <c r="E1188">
        <v>14000</v>
      </c>
      <c r="H1188" t="s">
        <v>987</v>
      </c>
      <c r="K1188" s="4">
        <v>0.5</v>
      </c>
      <c r="L1188" t="s">
        <v>172</v>
      </c>
      <c r="N1188" s="3">
        <v>5</v>
      </c>
      <c r="O1188" s="3">
        <v>0</v>
      </c>
      <c r="P1188">
        <v>22.5</v>
      </c>
      <c r="Q1188">
        <v>9</v>
      </c>
      <c r="R1188" t="s">
        <v>775</v>
      </c>
      <c r="S1188">
        <v>0.02</v>
      </c>
      <c r="T1188" s="6">
        <f>10^-(14-Q1188)</f>
        <v>1.0000000000000001E-5</v>
      </c>
      <c r="U1188" s="6">
        <v>0</v>
      </c>
      <c r="V1188" s="6">
        <v>0.02</v>
      </c>
      <c r="W1188" s="6">
        <v>0</v>
      </c>
      <c r="X1188" s="6">
        <v>0</v>
      </c>
      <c r="Y1188" t="s">
        <v>171</v>
      </c>
      <c r="Z1188" s="5">
        <v>-300</v>
      </c>
      <c r="AD1188">
        <v>0.2</v>
      </c>
      <c r="AE1188">
        <v>900</v>
      </c>
      <c r="AF1188">
        <v>2</v>
      </c>
      <c r="AK1188" s="9">
        <v>3.0000000000000001E-3</v>
      </c>
      <c r="AL1188" s="9">
        <v>18.100000000000001</v>
      </c>
      <c r="AM1188" s="9">
        <v>8.6999999999999993</v>
      </c>
      <c r="AN1188" s="9">
        <v>0.05</v>
      </c>
      <c r="AO1188" s="9" t="s">
        <v>987</v>
      </c>
      <c r="AQ1188" s="1"/>
    </row>
    <row r="1189" spans="1:43" x14ac:dyDescent="0.3">
      <c r="A1189" t="s">
        <v>627</v>
      </c>
      <c r="B1189" s="1" t="s">
        <v>1613</v>
      </c>
      <c r="C1189">
        <v>61</v>
      </c>
      <c r="D1189" s="8">
        <v>1.4461999999999999</v>
      </c>
      <c r="E1189">
        <v>14000</v>
      </c>
      <c r="H1189" t="s">
        <v>987</v>
      </c>
      <c r="K1189" s="4">
        <v>0.5</v>
      </c>
      <c r="L1189" t="s">
        <v>172</v>
      </c>
      <c r="N1189" s="3">
        <v>2</v>
      </c>
      <c r="O1189" s="3">
        <v>0</v>
      </c>
      <c r="P1189">
        <v>22.5</v>
      </c>
      <c r="Q1189">
        <v>13</v>
      </c>
      <c r="R1189" t="s">
        <v>774</v>
      </c>
      <c r="S1189">
        <v>0.1</v>
      </c>
      <c r="T1189" s="6">
        <f>10^-(14-Q1189)</f>
        <v>0.1</v>
      </c>
      <c r="U1189" s="6">
        <v>0</v>
      </c>
      <c r="V1189" s="6">
        <v>0</v>
      </c>
      <c r="W1189" s="6">
        <v>0</v>
      </c>
      <c r="X1189" s="6">
        <v>0</v>
      </c>
      <c r="Y1189" t="s">
        <v>171</v>
      </c>
      <c r="Z1189" s="5">
        <v>-300</v>
      </c>
      <c r="AD1189">
        <v>0.2</v>
      </c>
      <c r="AE1189">
        <v>560</v>
      </c>
      <c r="AF1189">
        <v>1</v>
      </c>
      <c r="AK1189" s="9">
        <v>5.0000000000000001E-3</v>
      </c>
      <c r="AL1189" s="9">
        <v>21.8</v>
      </c>
      <c r="AM1189" s="9">
        <v>5.6</v>
      </c>
      <c r="AN1189" s="9">
        <v>2.9</v>
      </c>
      <c r="AQ1189" s="1"/>
    </row>
    <row r="1190" spans="1:43" x14ac:dyDescent="0.3">
      <c r="A1190" t="s">
        <v>628</v>
      </c>
      <c r="B1190" s="1" t="s">
        <v>1613</v>
      </c>
      <c r="C1190">
        <v>61</v>
      </c>
      <c r="D1190" s="8">
        <v>1.4461999999999999</v>
      </c>
      <c r="E1190">
        <v>14000</v>
      </c>
      <c r="H1190" t="s">
        <v>987</v>
      </c>
      <c r="K1190" s="4">
        <v>0.5</v>
      </c>
      <c r="L1190" t="s">
        <v>172</v>
      </c>
      <c r="N1190" s="3">
        <v>3</v>
      </c>
      <c r="O1190" s="3">
        <v>0</v>
      </c>
      <c r="P1190">
        <v>22.5</v>
      </c>
      <c r="Q1190">
        <v>13</v>
      </c>
      <c r="R1190" t="s">
        <v>774</v>
      </c>
      <c r="S1190">
        <v>0.1</v>
      </c>
      <c r="T1190" s="6">
        <f>10^-(14-Q1190)</f>
        <v>0.1</v>
      </c>
      <c r="U1190" s="6">
        <v>0</v>
      </c>
      <c r="V1190" s="6">
        <v>0</v>
      </c>
      <c r="W1190" s="6">
        <v>0</v>
      </c>
      <c r="X1190" s="6">
        <v>0</v>
      </c>
      <c r="Y1190" t="s">
        <v>171</v>
      </c>
      <c r="Z1190" s="5">
        <v>-300</v>
      </c>
      <c r="AD1190">
        <v>0.2</v>
      </c>
      <c r="AE1190">
        <v>560</v>
      </c>
      <c r="AF1190">
        <v>1</v>
      </c>
      <c r="AK1190" s="9">
        <v>5.0000000000000001E-3</v>
      </c>
      <c r="AL1190" s="9">
        <v>21.8</v>
      </c>
      <c r="AM1190" s="9">
        <v>5.6</v>
      </c>
      <c r="AN1190" s="9">
        <v>2.9</v>
      </c>
    </row>
    <row r="1191" spans="1:43" x14ac:dyDescent="0.3">
      <c r="A1191" t="s">
        <v>629</v>
      </c>
      <c r="B1191" s="1" t="s">
        <v>1613</v>
      </c>
      <c r="C1191">
        <v>61</v>
      </c>
      <c r="D1191" s="8">
        <v>1.4461999999999999</v>
      </c>
      <c r="E1191">
        <v>14000</v>
      </c>
      <c r="H1191" t="s">
        <v>987</v>
      </c>
      <c r="K1191" s="4">
        <v>0.5</v>
      </c>
      <c r="L1191" t="s">
        <v>172</v>
      </c>
      <c r="N1191" s="3">
        <v>5</v>
      </c>
      <c r="O1191" s="3">
        <v>0</v>
      </c>
      <c r="P1191">
        <v>22.5</v>
      </c>
      <c r="Q1191">
        <v>13</v>
      </c>
      <c r="R1191" t="s">
        <v>774</v>
      </c>
      <c r="S1191">
        <v>0.1</v>
      </c>
      <c r="T1191" s="6">
        <f>10^-(14-Q1191)</f>
        <v>0.1</v>
      </c>
      <c r="U1191" s="6">
        <v>0</v>
      </c>
      <c r="V1191" s="6">
        <v>0</v>
      </c>
      <c r="W1191" s="6">
        <v>0</v>
      </c>
      <c r="X1191" s="6">
        <v>0</v>
      </c>
      <c r="Y1191" t="s">
        <v>171</v>
      </c>
      <c r="Z1191" s="5">
        <v>-300</v>
      </c>
      <c r="AD1191">
        <v>0.2</v>
      </c>
      <c r="AE1191">
        <v>560</v>
      </c>
      <c r="AF1191">
        <v>1</v>
      </c>
      <c r="AK1191" s="9">
        <v>5.0000000000000001E-3</v>
      </c>
      <c r="AL1191" s="9">
        <v>21.8</v>
      </c>
      <c r="AM1191" s="9">
        <v>5.6</v>
      </c>
      <c r="AN1191" s="9">
        <v>2.9</v>
      </c>
    </row>
    <row r="1192" spans="1:43" x14ac:dyDescent="0.3">
      <c r="A1192" t="s">
        <v>624</v>
      </c>
      <c r="B1192" s="1" t="s">
        <v>1613</v>
      </c>
      <c r="C1192">
        <v>61</v>
      </c>
      <c r="D1192" s="8">
        <v>1.4400999999999999</v>
      </c>
      <c r="E1192">
        <v>14000</v>
      </c>
      <c r="H1192" t="s">
        <v>987</v>
      </c>
      <c r="K1192" s="4">
        <v>0.5</v>
      </c>
      <c r="L1192" t="s">
        <v>172</v>
      </c>
      <c r="N1192" s="3">
        <v>2</v>
      </c>
      <c r="O1192" s="3">
        <v>0</v>
      </c>
      <c r="P1192">
        <v>22.5</v>
      </c>
      <c r="Q1192">
        <v>13</v>
      </c>
      <c r="R1192" t="s">
        <v>774</v>
      </c>
      <c r="S1192">
        <v>0.1</v>
      </c>
      <c r="T1192" s="6">
        <f>10^-(14-Q1192)</f>
        <v>0.1</v>
      </c>
      <c r="U1192" s="6">
        <v>0</v>
      </c>
      <c r="V1192" s="6">
        <v>0</v>
      </c>
      <c r="W1192" s="6">
        <v>0</v>
      </c>
      <c r="X1192" s="6">
        <v>0</v>
      </c>
      <c r="Y1192" t="s">
        <v>171</v>
      </c>
      <c r="AD1192">
        <v>0.2</v>
      </c>
      <c r="AE1192">
        <v>520</v>
      </c>
      <c r="AF1192">
        <v>1</v>
      </c>
    </row>
    <row r="1193" spans="1:43" x14ac:dyDescent="0.3">
      <c r="A1193" t="s">
        <v>625</v>
      </c>
      <c r="B1193" s="1" t="s">
        <v>1613</v>
      </c>
      <c r="C1193">
        <v>61</v>
      </c>
      <c r="D1193" s="8">
        <v>1.4400999999999999</v>
      </c>
      <c r="E1193">
        <v>14000</v>
      </c>
      <c r="H1193" t="s">
        <v>987</v>
      </c>
      <c r="K1193" s="4">
        <v>0.5</v>
      </c>
      <c r="L1193" t="s">
        <v>172</v>
      </c>
      <c r="N1193" s="3">
        <v>3</v>
      </c>
      <c r="O1193" s="3">
        <v>0</v>
      </c>
      <c r="P1193">
        <v>22.5</v>
      </c>
      <c r="Q1193">
        <v>13</v>
      </c>
      <c r="R1193" t="s">
        <v>774</v>
      </c>
      <c r="S1193">
        <v>0.1</v>
      </c>
      <c r="T1193" s="6">
        <f>10^-(14-Q1193)</f>
        <v>0.1</v>
      </c>
      <c r="U1193" s="6">
        <v>0</v>
      </c>
      <c r="V1193" s="6">
        <v>0</v>
      </c>
      <c r="W1193" s="6">
        <v>0</v>
      </c>
      <c r="X1193" s="6">
        <v>0</v>
      </c>
      <c r="Y1193" t="s">
        <v>171</v>
      </c>
      <c r="AD1193">
        <v>0.2</v>
      </c>
      <c r="AE1193">
        <v>520</v>
      </c>
      <c r="AF1193">
        <v>1</v>
      </c>
    </row>
    <row r="1194" spans="1:43" x14ac:dyDescent="0.3">
      <c r="A1194" t="s">
        <v>626</v>
      </c>
      <c r="B1194" s="1" t="s">
        <v>1613</v>
      </c>
      <c r="C1194">
        <v>61</v>
      </c>
      <c r="D1194" s="8">
        <v>1.4400999999999999</v>
      </c>
      <c r="E1194">
        <v>14000</v>
      </c>
      <c r="H1194" t="s">
        <v>987</v>
      </c>
      <c r="K1194" s="4">
        <v>0.5</v>
      </c>
      <c r="L1194" t="s">
        <v>172</v>
      </c>
      <c r="N1194" s="3">
        <v>5</v>
      </c>
      <c r="O1194" s="3">
        <v>0</v>
      </c>
      <c r="P1194">
        <v>22.5</v>
      </c>
      <c r="Q1194">
        <v>13</v>
      </c>
      <c r="R1194" t="s">
        <v>774</v>
      </c>
      <c r="S1194">
        <v>0.1</v>
      </c>
      <c r="T1194" s="6">
        <f>10^-(14-Q1194)</f>
        <v>0.1</v>
      </c>
      <c r="U1194" s="6">
        <v>0</v>
      </c>
      <c r="V1194" s="6">
        <v>0</v>
      </c>
      <c r="W1194" s="6">
        <v>0</v>
      </c>
      <c r="X1194" s="6">
        <v>0</v>
      </c>
      <c r="Y1194" t="s">
        <v>171</v>
      </c>
      <c r="AD1194">
        <v>0.2</v>
      </c>
      <c r="AE1194">
        <v>520</v>
      </c>
      <c r="AF1194">
        <v>1</v>
      </c>
    </row>
    <row r="1195" spans="1:43" x14ac:dyDescent="0.3">
      <c r="A1195" t="s">
        <v>635</v>
      </c>
      <c r="B1195" s="1" t="s">
        <v>1613</v>
      </c>
      <c r="C1195">
        <v>61</v>
      </c>
      <c r="D1195" s="8">
        <v>1.4003000000000001</v>
      </c>
      <c r="E1195">
        <v>14000</v>
      </c>
      <c r="H1195" t="s">
        <v>987</v>
      </c>
      <c r="K1195" s="4">
        <v>0.5</v>
      </c>
      <c r="L1195" t="s">
        <v>172</v>
      </c>
      <c r="N1195" s="3">
        <v>0.2</v>
      </c>
      <c r="O1195" s="3">
        <v>0</v>
      </c>
      <c r="P1195">
        <v>22.5</v>
      </c>
      <c r="Q1195">
        <v>13</v>
      </c>
      <c r="R1195" t="s">
        <v>774</v>
      </c>
      <c r="S1195">
        <v>0.1</v>
      </c>
      <c r="T1195" s="6">
        <f>10^-(14-Q1195)</f>
        <v>0.1</v>
      </c>
      <c r="U1195" s="6">
        <v>0</v>
      </c>
      <c r="V1195" s="6">
        <v>0</v>
      </c>
      <c r="W1195" s="6">
        <v>0</v>
      </c>
      <c r="X1195" s="6">
        <v>0</v>
      </c>
      <c r="Y1195" t="s">
        <v>171</v>
      </c>
      <c r="AD1195">
        <v>0.2</v>
      </c>
      <c r="AE1195">
        <v>450</v>
      </c>
      <c r="AF1195">
        <v>1</v>
      </c>
    </row>
    <row r="1196" spans="1:43" x14ac:dyDescent="0.3">
      <c r="A1196" t="s">
        <v>636</v>
      </c>
      <c r="B1196" s="1" t="s">
        <v>1613</v>
      </c>
      <c r="C1196">
        <v>61</v>
      </c>
      <c r="D1196" s="8">
        <v>1.4003000000000001</v>
      </c>
      <c r="E1196">
        <v>14000</v>
      </c>
      <c r="H1196" t="s">
        <v>987</v>
      </c>
      <c r="K1196" s="4">
        <v>0.5</v>
      </c>
      <c r="L1196" t="s">
        <v>172</v>
      </c>
      <c r="N1196" s="3">
        <v>0.5</v>
      </c>
      <c r="O1196" s="3">
        <v>0</v>
      </c>
      <c r="P1196">
        <v>22.5</v>
      </c>
      <c r="Q1196">
        <v>13</v>
      </c>
      <c r="R1196" t="s">
        <v>774</v>
      </c>
      <c r="S1196">
        <v>0.1</v>
      </c>
      <c r="T1196" s="6">
        <f>10^-(14-Q1196)</f>
        <v>0.1</v>
      </c>
      <c r="U1196" s="6">
        <v>0</v>
      </c>
      <c r="V1196" s="6">
        <v>0</v>
      </c>
      <c r="W1196" s="6">
        <v>0</v>
      </c>
      <c r="X1196" s="6">
        <v>0</v>
      </c>
      <c r="Y1196" t="s">
        <v>171</v>
      </c>
      <c r="AD1196">
        <v>0.2</v>
      </c>
      <c r="AE1196">
        <v>400</v>
      </c>
      <c r="AF1196">
        <v>1</v>
      </c>
      <c r="AO1196" s="9" t="s">
        <v>987</v>
      </c>
    </row>
    <row r="1197" spans="1:43" x14ac:dyDescent="0.3">
      <c r="A1197" t="s">
        <v>637</v>
      </c>
      <c r="B1197" s="1" t="s">
        <v>1613</v>
      </c>
      <c r="C1197">
        <v>61</v>
      </c>
      <c r="D1197" s="8">
        <v>1.4003000000000001</v>
      </c>
      <c r="E1197">
        <v>14000</v>
      </c>
      <c r="H1197" t="s">
        <v>987</v>
      </c>
      <c r="K1197" s="4">
        <v>0.5</v>
      </c>
      <c r="L1197" t="s">
        <v>172</v>
      </c>
      <c r="N1197" s="3">
        <v>1</v>
      </c>
      <c r="O1197" s="3">
        <v>0</v>
      </c>
      <c r="P1197">
        <v>22.5</v>
      </c>
      <c r="Q1197">
        <v>13</v>
      </c>
      <c r="R1197" t="s">
        <v>774</v>
      </c>
      <c r="S1197">
        <v>0.1</v>
      </c>
      <c r="T1197" s="6">
        <f>10^-(14-Q1197)</f>
        <v>0.1</v>
      </c>
      <c r="U1197" s="6">
        <v>0</v>
      </c>
      <c r="V1197" s="6">
        <v>0</v>
      </c>
      <c r="W1197" s="6">
        <v>0</v>
      </c>
      <c r="X1197" s="6">
        <v>0</v>
      </c>
      <c r="Y1197" t="s">
        <v>171</v>
      </c>
      <c r="AD1197">
        <v>0.2</v>
      </c>
      <c r="AE1197">
        <v>350</v>
      </c>
      <c r="AF1197">
        <v>1</v>
      </c>
      <c r="AO1197" s="9" t="s">
        <v>987</v>
      </c>
    </row>
    <row r="1198" spans="1:43" x14ac:dyDescent="0.3">
      <c r="A1198" t="s">
        <v>638</v>
      </c>
      <c r="B1198" s="1" t="s">
        <v>1613</v>
      </c>
      <c r="C1198">
        <v>61</v>
      </c>
      <c r="D1198" s="8">
        <v>1.4003000000000001</v>
      </c>
      <c r="E1198">
        <v>14000</v>
      </c>
      <c r="H1198" t="s">
        <v>987</v>
      </c>
      <c r="K1198" s="4">
        <v>0.5</v>
      </c>
      <c r="L1198" t="s">
        <v>172</v>
      </c>
      <c r="N1198" s="3">
        <v>2</v>
      </c>
      <c r="O1198" s="3">
        <v>0</v>
      </c>
      <c r="P1198">
        <v>22.5</v>
      </c>
      <c r="Q1198">
        <v>13</v>
      </c>
      <c r="R1198" t="s">
        <v>774</v>
      </c>
      <c r="S1198">
        <v>0.1</v>
      </c>
      <c r="T1198" s="6">
        <f>10^-(14-Q1198)</f>
        <v>0.1</v>
      </c>
      <c r="U1198" s="6">
        <v>0</v>
      </c>
      <c r="V1198" s="6">
        <v>0</v>
      </c>
      <c r="W1198" s="6">
        <v>0</v>
      </c>
      <c r="X1198" s="6">
        <v>0</v>
      </c>
      <c r="Y1198" t="s">
        <v>171</v>
      </c>
      <c r="AD1198">
        <v>0.2</v>
      </c>
      <c r="AE1198">
        <v>200</v>
      </c>
      <c r="AF1198">
        <v>1</v>
      </c>
      <c r="AO1198" s="9" t="s">
        <v>987</v>
      </c>
    </row>
    <row r="1199" spans="1:43" x14ac:dyDescent="0.3">
      <c r="A1199" t="s">
        <v>639</v>
      </c>
      <c r="B1199" s="1" t="s">
        <v>1613</v>
      </c>
      <c r="C1199">
        <v>61</v>
      </c>
      <c r="D1199" s="8">
        <v>1.4003000000000001</v>
      </c>
      <c r="E1199">
        <v>14000</v>
      </c>
      <c r="H1199" t="s">
        <v>987</v>
      </c>
      <c r="K1199" s="4">
        <v>0.5</v>
      </c>
      <c r="L1199" t="s">
        <v>172</v>
      </c>
      <c r="N1199" s="3">
        <v>3</v>
      </c>
      <c r="O1199" s="3">
        <v>0</v>
      </c>
      <c r="P1199">
        <v>22.5</v>
      </c>
      <c r="Q1199">
        <v>13</v>
      </c>
      <c r="R1199" t="s">
        <v>774</v>
      </c>
      <c r="S1199">
        <v>0.1</v>
      </c>
      <c r="T1199" s="6">
        <f>10^-(14-Q1199)</f>
        <v>0.1</v>
      </c>
      <c r="U1199" s="6">
        <v>0</v>
      </c>
      <c r="V1199" s="6">
        <v>0</v>
      </c>
      <c r="W1199" s="6">
        <v>0</v>
      </c>
      <c r="X1199" s="6">
        <v>0</v>
      </c>
      <c r="Y1199" t="s">
        <v>171</v>
      </c>
      <c r="AD1199">
        <v>0.2</v>
      </c>
      <c r="AE1199">
        <v>100</v>
      </c>
      <c r="AF1199">
        <v>1</v>
      </c>
      <c r="AO1199" s="9" t="s">
        <v>987</v>
      </c>
    </row>
    <row r="1200" spans="1:43" x14ac:dyDescent="0.3">
      <c r="A1200" t="s">
        <v>640</v>
      </c>
      <c r="B1200" s="1" t="s">
        <v>1613</v>
      </c>
      <c r="C1200">
        <v>61</v>
      </c>
      <c r="D1200" s="8">
        <v>1.4003000000000001</v>
      </c>
      <c r="E1200">
        <v>14000</v>
      </c>
      <c r="H1200" t="s">
        <v>987</v>
      </c>
      <c r="K1200" s="4">
        <v>0.5</v>
      </c>
      <c r="L1200" t="s">
        <v>172</v>
      </c>
      <c r="N1200" s="3">
        <v>4</v>
      </c>
      <c r="O1200" s="3">
        <v>0</v>
      </c>
      <c r="P1200">
        <v>22.5</v>
      </c>
      <c r="Q1200">
        <v>13</v>
      </c>
      <c r="R1200" t="s">
        <v>774</v>
      </c>
      <c r="S1200">
        <v>0.1</v>
      </c>
      <c r="T1200" s="6">
        <f>10^-(14-Q1200)</f>
        <v>0.1</v>
      </c>
      <c r="U1200" s="6">
        <v>0</v>
      </c>
      <c r="V1200" s="6">
        <v>0</v>
      </c>
      <c r="W1200" s="6">
        <v>0</v>
      </c>
      <c r="X1200" s="6">
        <v>0</v>
      </c>
      <c r="Y1200" t="s">
        <v>171</v>
      </c>
      <c r="AD1200">
        <v>0.2</v>
      </c>
      <c r="AE1200">
        <v>0</v>
      </c>
      <c r="AF1200">
        <v>1</v>
      </c>
      <c r="AO1200" s="9" t="s">
        <v>987</v>
      </c>
    </row>
    <row r="1201" spans="1:41" x14ac:dyDescent="0.3">
      <c r="A1201" t="s">
        <v>641</v>
      </c>
      <c r="B1201" s="1" t="s">
        <v>1613</v>
      </c>
      <c r="C1201">
        <v>61</v>
      </c>
      <c r="D1201" s="8">
        <v>1.4003000000000001</v>
      </c>
      <c r="E1201">
        <v>14000</v>
      </c>
      <c r="H1201" t="s">
        <v>987</v>
      </c>
      <c r="K1201" s="4">
        <v>0.5</v>
      </c>
      <c r="L1201" t="s">
        <v>172</v>
      </c>
      <c r="N1201" s="3">
        <v>5</v>
      </c>
      <c r="O1201" s="3">
        <v>0</v>
      </c>
      <c r="P1201">
        <v>22.5</v>
      </c>
      <c r="Q1201">
        <v>13</v>
      </c>
      <c r="R1201" t="s">
        <v>774</v>
      </c>
      <c r="S1201">
        <v>0.1</v>
      </c>
      <c r="T1201" s="6">
        <f>10^-(14-Q1201)</f>
        <v>0.1</v>
      </c>
      <c r="U1201" s="6">
        <v>0</v>
      </c>
      <c r="V1201" s="6">
        <v>0</v>
      </c>
      <c r="W1201" s="6">
        <v>0</v>
      </c>
      <c r="X1201" s="6">
        <v>0</v>
      </c>
      <c r="Y1201" t="s">
        <v>171</v>
      </c>
      <c r="AD1201">
        <v>0.2</v>
      </c>
      <c r="AE1201">
        <v>-50</v>
      </c>
      <c r="AF1201">
        <v>1</v>
      </c>
      <c r="AO1201" s="9" t="s">
        <v>987</v>
      </c>
    </row>
    <row r="1202" spans="1:41" x14ac:dyDescent="0.3">
      <c r="A1202" t="s">
        <v>647</v>
      </c>
      <c r="B1202" s="1" t="s">
        <v>1613</v>
      </c>
      <c r="C1202">
        <v>61</v>
      </c>
      <c r="D1202" s="8">
        <v>1.4003000000000001</v>
      </c>
      <c r="E1202">
        <v>14000</v>
      </c>
      <c r="H1202" t="s">
        <v>987</v>
      </c>
      <c r="K1202" s="4">
        <v>0.5</v>
      </c>
      <c r="L1202" t="s">
        <v>172</v>
      </c>
      <c r="N1202" s="3">
        <v>0.5</v>
      </c>
      <c r="O1202" s="3">
        <v>0</v>
      </c>
      <c r="P1202">
        <v>22.5</v>
      </c>
      <c r="Q1202">
        <v>9</v>
      </c>
      <c r="R1202" t="s">
        <v>775</v>
      </c>
      <c r="S1202">
        <v>0.02</v>
      </c>
      <c r="T1202" s="6">
        <f>10^-(14-Q1202)</f>
        <v>1.0000000000000001E-5</v>
      </c>
      <c r="U1202" s="6">
        <v>0</v>
      </c>
      <c r="V1202" s="6">
        <v>0.02</v>
      </c>
      <c r="W1202" s="6">
        <v>0</v>
      </c>
      <c r="X1202" s="6">
        <v>0</v>
      </c>
      <c r="Y1202" t="s">
        <v>171</v>
      </c>
      <c r="AD1202">
        <v>0.2</v>
      </c>
      <c r="AE1202">
        <v>100</v>
      </c>
      <c r="AF1202">
        <v>1</v>
      </c>
      <c r="AO1202" s="9" t="s">
        <v>987</v>
      </c>
    </row>
    <row r="1203" spans="1:41" x14ac:dyDescent="0.3">
      <c r="A1203" t="s">
        <v>648</v>
      </c>
      <c r="B1203" s="1" t="s">
        <v>1613</v>
      </c>
      <c r="C1203">
        <v>61</v>
      </c>
      <c r="D1203" s="8">
        <v>1.4003000000000001</v>
      </c>
      <c r="E1203">
        <v>14000</v>
      </c>
      <c r="H1203" t="s">
        <v>987</v>
      </c>
      <c r="K1203" s="4">
        <v>0.5</v>
      </c>
      <c r="L1203" t="s">
        <v>172</v>
      </c>
      <c r="N1203" s="3">
        <v>1</v>
      </c>
      <c r="O1203" s="3">
        <v>0</v>
      </c>
      <c r="P1203">
        <v>22.5</v>
      </c>
      <c r="Q1203">
        <v>9</v>
      </c>
      <c r="R1203" t="s">
        <v>775</v>
      </c>
      <c r="S1203">
        <v>0.02</v>
      </c>
      <c r="T1203" s="6">
        <f>10^-(14-Q1203)</f>
        <v>1.0000000000000001E-5</v>
      </c>
      <c r="U1203" s="6">
        <v>0</v>
      </c>
      <c r="V1203" s="6">
        <v>0.02</v>
      </c>
      <c r="W1203" s="6">
        <v>0</v>
      </c>
      <c r="X1203" s="6">
        <v>0</v>
      </c>
      <c r="Y1203" t="s">
        <v>171</v>
      </c>
      <c r="AD1203">
        <v>0.2</v>
      </c>
      <c r="AE1203">
        <v>0</v>
      </c>
      <c r="AF1203">
        <v>1</v>
      </c>
      <c r="AO1203" s="9" t="s">
        <v>987</v>
      </c>
    </row>
    <row r="1204" spans="1:41" x14ac:dyDescent="0.3">
      <c r="A1204" t="s">
        <v>649</v>
      </c>
      <c r="B1204" s="1" t="s">
        <v>1613</v>
      </c>
      <c r="C1204">
        <v>61</v>
      </c>
      <c r="D1204" s="8">
        <v>1.4003000000000001</v>
      </c>
      <c r="E1204">
        <v>14000</v>
      </c>
      <c r="H1204" t="s">
        <v>987</v>
      </c>
      <c r="K1204" s="4">
        <v>0.5</v>
      </c>
      <c r="L1204" t="s">
        <v>172</v>
      </c>
      <c r="N1204" s="3">
        <v>2</v>
      </c>
      <c r="O1204" s="3">
        <v>0</v>
      </c>
      <c r="P1204">
        <v>22.5</v>
      </c>
      <c r="Q1204">
        <v>9</v>
      </c>
      <c r="R1204" t="s">
        <v>775</v>
      </c>
      <c r="S1204">
        <v>0.02</v>
      </c>
      <c r="T1204" s="6">
        <f>10^-(14-Q1204)</f>
        <v>1.0000000000000001E-5</v>
      </c>
      <c r="U1204" s="6">
        <v>0</v>
      </c>
      <c r="V1204" s="6">
        <v>0.02</v>
      </c>
      <c r="W1204" s="6">
        <v>0</v>
      </c>
      <c r="X1204" s="6">
        <v>0</v>
      </c>
      <c r="Y1204" t="s">
        <v>171</v>
      </c>
      <c r="AD1204">
        <v>0.2</v>
      </c>
      <c r="AE1204">
        <v>-50</v>
      </c>
      <c r="AF1204">
        <v>1</v>
      </c>
      <c r="AO1204" s="9" t="s">
        <v>987</v>
      </c>
    </row>
    <row r="1205" spans="1:41" x14ac:dyDescent="0.3">
      <c r="A1205" t="s">
        <v>650</v>
      </c>
      <c r="B1205" s="1" t="s">
        <v>1613</v>
      </c>
      <c r="C1205">
        <v>61</v>
      </c>
      <c r="D1205" s="8">
        <v>1.4003000000000001</v>
      </c>
      <c r="E1205">
        <v>14000</v>
      </c>
      <c r="H1205" t="s">
        <v>987</v>
      </c>
      <c r="K1205" s="4">
        <v>0.5</v>
      </c>
      <c r="L1205" t="s">
        <v>172</v>
      </c>
      <c r="N1205" s="3">
        <v>3</v>
      </c>
      <c r="O1205" s="3">
        <v>0</v>
      </c>
      <c r="P1205">
        <v>22.5</v>
      </c>
      <c r="Q1205">
        <v>9</v>
      </c>
      <c r="R1205" t="s">
        <v>775</v>
      </c>
      <c r="S1205">
        <v>0.02</v>
      </c>
      <c r="T1205" s="6">
        <f>10^-(14-Q1205)</f>
        <v>1.0000000000000001E-5</v>
      </c>
      <c r="U1205" s="6">
        <v>0</v>
      </c>
      <c r="V1205" s="6">
        <v>0.02</v>
      </c>
      <c r="W1205" s="6">
        <v>0</v>
      </c>
      <c r="X1205" s="6">
        <v>0</v>
      </c>
      <c r="Y1205" t="s">
        <v>171</v>
      </c>
      <c r="AD1205">
        <v>0.2</v>
      </c>
      <c r="AE1205">
        <v>-150</v>
      </c>
      <c r="AF1205">
        <v>1</v>
      </c>
      <c r="AO1205" s="9" t="s">
        <v>987</v>
      </c>
    </row>
    <row r="1206" spans="1:41" x14ac:dyDescent="0.3">
      <c r="A1206" t="s">
        <v>651</v>
      </c>
      <c r="B1206" s="1" t="s">
        <v>1613</v>
      </c>
      <c r="C1206">
        <v>61</v>
      </c>
      <c r="D1206" s="8">
        <v>1.4003000000000001</v>
      </c>
      <c r="E1206">
        <v>14000</v>
      </c>
      <c r="H1206" t="s">
        <v>987</v>
      </c>
      <c r="K1206" s="4">
        <v>0.5</v>
      </c>
      <c r="L1206" t="s">
        <v>172</v>
      </c>
      <c r="N1206" s="3">
        <v>4</v>
      </c>
      <c r="O1206" s="3">
        <v>0</v>
      </c>
      <c r="P1206">
        <v>22.5</v>
      </c>
      <c r="Q1206">
        <v>9</v>
      </c>
      <c r="R1206" t="s">
        <v>775</v>
      </c>
      <c r="S1206">
        <v>0.02</v>
      </c>
      <c r="T1206" s="6">
        <f>10^-(14-Q1206)</f>
        <v>1.0000000000000001E-5</v>
      </c>
      <c r="U1206" s="6">
        <v>0</v>
      </c>
      <c r="V1206" s="6">
        <v>0.02</v>
      </c>
      <c r="W1206" s="6">
        <v>0</v>
      </c>
      <c r="X1206" s="6">
        <v>0</v>
      </c>
      <c r="Y1206" t="s">
        <v>171</v>
      </c>
      <c r="AD1206">
        <v>0.2</v>
      </c>
      <c r="AE1206">
        <v>-190</v>
      </c>
      <c r="AF1206">
        <v>1</v>
      </c>
      <c r="AO1206" s="9" t="s">
        <v>987</v>
      </c>
    </row>
    <row r="1207" spans="1:41" x14ac:dyDescent="0.3">
      <c r="A1207" t="s">
        <v>652</v>
      </c>
      <c r="B1207" s="1" t="s">
        <v>1613</v>
      </c>
      <c r="C1207">
        <v>61</v>
      </c>
      <c r="D1207" s="8">
        <v>1.4003000000000001</v>
      </c>
      <c r="E1207">
        <v>14000</v>
      </c>
      <c r="H1207" t="s">
        <v>987</v>
      </c>
      <c r="K1207" s="4">
        <v>0.5</v>
      </c>
      <c r="L1207" t="s">
        <v>172</v>
      </c>
      <c r="N1207" s="3">
        <v>5</v>
      </c>
      <c r="O1207" s="3">
        <v>0</v>
      </c>
      <c r="P1207">
        <v>22.5</v>
      </c>
      <c r="Q1207">
        <v>9</v>
      </c>
      <c r="R1207" t="s">
        <v>775</v>
      </c>
      <c r="S1207">
        <v>0.02</v>
      </c>
      <c r="T1207" s="6">
        <f>10^-(14-Q1207)</f>
        <v>1.0000000000000001E-5</v>
      </c>
      <c r="U1207" s="6">
        <v>0</v>
      </c>
      <c r="V1207" s="6">
        <v>0.02</v>
      </c>
      <c r="W1207" s="6">
        <v>0</v>
      </c>
      <c r="X1207" s="6">
        <v>0</v>
      </c>
      <c r="Y1207" t="s">
        <v>171</v>
      </c>
      <c r="AD1207">
        <v>0.2</v>
      </c>
      <c r="AE1207">
        <v>-200</v>
      </c>
      <c r="AF1207">
        <v>1</v>
      </c>
      <c r="AO1207" s="9" t="s">
        <v>987</v>
      </c>
    </row>
    <row r="1208" spans="1:41" x14ac:dyDescent="0.3">
      <c r="A1208" t="s">
        <v>670</v>
      </c>
      <c r="B1208" s="1" t="s">
        <v>1614</v>
      </c>
      <c r="C1208">
        <v>62</v>
      </c>
      <c r="D1208" s="8">
        <v>1.4300999999999999</v>
      </c>
      <c r="H1208" t="s">
        <v>987</v>
      </c>
      <c r="N1208" s="3">
        <v>0.2</v>
      </c>
      <c r="O1208" s="3">
        <v>0</v>
      </c>
      <c r="P1208">
        <v>22.5</v>
      </c>
      <c r="Q1208">
        <v>12.5</v>
      </c>
      <c r="R1208" t="s">
        <v>777</v>
      </c>
      <c r="S1208">
        <v>0.05</v>
      </c>
      <c r="T1208" s="6">
        <f>10^-(14-Q1208)</f>
        <v>3.1622776601683784E-2</v>
      </c>
      <c r="U1208" s="6">
        <v>0</v>
      </c>
      <c r="V1208" s="6">
        <v>0</v>
      </c>
      <c r="W1208" s="6">
        <v>0</v>
      </c>
      <c r="X1208" s="6">
        <v>0</v>
      </c>
      <c r="Y1208" t="s">
        <v>171</v>
      </c>
      <c r="AD1208">
        <v>0.2</v>
      </c>
      <c r="AE1208">
        <v>550</v>
      </c>
      <c r="AF1208">
        <v>1</v>
      </c>
      <c r="AL1208" s="9">
        <v>18</v>
      </c>
      <c r="AM1208" s="9">
        <v>8</v>
      </c>
      <c r="AO1208" s="9" t="s">
        <v>987</v>
      </c>
    </row>
    <row r="1209" spans="1:41" x14ac:dyDescent="0.3">
      <c r="A1209" t="s">
        <v>671</v>
      </c>
      <c r="B1209" s="1" t="s">
        <v>1614</v>
      </c>
      <c r="C1209">
        <v>62</v>
      </c>
      <c r="D1209" s="8">
        <v>1.4300999999999999</v>
      </c>
      <c r="H1209" t="s">
        <v>987</v>
      </c>
      <c r="N1209" s="3">
        <v>0.4</v>
      </c>
      <c r="O1209" s="3">
        <v>0</v>
      </c>
      <c r="P1209">
        <v>22.5</v>
      </c>
      <c r="Q1209">
        <v>12.5</v>
      </c>
      <c r="R1209" t="s">
        <v>777</v>
      </c>
      <c r="S1209">
        <v>0.05</v>
      </c>
      <c r="T1209" s="6">
        <f>10^-(14-Q1209)</f>
        <v>3.1622776601683784E-2</v>
      </c>
      <c r="U1209" s="6">
        <v>0</v>
      </c>
      <c r="V1209" s="6">
        <v>0</v>
      </c>
      <c r="W1209" s="6">
        <v>0</v>
      </c>
      <c r="X1209" s="6">
        <v>0</v>
      </c>
      <c r="Y1209" t="s">
        <v>171</v>
      </c>
      <c r="AD1209">
        <v>0.2</v>
      </c>
      <c r="AE1209">
        <v>500</v>
      </c>
      <c r="AF1209">
        <v>1</v>
      </c>
      <c r="AL1209" s="9">
        <v>18</v>
      </c>
      <c r="AM1209" s="9">
        <v>8</v>
      </c>
      <c r="AO1209" s="9" t="s">
        <v>987</v>
      </c>
    </row>
    <row r="1210" spans="1:41" x14ac:dyDescent="0.3">
      <c r="A1210" t="s">
        <v>672</v>
      </c>
      <c r="B1210" s="1" t="s">
        <v>1614</v>
      </c>
      <c r="C1210">
        <v>62</v>
      </c>
      <c r="D1210" s="8">
        <v>1.4300999999999999</v>
      </c>
      <c r="H1210" t="s">
        <v>987</v>
      </c>
      <c r="N1210" s="3">
        <v>0.6</v>
      </c>
      <c r="O1210" s="3">
        <v>0</v>
      </c>
      <c r="P1210">
        <v>22.5</v>
      </c>
      <c r="Q1210">
        <v>12.5</v>
      </c>
      <c r="R1210" t="s">
        <v>777</v>
      </c>
      <c r="S1210">
        <v>0.05</v>
      </c>
      <c r="T1210" s="6">
        <f>10^-(14-Q1210)</f>
        <v>3.1622776601683784E-2</v>
      </c>
      <c r="U1210" s="6">
        <v>0</v>
      </c>
      <c r="V1210" s="6">
        <v>0</v>
      </c>
      <c r="W1210" s="6">
        <v>0</v>
      </c>
      <c r="X1210" s="6">
        <v>0</v>
      </c>
      <c r="Y1210" t="s">
        <v>171</v>
      </c>
      <c r="AD1210">
        <v>0.2</v>
      </c>
      <c r="AE1210">
        <v>500</v>
      </c>
      <c r="AF1210">
        <v>1</v>
      </c>
      <c r="AL1210" s="9">
        <v>18</v>
      </c>
      <c r="AM1210" s="9">
        <v>8</v>
      </c>
      <c r="AO1210" s="9" t="s">
        <v>987</v>
      </c>
    </row>
    <row r="1211" spans="1:41" x14ac:dyDescent="0.3">
      <c r="A1211" t="s">
        <v>673</v>
      </c>
      <c r="B1211" s="1" t="s">
        <v>1614</v>
      </c>
      <c r="C1211">
        <v>62</v>
      </c>
      <c r="D1211" s="8">
        <v>1.4300999999999999</v>
      </c>
      <c r="H1211" t="s">
        <v>987</v>
      </c>
      <c r="N1211" s="3">
        <v>0.8</v>
      </c>
      <c r="O1211" s="3">
        <v>0</v>
      </c>
      <c r="P1211">
        <v>22.5</v>
      </c>
      <c r="Q1211">
        <v>12.5</v>
      </c>
      <c r="R1211" t="s">
        <v>777</v>
      </c>
      <c r="S1211">
        <v>0.05</v>
      </c>
      <c r="T1211" s="6">
        <f>10^-(14-Q1211)</f>
        <v>3.1622776601683784E-2</v>
      </c>
      <c r="U1211" s="6">
        <v>0</v>
      </c>
      <c r="V1211" s="6">
        <v>0</v>
      </c>
      <c r="W1211" s="6">
        <v>0</v>
      </c>
      <c r="X1211" s="6">
        <v>0</v>
      </c>
      <c r="Y1211" t="s">
        <v>171</v>
      </c>
      <c r="AD1211">
        <v>0.2</v>
      </c>
      <c r="AE1211">
        <v>380</v>
      </c>
      <c r="AF1211">
        <v>1</v>
      </c>
      <c r="AL1211" s="9">
        <v>18</v>
      </c>
      <c r="AM1211" s="9">
        <v>8</v>
      </c>
      <c r="AO1211" s="9" t="s">
        <v>987</v>
      </c>
    </row>
    <row r="1212" spans="1:41" x14ac:dyDescent="0.3">
      <c r="A1212" t="s">
        <v>674</v>
      </c>
      <c r="B1212" s="1" t="s">
        <v>1614</v>
      </c>
      <c r="C1212">
        <v>62</v>
      </c>
      <c r="D1212" s="8">
        <v>1.4300999999999999</v>
      </c>
      <c r="H1212" t="s">
        <v>987</v>
      </c>
      <c r="N1212" s="3">
        <v>1.6</v>
      </c>
      <c r="O1212" s="3">
        <v>0</v>
      </c>
      <c r="P1212">
        <v>22.5</v>
      </c>
      <c r="Q1212">
        <v>12.5</v>
      </c>
      <c r="R1212" t="s">
        <v>777</v>
      </c>
      <c r="S1212">
        <v>0.05</v>
      </c>
      <c r="T1212" s="6">
        <f>10^-(14-Q1212)</f>
        <v>3.1622776601683784E-2</v>
      </c>
      <c r="U1212" s="6">
        <v>0</v>
      </c>
      <c r="V1212" s="6">
        <v>0</v>
      </c>
      <c r="W1212" s="6">
        <v>0</v>
      </c>
      <c r="X1212" s="6">
        <v>0</v>
      </c>
      <c r="Y1212" t="s">
        <v>171</v>
      </c>
      <c r="AD1212">
        <v>0.2</v>
      </c>
      <c r="AE1212">
        <v>350</v>
      </c>
      <c r="AF1212">
        <v>1</v>
      </c>
      <c r="AL1212" s="9">
        <v>18</v>
      </c>
      <c r="AM1212" s="9">
        <v>8</v>
      </c>
      <c r="AO1212" s="9" t="s">
        <v>987</v>
      </c>
    </row>
    <row r="1213" spans="1:41" x14ac:dyDescent="0.3">
      <c r="A1213" t="s">
        <v>675</v>
      </c>
      <c r="B1213" s="1" t="s">
        <v>1614</v>
      </c>
      <c r="C1213">
        <v>62</v>
      </c>
      <c r="D1213" s="8">
        <v>1.4300999999999999</v>
      </c>
      <c r="H1213" t="s">
        <v>987</v>
      </c>
      <c r="N1213" s="3">
        <v>3</v>
      </c>
      <c r="O1213" s="3">
        <v>0</v>
      </c>
      <c r="P1213">
        <v>22.5</v>
      </c>
      <c r="Q1213">
        <v>12.5</v>
      </c>
      <c r="R1213" t="s">
        <v>777</v>
      </c>
      <c r="S1213">
        <v>0.05</v>
      </c>
      <c r="T1213" s="6">
        <f>10^-(14-Q1213)</f>
        <v>3.1622776601683784E-2</v>
      </c>
      <c r="U1213" s="6">
        <v>0</v>
      </c>
      <c r="V1213" s="6">
        <v>0</v>
      </c>
      <c r="W1213" s="6">
        <v>0</v>
      </c>
      <c r="X1213" s="6">
        <v>0</v>
      </c>
      <c r="Y1213" t="s">
        <v>171</v>
      </c>
      <c r="AD1213">
        <v>0.2</v>
      </c>
      <c r="AE1213">
        <v>300</v>
      </c>
      <c r="AF1213">
        <v>1</v>
      </c>
      <c r="AL1213" s="9">
        <v>18</v>
      </c>
      <c r="AM1213" s="9">
        <v>8</v>
      </c>
      <c r="AO1213" s="9" t="s">
        <v>987</v>
      </c>
    </row>
    <row r="1214" spans="1:41" x14ac:dyDescent="0.3">
      <c r="A1214" t="s">
        <v>1158</v>
      </c>
      <c r="B1214" t="s">
        <v>1583</v>
      </c>
      <c r="C1214">
        <v>63</v>
      </c>
      <c r="D1214" s="8">
        <v>1.4403999999999999</v>
      </c>
      <c r="E1214">
        <v>1500</v>
      </c>
      <c r="H1214" t="s">
        <v>987</v>
      </c>
      <c r="K1214" s="4">
        <v>0.16666666666666666</v>
      </c>
      <c r="L1214" t="s">
        <v>172</v>
      </c>
      <c r="N1214" s="3">
        <v>0.5</v>
      </c>
      <c r="O1214" s="3">
        <v>0</v>
      </c>
      <c r="P1214">
        <v>25</v>
      </c>
      <c r="Q1214">
        <v>6.5</v>
      </c>
      <c r="R1214" t="s">
        <v>102</v>
      </c>
      <c r="S1214">
        <v>0</v>
      </c>
      <c r="T1214" s="6">
        <f>10^-(14-Q1214)</f>
        <v>3.1622776601683699E-8</v>
      </c>
      <c r="U1214" s="6">
        <v>0</v>
      </c>
      <c r="V1214" s="6">
        <v>0</v>
      </c>
      <c r="W1214" s="6">
        <v>0</v>
      </c>
      <c r="X1214" s="6">
        <v>0</v>
      </c>
      <c r="Y1214" t="s">
        <v>171</v>
      </c>
      <c r="Z1214" s="5">
        <v>-80</v>
      </c>
      <c r="AD1214">
        <v>0.38333333333333336</v>
      </c>
      <c r="AE1214">
        <v>375</v>
      </c>
      <c r="AF1214">
        <v>1</v>
      </c>
      <c r="AG1214" s="9">
        <v>2.1999999999999999E-2</v>
      </c>
      <c r="AH1214" s="9">
        <v>0.9</v>
      </c>
      <c r="AI1214" s="9">
        <v>0.69</v>
      </c>
      <c r="AJ1214" s="9">
        <v>2.7E-2</v>
      </c>
      <c r="AK1214" s="9">
        <v>4.0000000000000001E-3</v>
      </c>
      <c r="AL1214" s="9">
        <v>17.25</v>
      </c>
      <c r="AM1214" s="9">
        <v>12.08</v>
      </c>
      <c r="AN1214" s="9">
        <v>2.09</v>
      </c>
    </row>
    <row r="1215" spans="1:41" x14ac:dyDescent="0.3">
      <c r="A1215" t="s">
        <v>1159</v>
      </c>
      <c r="B1215" t="s">
        <v>1583</v>
      </c>
      <c r="C1215">
        <v>63</v>
      </c>
      <c r="D1215" s="8">
        <v>1.4403999999999999</v>
      </c>
      <c r="E1215">
        <v>1500</v>
      </c>
      <c r="H1215" t="s">
        <v>987</v>
      </c>
      <c r="K1215" s="4">
        <v>0.16666666666666666</v>
      </c>
      <c r="L1215" t="s">
        <v>172</v>
      </c>
      <c r="N1215" s="3">
        <v>0.5</v>
      </c>
      <c r="O1215" s="3">
        <v>0</v>
      </c>
      <c r="P1215">
        <v>25</v>
      </c>
      <c r="Q1215">
        <v>6.5</v>
      </c>
      <c r="R1215" t="s">
        <v>102</v>
      </c>
      <c r="S1215">
        <v>0</v>
      </c>
      <c r="T1215" s="6">
        <f>10^-(14-Q1215)</f>
        <v>3.1622776601683699E-8</v>
      </c>
      <c r="U1215" s="6">
        <v>0</v>
      </c>
      <c r="V1215" s="6">
        <v>0</v>
      </c>
      <c r="W1215" s="6">
        <v>0</v>
      </c>
      <c r="X1215" s="6">
        <v>0</v>
      </c>
      <c r="Y1215" t="s">
        <v>171</v>
      </c>
      <c r="Z1215" s="5">
        <v>-80</v>
      </c>
      <c r="AD1215">
        <v>0.38333333333333336</v>
      </c>
      <c r="AE1215">
        <v>400</v>
      </c>
      <c r="AF1215">
        <v>1</v>
      </c>
      <c r="AG1215" s="9">
        <v>2.1999999999999999E-2</v>
      </c>
      <c r="AH1215" s="9">
        <v>0.9</v>
      </c>
      <c r="AI1215" s="9">
        <v>0.69</v>
      </c>
      <c r="AJ1215" s="9">
        <v>2.7E-2</v>
      </c>
      <c r="AK1215" s="9">
        <v>4.0000000000000001E-3</v>
      </c>
      <c r="AL1215" s="9">
        <v>17.25</v>
      </c>
      <c r="AM1215" s="9">
        <v>12.08</v>
      </c>
      <c r="AN1215" s="9">
        <v>2.09</v>
      </c>
    </row>
    <row r="1216" spans="1:41" x14ac:dyDescent="0.3">
      <c r="A1216" t="s">
        <v>1160</v>
      </c>
      <c r="B1216" t="s">
        <v>1583</v>
      </c>
      <c r="C1216">
        <v>63</v>
      </c>
      <c r="D1216" s="8">
        <v>1.4403999999999999</v>
      </c>
      <c r="E1216">
        <v>1500</v>
      </c>
      <c r="H1216" t="s">
        <v>987</v>
      </c>
      <c r="K1216" s="4">
        <v>0.16666666666666666</v>
      </c>
      <c r="L1216" t="s">
        <v>172</v>
      </c>
      <c r="N1216" s="3">
        <v>0.5</v>
      </c>
      <c r="O1216" s="3">
        <v>0</v>
      </c>
      <c r="P1216">
        <v>25</v>
      </c>
      <c r="Q1216">
        <v>6.5</v>
      </c>
      <c r="R1216" t="s">
        <v>102</v>
      </c>
      <c r="S1216">
        <v>0</v>
      </c>
      <c r="T1216" s="6">
        <f>10^-(14-Q1216)</f>
        <v>3.1622776601683699E-8</v>
      </c>
      <c r="U1216" s="6">
        <v>0</v>
      </c>
      <c r="V1216" s="6">
        <v>0</v>
      </c>
      <c r="W1216" s="6">
        <v>0</v>
      </c>
      <c r="X1216" s="6">
        <v>0</v>
      </c>
      <c r="Y1216" t="s">
        <v>171</v>
      </c>
      <c r="Z1216" s="5">
        <v>-80</v>
      </c>
      <c r="AD1216">
        <v>0.38333333333333336</v>
      </c>
      <c r="AE1216">
        <v>410</v>
      </c>
      <c r="AF1216">
        <v>1</v>
      </c>
      <c r="AG1216" s="9">
        <v>2.1999999999999999E-2</v>
      </c>
      <c r="AH1216" s="9">
        <v>0.9</v>
      </c>
      <c r="AI1216" s="9">
        <v>0.69</v>
      </c>
      <c r="AJ1216" s="9">
        <v>2.7E-2</v>
      </c>
      <c r="AK1216" s="9">
        <v>4.0000000000000001E-3</v>
      </c>
      <c r="AL1216" s="9">
        <v>17.25</v>
      </c>
      <c r="AM1216" s="9">
        <v>12.08</v>
      </c>
      <c r="AN1216" s="9">
        <v>2.09</v>
      </c>
    </row>
    <row r="1217" spans="1:40" x14ac:dyDescent="0.3">
      <c r="A1217" t="s">
        <v>1161</v>
      </c>
      <c r="B1217" t="s">
        <v>1583</v>
      </c>
      <c r="C1217">
        <v>63</v>
      </c>
      <c r="D1217" s="8">
        <v>1.4403999999999999</v>
      </c>
      <c r="E1217">
        <v>1500</v>
      </c>
      <c r="H1217" t="s">
        <v>987</v>
      </c>
      <c r="K1217" s="4">
        <v>0.16666666666666666</v>
      </c>
      <c r="L1217" t="s">
        <v>172</v>
      </c>
      <c r="N1217" s="3">
        <v>0.5</v>
      </c>
      <c r="O1217" s="3">
        <v>0</v>
      </c>
      <c r="P1217">
        <v>25</v>
      </c>
      <c r="Q1217">
        <v>6.5</v>
      </c>
      <c r="R1217" t="s">
        <v>102</v>
      </c>
      <c r="S1217">
        <v>0</v>
      </c>
      <c r="T1217" s="6">
        <f>10^-(14-Q1217)</f>
        <v>3.1622776601683699E-8</v>
      </c>
      <c r="U1217" s="6">
        <v>0</v>
      </c>
      <c r="V1217" s="6">
        <v>0</v>
      </c>
      <c r="W1217" s="6">
        <v>0</v>
      </c>
      <c r="X1217" s="6">
        <v>0</v>
      </c>
      <c r="Y1217" t="s">
        <v>171</v>
      </c>
      <c r="Z1217" s="5">
        <v>-80</v>
      </c>
      <c r="AD1217">
        <v>0.38333333333333336</v>
      </c>
      <c r="AE1217">
        <v>520</v>
      </c>
      <c r="AF1217">
        <v>1</v>
      </c>
      <c r="AG1217" s="9">
        <v>2.1999999999999999E-2</v>
      </c>
      <c r="AH1217" s="9">
        <v>0.9</v>
      </c>
      <c r="AI1217" s="9">
        <v>0.69</v>
      </c>
      <c r="AJ1217" s="9">
        <v>2.7E-2</v>
      </c>
      <c r="AK1217" s="9">
        <v>4.0000000000000001E-3</v>
      </c>
      <c r="AL1217" s="9">
        <v>17.25</v>
      </c>
      <c r="AM1217" s="9">
        <v>12.08</v>
      </c>
      <c r="AN1217" s="9">
        <v>2.09</v>
      </c>
    </row>
    <row r="1218" spans="1:40" x14ac:dyDescent="0.3">
      <c r="A1218" t="s">
        <v>1162</v>
      </c>
      <c r="B1218" t="s">
        <v>1583</v>
      </c>
      <c r="C1218">
        <v>63</v>
      </c>
      <c r="D1218" s="8">
        <v>1.4403999999999999</v>
      </c>
      <c r="E1218">
        <v>1500</v>
      </c>
      <c r="H1218" t="s">
        <v>987</v>
      </c>
      <c r="K1218" s="4">
        <v>0.16666666666666666</v>
      </c>
      <c r="L1218" t="s">
        <v>172</v>
      </c>
      <c r="N1218" s="3">
        <v>0.5</v>
      </c>
      <c r="O1218" s="3">
        <v>0</v>
      </c>
      <c r="P1218">
        <v>25</v>
      </c>
      <c r="Q1218">
        <v>6.5</v>
      </c>
      <c r="R1218" t="s">
        <v>102</v>
      </c>
      <c r="S1218">
        <v>0</v>
      </c>
      <c r="T1218" s="6">
        <f>10^-(14-Q1218)</f>
        <v>3.1622776601683699E-8</v>
      </c>
      <c r="U1218" s="6">
        <v>0</v>
      </c>
      <c r="V1218" s="6">
        <v>0</v>
      </c>
      <c r="W1218" s="6">
        <v>0</v>
      </c>
      <c r="X1218" s="6">
        <v>0</v>
      </c>
      <c r="Y1218" t="s">
        <v>171</v>
      </c>
      <c r="Z1218" s="5">
        <v>-80</v>
      </c>
      <c r="AD1218">
        <v>0.38333333333333336</v>
      </c>
      <c r="AE1218">
        <v>570</v>
      </c>
      <c r="AF1218">
        <v>1</v>
      </c>
      <c r="AG1218" s="9">
        <v>2.1999999999999999E-2</v>
      </c>
      <c r="AH1218" s="9">
        <v>0.9</v>
      </c>
      <c r="AI1218" s="9">
        <v>0.69</v>
      </c>
      <c r="AJ1218" s="9">
        <v>2.7E-2</v>
      </c>
      <c r="AK1218" s="9">
        <v>4.0000000000000001E-3</v>
      </c>
      <c r="AL1218" s="9">
        <v>17.25</v>
      </c>
      <c r="AM1218" s="9">
        <v>12.08</v>
      </c>
      <c r="AN1218" s="9">
        <v>2.09</v>
      </c>
    </row>
    <row r="1219" spans="1:40" x14ac:dyDescent="0.3">
      <c r="A1219" t="s">
        <v>1163</v>
      </c>
      <c r="B1219" t="s">
        <v>1583</v>
      </c>
      <c r="C1219">
        <v>63</v>
      </c>
      <c r="D1219" s="8">
        <v>1.4403999999999999</v>
      </c>
      <c r="E1219">
        <v>1500</v>
      </c>
      <c r="H1219" t="s">
        <v>987</v>
      </c>
      <c r="K1219" s="4">
        <v>0.16666666666666666</v>
      </c>
      <c r="L1219" t="s">
        <v>172</v>
      </c>
      <c r="N1219" s="3">
        <v>0.5</v>
      </c>
      <c r="O1219" s="3">
        <v>0</v>
      </c>
      <c r="P1219">
        <v>25</v>
      </c>
      <c r="Q1219">
        <v>6.5</v>
      </c>
      <c r="R1219" t="s">
        <v>102</v>
      </c>
      <c r="S1219">
        <v>0</v>
      </c>
      <c r="T1219" s="6">
        <f>10^-(14-Q1219)</f>
        <v>3.1622776601683699E-8</v>
      </c>
      <c r="U1219" s="6">
        <v>0</v>
      </c>
      <c r="V1219" s="6">
        <v>0</v>
      </c>
      <c r="W1219" s="6">
        <v>0</v>
      </c>
      <c r="X1219" s="6">
        <v>0</v>
      </c>
      <c r="Y1219" t="s">
        <v>171</v>
      </c>
      <c r="Z1219" s="5">
        <v>-80</v>
      </c>
      <c r="AD1219">
        <v>0.38333333333333336</v>
      </c>
      <c r="AE1219">
        <v>565</v>
      </c>
      <c r="AF1219">
        <v>1</v>
      </c>
      <c r="AG1219" s="9">
        <v>2.1999999999999999E-2</v>
      </c>
      <c r="AH1219" s="9">
        <v>0.9</v>
      </c>
      <c r="AI1219" s="9">
        <v>0.69</v>
      </c>
      <c r="AJ1219" s="9">
        <v>2.7E-2</v>
      </c>
      <c r="AK1219" s="9">
        <v>4.0000000000000001E-3</v>
      </c>
      <c r="AL1219" s="9">
        <v>17.25</v>
      </c>
      <c r="AM1219" s="9">
        <v>12.08</v>
      </c>
      <c r="AN1219" s="9">
        <v>2.09</v>
      </c>
    </row>
    <row r="1220" spans="1:40" x14ac:dyDescent="0.3">
      <c r="A1220" t="s">
        <v>1164</v>
      </c>
      <c r="B1220" t="s">
        <v>1583</v>
      </c>
      <c r="C1220">
        <v>63</v>
      </c>
      <c r="D1220" s="8">
        <v>1.4403999999999999</v>
      </c>
      <c r="E1220">
        <v>1500</v>
      </c>
      <c r="H1220" t="s">
        <v>987</v>
      </c>
      <c r="K1220" s="4">
        <v>0.16666666666666666</v>
      </c>
      <c r="L1220" t="s">
        <v>172</v>
      </c>
      <c r="N1220" s="3">
        <v>0.5</v>
      </c>
      <c r="O1220" s="3">
        <v>0</v>
      </c>
      <c r="P1220">
        <v>25</v>
      </c>
      <c r="Q1220">
        <v>6.5</v>
      </c>
      <c r="R1220" t="s">
        <v>102</v>
      </c>
      <c r="S1220">
        <v>0</v>
      </c>
      <c r="T1220" s="6">
        <f>10^-(14-Q1220)</f>
        <v>3.1622776601683699E-8</v>
      </c>
      <c r="U1220" s="6">
        <v>0</v>
      </c>
      <c r="V1220" s="6">
        <v>0</v>
      </c>
      <c r="W1220" s="6">
        <v>0</v>
      </c>
      <c r="X1220" s="6">
        <v>0</v>
      </c>
      <c r="Y1220" t="s">
        <v>171</v>
      </c>
      <c r="Z1220" s="5">
        <v>-80</v>
      </c>
      <c r="AD1220">
        <v>0.38333333333333336</v>
      </c>
      <c r="AE1220">
        <v>600</v>
      </c>
      <c r="AF1220">
        <v>1</v>
      </c>
      <c r="AG1220" s="9">
        <v>2.1999999999999999E-2</v>
      </c>
      <c r="AH1220" s="9">
        <v>0.9</v>
      </c>
      <c r="AI1220" s="9">
        <v>0.69</v>
      </c>
      <c r="AJ1220" s="9">
        <v>2.7E-2</v>
      </c>
      <c r="AK1220" s="9">
        <v>4.0000000000000001E-3</v>
      </c>
      <c r="AL1220" s="9">
        <v>17.25</v>
      </c>
      <c r="AM1220" s="9">
        <v>12.08</v>
      </c>
      <c r="AN1220" s="9">
        <v>2.09</v>
      </c>
    </row>
    <row r="1221" spans="1:40" x14ac:dyDescent="0.3">
      <c r="A1221" t="s">
        <v>1165</v>
      </c>
      <c r="B1221" t="s">
        <v>1583</v>
      </c>
      <c r="C1221">
        <v>63</v>
      </c>
      <c r="D1221" s="8">
        <v>1.4403999999999999</v>
      </c>
      <c r="E1221">
        <v>1500</v>
      </c>
      <c r="H1221" t="s">
        <v>987</v>
      </c>
      <c r="K1221" s="4">
        <v>0.16666666666666666</v>
      </c>
      <c r="L1221" t="s">
        <v>172</v>
      </c>
      <c r="N1221" s="3">
        <v>0.5</v>
      </c>
      <c r="O1221" s="3">
        <v>0</v>
      </c>
      <c r="P1221">
        <v>25</v>
      </c>
      <c r="Q1221">
        <v>6.5</v>
      </c>
      <c r="R1221" t="s">
        <v>102</v>
      </c>
      <c r="S1221">
        <v>0</v>
      </c>
      <c r="T1221" s="6">
        <f>10^-(14-Q1221)</f>
        <v>3.1622776601683699E-8</v>
      </c>
      <c r="U1221" s="6">
        <v>0</v>
      </c>
      <c r="V1221" s="6">
        <v>0</v>
      </c>
      <c r="W1221" s="6">
        <v>0</v>
      </c>
      <c r="X1221" s="6">
        <v>0</v>
      </c>
      <c r="Y1221" t="s">
        <v>171</v>
      </c>
      <c r="Z1221" s="5">
        <v>-80</v>
      </c>
      <c r="AD1221">
        <v>0.38333333333333336</v>
      </c>
      <c r="AE1221">
        <v>615</v>
      </c>
      <c r="AF1221">
        <v>1</v>
      </c>
      <c r="AG1221" s="9">
        <v>2.1999999999999999E-2</v>
      </c>
      <c r="AH1221" s="9">
        <v>0.9</v>
      </c>
      <c r="AI1221" s="9">
        <v>0.69</v>
      </c>
      <c r="AJ1221" s="9">
        <v>2.7E-2</v>
      </c>
      <c r="AK1221" s="9">
        <v>4.0000000000000001E-3</v>
      </c>
      <c r="AL1221" s="9">
        <v>17.25</v>
      </c>
      <c r="AM1221" s="9">
        <v>12.08</v>
      </c>
      <c r="AN1221" s="9">
        <v>2.09</v>
      </c>
    </row>
    <row r="1222" spans="1:40" x14ac:dyDescent="0.3">
      <c r="A1222" t="s">
        <v>1166</v>
      </c>
      <c r="B1222" t="s">
        <v>1583</v>
      </c>
      <c r="C1222">
        <v>63</v>
      </c>
      <c r="D1222" s="8">
        <v>1.4403999999999999</v>
      </c>
      <c r="E1222">
        <v>1500</v>
      </c>
      <c r="H1222" t="s">
        <v>987</v>
      </c>
      <c r="K1222" s="4">
        <v>0.16666666666666666</v>
      </c>
      <c r="L1222" t="s">
        <v>172</v>
      </c>
      <c r="N1222" s="3">
        <v>0.5</v>
      </c>
      <c r="O1222" s="3">
        <v>0</v>
      </c>
      <c r="P1222">
        <v>25</v>
      </c>
      <c r="Q1222">
        <v>6.5</v>
      </c>
      <c r="R1222" t="s">
        <v>102</v>
      </c>
      <c r="S1222">
        <v>0</v>
      </c>
      <c r="T1222" s="6">
        <f>10^-(14-Q1222)</f>
        <v>3.1622776601683699E-8</v>
      </c>
      <c r="U1222" s="6">
        <v>0</v>
      </c>
      <c r="V1222" s="6">
        <v>0</v>
      </c>
      <c r="W1222" s="6">
        <v>0</v>
      </c>
      <c r="X1222" s="6">
        <v>0</v>
      </c>
      <c r="Y1222" t="s">
        <v>171</v>
      </c>
      <c r="Z1222" s="5">
        <v>-80</v>
      </c>
      <c r="AD1222">
        <v>0.38333333333333336</v>
      </c>
      <c r="AE1222">
        <v>620</v>
      </c>
      <c r="AF1222">
        <v>1</v>
      </c>
      <c r="AG1222" s="9">
        <v>2.1999999999999999E-2</v>
      </c>
      <c r="AH1222" s="9">
        <v>0.9</v>
      </c>
      <c r="AI1222" s="9">
        <v>0.69</v>
      </c>
      <c r="AJ1222" s="9">
        <v>2.7E-2</v>
      </c>
      <c r="AK1222" s="9">
        <v>4.0000000000000001E-3</v>
      </c>
      <c r="AL1222" s="9">
        <v>17.25</v>
      </c>
      <c r="AM1222" s="9">
        <v>12.08</v>
      </c>
      <c r="AN1222" s="9">
        <v>2.09</v>
      </c>
    </row>
    <row r="1223" spans="1:40" x14ac:dyDescent="0.3">
      <c r="A1223" t="s">
        <v>1167</v>
      </c>
      <c r="B1223" t="s">
        <v>1583</v>
      </c>
      <c r="C1223">
        <v>63</v>
      </c>
      <c r="D1223" s="8">
        <v>1.4403999999999999</v>
      </c>
      <c r="E1223">
        <v>1500</v>
      </c>
      <c r="H1223" t="s">
        <v>987</v>
      </c>
      <c r="K1223" s="4">
        <v>0.16666666666666666</v>
      </c>
      <c r="L1223" t="s">
        <v>172</v>
      </c>
      <c r="N1223" s="3">
        <v>0.5</v>
      </c>
      <c r="O1223" s="3">
        <v>0</v>
      </c>
      <c r="P1223">
        <v>25</v>
      </c>
      <c r="Q1223">
        <v>6.5</v>
      </c>
      <c r="R1223" t="s">
        <v>102</v>
      </c>
      <c r="S1223">
        <v>0</v>
      </c>
      <c r="T1223" s="6">
        <f>10^-(14-Q1223)</f>
        <v>3.1622776601683699E-8</v>
      </c>
      <c r="U1223" s="6">
        <v>0</v>
      </c>
      <c r="V1223" s="6">
        <v>0</v>
      </c>
      <c r="W1223" s="6">
        <v>0</v>
      </c>
      <c r="X1223" s="6">
        <v>0</v>
      </c>
      <c r="Y1223" t="s">
        <v>171</v>
      </c>
      <c r="Z1223" s="5">
        <v>-80</v>
      </c>
      <c r="AD1223">
        <v>0.38333333333333336</v>
      </c>
      <c r="AE1223">
        <v>660</v>
      </c>
      <c r="AF1223">
        <v>1</v>
      </c>
      <c r="AG1223" s="9">
        <v>2.1999999999999999E-2</v>
      </c>
      <c r="AH1223" s="9">
        <v>0.9</v>
      </c>
      <c r="AI1223" s="9">
        <v>0.69</v>
      </c>
      <c r="AJ1223" s="9">
        <v>2.7E-2</v>
      </c>
      <c r="AK1223" s="9">
        <v>4.0000000000000001E-3</v>
      </c>
      <c r="AL1223" s="9">
        <v>17.25</v>
      </c>
      <c r="AM1223" s="9">
        <v>12.08</v>
      </c>
      <c r="AN1223" s="9">
        <v>2.09</v>
      </c>
    </row>
    <row r="1224" spans="1:40" x14ac:dyDescent="0.3">
      <c r="A1224" t="s">
        <v>1168</v>
      </c>
      <c r="B1224" t="s">
        <v>1583</v>
      </c>
      <c r="C1224">
        <v>63</v>
      </c>
      <c r="D1224" s="8">
        <v>1.4403999999999999</v>
      </c>
      <c r="E1224">
        <v>1500</v>
      </c>
      <c r="G1224" t="s">
        <v>173</v>
      </c>
      <c r="H1224">
        <v>3</v>
      </c>
      <c r="I1224" s="4">
        <v>0.1</v>
      </c>
      <c r="J1224" s="3">
        <v>0.5</v>
      </c>
      <c r="K1224" s="4">
        <v>0.16666666666666666</v>
      </c>
      <c r="L1224" t="s">
        <v>172</v>
      </c>
      <c r="N1224" s="3">
        <v>0.5</v>
      </c>
      <c r="O1224" s="3">
        <v>0</v>
      </c>
      <c r="P1224">
        <v>25</v>
      </c>
      <c r="Q1224">
        <v>6.5</v>
      </c>
      <c r="R1224" t="s">
        <v>102</v>
      </c>
      <c r="S1224">
        <v>0</v>
      </c>
      <c r="T1224" s="6">
        <f>10^-(14-Q1224)</f>
        <v>3.1622776601683699E-8</v>
      </c>
      <c r="U1224" s="6">
        <v>0</v>
      </c>
      <c r="V1224" s="6">
        <v>0</v>
      </c>
      <c r="W1224" s="6">
        <v>0</v>
      </c>
      <c r="X1224" s="6">
        <v>0</v>
      </c>
      <c r="Y1224" t="s">
        <v>171</v>
      </c>
      <c r="Z1224" s="5">
        <v>-80</v>
      </c>
      <c r="AD1224">
        <v>0.38333333333333336</v>
      </c>
      <c r="AE1224">
        <v>765</v>
      </c>
      <c r="AF1224">
        <v>1</v>
      </c>
      <c r="AG1224" s="9">
        <v>2.1999999999999999E-2</v>
      </c>
      <c r="AH1224" s="9">
        <v>0.9</v>
      </c>
      <c r="AI1224" s="9">
        <v>0.69</v>
      </c>
      <c r="AJ1224" s="9">
        <v>2.7E-2</v>
      </c>
      <c r="AK1224" s="9">
        <v>4.0000000000000001E-3</v>
      </c>
      <c r="AL1224" s="9">
        <v>17.25</v>
      </c>
      <c r="AM1224" s="9">
        <v>12.08</v>
      </c>
      <c r="AN1224" s="9">
        <v>2.09</v>
      </c>
    </row>
    <row r="1225" spans="1:40" x14ac:dyDescent="0.3">
      <c r="A1225" t="s">
        <v>1169</v>
      </c>
      <c r="B1225" t="s">
        <v>1583</v>
      </c>
      <c r="C1225">
        <v>63</v>
      </c>
      <c r="D1225" s="8">
        <v>1.4403999999999999</v>
      </c>
      <c r="E1225">
        <v>1500</v>
      </c>
      <c r="G1225" t="s">
        <v>173</v>
      </c>
      <c r="H1225">
        <v>3</v>
      </c>
      <c r="I1225" s="4">
        <v>0.1</v>
      </c>
      <c r="J1225" s="3">
        <v>0.5</v>
      </c>
      <c r="K1225" s="4">
        <v>0.16666666666666666</v>
      </c>
      <c r="L1225" t="s">
        <v>172</v>
      </c>
      <c r="N1225" s="3">
        <v>0.5</v>
      </c>
      <c r="O1225" s="3">
        <v>0</v>
      </c>
      <c r="P1225">
        <v>25</v>
      </c>
      <c r="Q1225">
        <v>6.5</v>
      </c>
      <c r="R1225" t="s">
        <v>102</v>
      </c>
      <c r="S1225">
        <v>0</v>
      </c>
      <c r="T1225" s="6">
        <f>10^-(14-Q1225)</f>
        <v>3.1622776601683699E-8</v>
      </c>
      <c r="U1225" s="6">
        <v>0</v>
      </c>
      <c r="V1225" s="6">
        <v>0</v>
      </c>
      <c r="W1225" s="6">
        <v>0</v>
      </c>
      <c r="X1225" s="6">
        <v>0</v>
      </c>
      <c r="Y1225" t="s">
        <v>171</v>
      </c>
      <c r="Z1225" s="5">
        <v>-80</v>
      </c>
      <c r="AD1225">
        <v>0.38333333333333336</v>
      </c>
      <c r="AE1225">
        <v>740</v>
      </c>
      <c r="AF1225">
        <v>1</v>
      </c>
      <c r="AG1225" s="9">
        <v>2.1999999999999999E-2</v>
      </c>
      <c r="AH1225" s="9">
        <v>0.9</v>
      </c>
      <c r="AI1225" s="9">
        <v>0.69</v>
      </c>
      <c r="AJ1225" s="9">
        <v>2.7E-2</v>
      </c>
      <c r="AK1225" s="9">
        <v>4.0000000000000001E-3</v>
      </c>
      <c r="AL1225" s="9">
        <v>17.25</v>
      </c>
      <c r="AM1225" s="9">
        <v>12.08</v>
      </c>
      <c r="AN1225" s="9">
        <v>2.09</v>
      </c>
    </row>
    <row r="1226" spans="1:40" x14ac:dyDescent="0.3">
      <c r="A1226" t="s">
        <v>1170</v>
      </c>
      <c r="B1226" t="s">
        <v>1583</v>
      </c>
      <c r="C1226">
        <v>63</v>
      </c>
      <c r="D1226" s="8">
        <v>1.4403999999999999</v>
      </c>
      <c r="E1226">
        <v>1500</v>
      </c>
      <c r="G1226" t="s">
        <v>173</v>
      </c>
      <c r="H1226">
        <v>3</v>
      </c>
      <c r="I1226" s="4">
        <v>0.1</v>
      </c>
      <c r="J1226" s="3">
        <v>0.5</v>
      </c>
      <c r="K1226" s="4">
        <v>0.16666666666666666</v>
      </c>
      <c r="L1226" t="s">
        <v>172</v>
      </c>
      <c r="N1226" s="3">
        <v>0.5</v>
      </c>
      <c r="O1226" s="3">
        <v>0</v>
      </c>
      <c r="P1226">
        <v>25</v>
      </c>
      <c r="Q1226">
        <v>6.5</v>
      </c>
      <c r="R1226" t="s">
        <v>102</v>
      </c>
      <c r="S1226">
        <v>0</v>
      </c>
      <c r="T1226" s="6">
        <f>10^-(14-Q1226)</f>
        <v>3.1622776601683699E-8</v>
      </c>
      <c r="U1226" s="6">
        <v>0</v>
      </c>
      <c r="V1226" s="6">
        <v>0</v>
      </c>
      <c r="W1226" s="6">
        <v>0</v>
      </c>
      <c r="X1226" s="6">
        <v>0</v>
      </c>
      <c r="Y1226" t="s">
        <v>171</v>
      </c>
      <c r="Z1226" s="5">
        <v>-80</v>
      </c>
      <c r="AD1226">
        <v>0.38333333333333336</v>
      </c>
      <c r="AE1226">
        <v>700</v>
      </c>
      <c r="AF1226">
        <v>1</v>
      </c>
      <c r="AG1226" s="9">
        <v>2.1999999999999999E-2</v>
      </c>
      <c r="AH1226" s="9">
        <v>0.9</v>
      </c>
      <c r="AI1226" s="9">
        <v>0.69</v>
      </c>
      <c r="AJ1226" s="9">
        <v>2.7E-2</v>
      </c>
      <c r="AK1226" s="9">
        <v>4.0000000000000001E-3</v>
      </c>
      <c r="AL1226" s="9">
        <v>17.25</v>
      </c>
      <c r="AM1226" s="9">
        <v>12.08</v>
      </c>
      <c r="AN1226" s="9">
        <v>2.09</v>
      </c>
    </row>
    <row r="1227" spans="1:40" x14ac:dyDescent="0.3">
      <c r="A1227" t="s">
        <v>1171</v>
      </c>
      <c r="B1227" t="s">
        <v>1583</v>
      </c>
      <c r="C1227">
        <v>63</v>
      </c>
      <c r="D1227" s="8">
        <v>1.4403999999999999</v>
      </c>
      <c r="E1227">
        <v>1500</v>
      </c>
      <c r="G1227" t="s">
        <v>173</v>
      </c>
      <c r="H1227">
        <v>3</v>
      </c>
      <c r="I1227" s="4">
        <v>0.1</v>
      </c>
      <c r="J1227" s="3">
        <v>0.5</v>
      </c>
      <c r="K1227" s="4">
        <v>0.16666666666666666</v>
      </c>
      <c r="L1227" t="s">
        <v>172</v>
      </c>
      <c r="N1227" s="3">
        <v>0.5</v>
      </c>
      <c r="O1227" s="3">
        <v>0</v>
      </c>
      <c r="P1227">
        <v>25</v>
      </c>
      <c r="Q1227">
        <v>6.5</v>
      </c>
      <c r="R1227" t="s">
        <v>102</v>
      </c>
      <c r="S1227">
        <v>0</v>
      </c>
      <c r="T1227" s="6">
        <f>10^-(14-Q1227)</f>
        <v>3.1622776601683699E-8</v>
      </c>
      <c r="U1227" s="6">
        <v>0</v>
      </c>
      <c r="V1227" s="6">
        <v>0</v>
      </c>
      <c r="W1227" s="6">
        <v>0</v>
      </c>
      <c r="X1227" s="6">
        <v>0</v>
      </c>
      <c r="Y1227" t="s">
        <v>171</v>
      </c>
      <c r="Z1227" s="5">
        <v>-80</v>
      </c>
      <c r="AD1227">
        <v>0.38333333333333336</v>
      </c>
      <c r="AE1227">
        <v>680</v>
      </c>
      <c r="AF1227">
        <v>1</v>
      </c>
      <c r="AG1227" s="9">
        <v>2.1999999999999999E-2</v>
      </c>
      <c r="AH1227" s="9">
        <v>0.9</v>
      </c>
      <c r="AI1227" s="9">
        <v>0.69</v>
      </c>
      <c r="AJ1227" s="9">
        <v>2.7E-2</v>
      </c>
      <c r="AK1227" s="9">
        <v>4.0000000000000001E-3</v>
      </c>
      <c r="AL1227" s="9">
        <v>17.25</v>
      </c>
      <c r="AM1227" s="9">
        <v>12.08</v>
      </c>
      <c r="AN1227" s="9">
        <v>2.09</v>
      </c>
    </row>
    <row r="1228" spans="1:40" x14ac:dyDescent="0.3">
      <c r="A1228" t="s">
        <v>1172</v>
      </c>
      <c r="B1228" t="s">
        <v>1583</v>
      </c>
      <c r="C1228">
        <v>63</v>
      </c>
      <c r="D1228" s="8">
        <v>1.4403999999999999</v>
      </c>
      <c r="E1228">
        <v>1500</v>
      </c>
      <c r="G1228" t="s">
        <v>173</v>
      </c>
      <c r="H1228">
        <v>3</v>
      </c>
      <c r="I1228" s="4">
        <v>0.1</v>
      </c>
      <c r="J1228" s="3">
        <v>0.5</v>
      </c>
      <c r="K1228" s="4">
        <v>0.16666666666666666</v>
      </c>
      <c r="L1228" t="s">
        <v>172</v>
      </c>
      <c r="N1228" s="3">
        <v>0.5</v>
      </c>
      <c r="O1228" s="3">
        <v>0</v>
      </c>
      <c r="P1228">
        <v>25</v>
      </c>
      <c r="Q1228">
        <v>6.5</v>
      </c>
      <c r="R1228" t="s">
        <v>102</v>
      </c>
      <c r="S1228">
        <v>0</v>
      </c>
      <c r="T1228" s="6">
        <f>10^-(14-Q1228)</f>
        <v>3.1622776601683699E-8</v>
      </c>
      <c r="U1228" s="6">
        <v>0</v>
      </c>
      <c r="V1228" s="6">
        <v>0</v>
      </c>
      <c r="W1228" s="6">
        <v>0</v>
      </c>
      <c r="X1228" s="6">
        <v>0</v>
      </c>
      <c r="Y1228" t="s">
        <v>171</v>
      </c>
      <c r="Z1228" s="5">
        <v>-80</v>
      </c>
      <c r="AD1228">
        <v>0.38333333333333336</v>
      </c>
      <c r="AE1228">
        <v>675</v>
      </c>
      <c r="AF1228">
        <v>1</v>
      </c>
      <c r="AG1228" s="9">
        <v>2.1999999999999999E-2</v>
      </c>
      <c r="AH1228" s="9">
        <v>0.9</v>
      </c>
      <c r="AI1228" s="9">
        <v>0.69</v>
      </c>
      <c r="AJ1228" s="9">
        <v>2.7E-2</v>
      </c>
      <c r="AK1228" s="9">
        <v>4.0000000000000001E-3</v>
      </c>
      <c r="AL1228" s="9">
        <v>17.25</v>
      </c>
      <c r="AM1228" s="9">
        <v>12.08</v>
      </c>
      <c r="AN1228" s="9">
        <v>2.09</v>
      </c>
    </row>
    <row r="1229" spans="1:40" x14ac:dyDescent="0.3">
      <c r="A1229" t="s">
        <v>1173</v>
      </c>
      <c r="B1229" t="s">
        <v>1583</v>
      </c>
      <c r="C1229">
        <v>63</v>
      </c>
      <c r="D1229" s="8">
        <v>1.4403999999999999</v>
      </c>
      <c r="E1229">
        <v>1500</v>
      </c>
      <c r="G1229" t="s">
        <v>173</v>
      </c>
      <c r="H1229">
        <v>3</v>
      </c>
      <c r="I1229" s="4">
        <v>0.1</v>
      </c>
      <c r="J1229" s="3">
        <v>0.5</v>
      </c>
      <c r="K1229" s="4">
        <v>0.16666666666666666</v>
      </c>
      <c r="L1229" t="s">
        <v>172</v>
      </c>
      <c r="N1229" s="3">
        <v>0.5</v>
      </c>
      <c r="O1229" s="3">
        <v>0</v>
      </c>
      <c r="P1229">
        <v>25</v>
      </c>
      <c r="Q1229">
        <v>6.5</v>
      </c>
      <c r="R1229" t="s">
        <v>102</v>
      </c>
      <c r="S1229">
        <v>0</v>
      </c>
      <c r="T1229" s="6">
        <f>10^-(14-Q1229)</f>
        <v>3.1622776601683699E-8</v>
      </c>
      <c r="U1229" s="6">
        <v>0</v>
      </c>
      <c r="V1229" s="6">
        <v>0</v>
      </c>
      <c r="W1229" s="6">
        <v>0</v>
      </c>
      <c r="X1229" s="6">
        <v>0</v>
      </c>
      <c r="Y1229" t="s">
        <v>171</v>
      </c>
      <c r="Z1229" s="5">
        <v>-80</v>
      </c>
      <c r="AA1229"/>
      <c r="AB1229"/>
      <c r="AC1229"/>
      <c r="AD1229">
        <v>0.38333333333333336</v>
      </c>
      <c r="AE1229">
        <v>655</v>
      </c>
      <c r="AF1229">
        <v>1</v>
      </c>
      <c r="AG1229" s="9">
        <v>2.1999999999999999E-2</v>
      </c>
      <c r="AH1229" s="9">
        <v>0.9</v>
      </c>
      <c r="AI1229" s="9">
        <v>0.69</v>
      </c>
      <c r="AJ1229" s="9">
        <v>2.7E-2</v>
      </c>
      <c r="AK1229" s="9">
        <v>4.0000000000000001E-3</v>
      </c>
      <c r="AL1229" s="9">
        <v>17.25</v>
      </c>
      <c r="AM1229" s="9">
        <v>12.08</v>
      </c>
      <c r="AN1229" s="9">
        <v>2.09</v>
      </c>
    </row>
    <row r="1230" spans="1:40" x14ac:dyDescent="0.3">
      <c r="A1230" t="s">
        <v>1174</v>
      </c>
      <c r="B1230" t="s">
        <v>1583</v>
      </c>
      <c r="C1230">
        <v>63</v>
      </c>
      <c r="D1230" s="8">
        <v>1.4403999999999999</v>
      </c>
      <c r="E1230">
        <v>1500</v>
      </c>
      <c r="G1230" t="s">
        <v>173</v>
      </c>
      <c r="H1230">
        <v>3</v>
      </c>
      <c r="I1230" s="4">
        <v>0.1</v>
      </c>
      <c r="J1230" s="3">
        <v>0.5</v>
      </c>
      <c r="K1230" s="4">
        <v>0.16666666666666666</v>
      </c>
      <c r="L1230" t="s">
        <v>172</v>
      </c>
      <c r="N1230" s="3">
        <v>0.5</v>
      </c>
      <c r="O1230" s="3">
        <v>0</v>
      </c>
      <c r="P1230">
        <v>25</v>
      </c>
      <c r="Q1230">
        <v>6.5</v>
      </c>
      <c r="R1230" t="s">
        <v>102</v>
      </c>
      <c r="S1230">
        <v>0</v>
      </c>
      <c r="T1230" s="6">
        <f>10^-(14-Q1230)</f>
        <v>3.1622776601683699E-8</v>
      </c>
      <c r="U1230" s="6">
        <v>0</v>
      </c>
      <c r="V1230" s="6">
        <v>0</v>
      </c>
      <c r="W1230" s="6">
        <v>0</v>
      </c>
      <c r="X1230" s="6">
        <v>0</v>
      </c>
      <c r="Y1230" t="s">
        <v>171</v>
      </c>
      <c r="Z1230" s="5">
        <v>-80</v>
      </c>
      <c r="AA1230"/>
      <c r="AB1230"/>
      <c r="AC1230"/>
      <c r="AD1230">
        <v>0.38333333333333336</v>
      </c>
      <c r="AE1230">
        <v>645</v>
      </c>
      <c r="AF1230">
        <v>1</v>
      </c>
      <c r="AG1230" s="9">
        <v>2.1999999999999999E-2</v>
      </c>
      <c r="AH1230" s="9">
        <v>0.9</v>
      </c>
      <c r="AI1230" s="9">
        <v>0.69</v>
      </c>
      <c r="AJ1230" s="9">
        <v>2.7E-2</v>
      </c>
      <c r="AK1230" s="9">
        <v>4.0000000000000001E-3</v>
      </c>
      <c r="AL1230" s="9">
        <v>17.25</v>
      </c>
      <c r="AM1230" s="9">
        <v>12.08</v>
      </c>
      <c r="AN1230" s="9">
        <v>2.09</v>
      </c>
    </row>
    <row r="1231" spans="1:40" x14ac:dyDescent="0.3">
      <c r="A1231" t="s">
        <v>1175</v>
      </c>
      <c r="B1231" t="s">
        <v>1583</v>
      </c>
      <c r="C1231">
        <v>63</v>
      </c>
      <c r="D1231" s="8">
        <v>1.4403999999999999</v>
      </c>
      <c r="E1231">
        <v>1500</v>
      </c>
      <c r="G1231" t="s">
        <v>173</v>
      </c>
      <c r="H1231">
        <v>3</v>
      </c>
      <c r="I1231" s="4">
        <v>0.1</v>
      </c>
      <c r="J1231" s="3">
        <v>0.5</v>
      </c>
      <c r="K1231" s="4">
        <v>0.16666666666666666</v>
      </c>
      <c r="L1231" t="s">
        <v>172</v>
      </c>
      <c r="N1231" s="3">
        <v>0.5</v>
      </c>
      <c r="O1231" s="3">
        <v>0</v>
      </c>
      <c r="P1231">
        <v>25</v>
      </c>
      <c r="Q1231">
        <v>6.5</v>
      </c>
      <c r="R1231" t="s">
        <v>102</v>
      </c>
      <c r="S1231">
        <v>0</v>
      </c>
      <c r="T1231" s="6">
        <f>10^-(14-Q1231)</f>
        <v>3.1622776601683699E-8</v>
      </c>
      <c r="U1231" s="6">
        <v>0</v>
      </c>
      <c r="V1231" s="6">
        <v>0</v>
      </c>
      <c r="W1231" s="6">
        <v>0</v>
      </c>
      <c r="X1231" s="6">
        <v>0</v>
      </c>
      <c r="Y1231" t="s">
        <v>171</v>
      </c>
      <c r="Z1231" s="5">
        <v>-80</v>
      </c>
      <c r="AA1231"/>
      <c r="AB1231"/>
      <c r="AC1231"/>
      <c r="AD1231">
        <v>0.38333333333333336</v>
      </c>
      <c r="AE1231">
        <v>615</v>
      </c>
      <c r="AF1231">
        <v>1</v>
      </c>
      <c r="AG1231" s="9">
        <v>2.1999999999999999E-2</v>
      </c>
      <c r="AH1231" s="9">
        <v>0.9</v>
      </c>
      <c r="AI1231" s="9">
        <v>0.69</v>
      </c>
      <c r="AJ1231" s="9">
        <v>2.7E-2</v>
      </c>
      <c r="AK1231" s="9">
        <v>4.0000000000000001E-3</v>
      </c>
      <c r="AL1231" s="9">
        <v>17.25</v>
      </c>
      <c r="AM1231" s="9">
        <v>12.08</v>
      </c>
      <c r="AN1231" s="9">
        <v>2.09</v>
      </c>
    </row>
    <row r="1232" spans="1:40" x14ac:dyDescent="0.3">
      <c r="A1232" t="s">
        <v>1176</v>
      </c>
      <c r="B1232" t="s">
        <v>1583</v>
      </c>
      <c r="C1232">
        <v>63</v>
      </c>
      <c r="D1232" s="8">
        <v>1.4403999999999999</v>
      </c>
      <c r="E1232">
        <v>1500</v>
      </c>
      <c r="G1232" t="s">
        <v>173</v>
      </c>
      <c r="H1232">
        <v>3</v>
      </c>
      <c r="I1232" s="4">
        <v>0.1</v>
      </c>
      <c r="J1232" s="3">
        <v>0.5</v>
      </c>
      <c r="K1232" s="4">
        <v>0.16666666666666666</v>
      </c>
      <c r="L1232" t="s">
        <v>172</v>
      </c>
      <c r="N1232" s="3">
        <v>0.5</v>
      </c>
      <c r="O1232" s="3">
        <v>0</v>
      </c>
      <c r="P1232">
        <v>25</v>
      </c>
      <c r="Q1232">
        <v>6.5</v>
      </c>
      <c r="R1232" t="s">
        <v>102</v>
      </c>
      <c r="S1232">
        <v>0</v>
      </c>
      <c r="T1232" s="6">
        <f>10^-(14-Q1232)</f>
        <v>3.1622776601683699E-8</v>
      </c>
      <c r="U1232" s="6">
        <v>0</v>
      </c>
      <c r="V1232" s="6">
        <v>0</v>
      </c>
      <c r="W1232" s="6">
        <v>0</v>
      </c>
      <c r="X1232" s="6">
        <v>0</v>
      </c>
      <c r="Y1232" t="s">
        <v>171</v>
      </c>
      <c r="Z1232" s="5">
        <v>-80</v>
      </c>
      <c r="AA1232"/>
      <c r="AB1232"/>
      <c r="AC1232"/>
      <c r="AD1232">
        <v>0.38333333333333336</v>
      </c>
      <c r="AE1232">
        <v>515</v>
      </c>
      <c r="AF1232">
        <v>1</v>
      </c>
      <c r="AG1232" s="9">
        <v>2.1999999999999999E-2</v>
      </c>
      <c r="AH1232" s="9">
        <v>0.9</v>
      </c>
      <c r="AI1232" s="9">
        <v>0.69</v>
      </c>
      <c r="AJ1232" s="9">
        <v>2.7E-2</v>
      </c>
      <c r="AK1232" s="9">
        <v>4.0000000000000001E-3</v>
      </c>
      <c r="AL1232" s="9">
        <v>17.25</v>
      </c>
      <c r="AM1232" s="9">
        <v>12.08</v>
      </c>
      <c r="AN1232" s="9">
        <v>2.09</v>
      </c>
    </row>
    <row r="1233" spans="1:40" x14ac:dyDescent="0.3">
      <c r="A1233" t="s">
        <v>1177</v>
      </c>
      <c r="B1233" t="s">
        <v>1583</v>
      </c>
      <c r="C1233">
        <v>63</v>
      </c>
      <c r="D1233" s="8">
        <v>1.4403999999999999</v>
      </c>
      <c r="E1233">
        <v>1500</v>
      </c>
      <c r="G1233" t="s">
        <v>173</v>
      </c>
      <c r="H1233">
        <v>3</v>
      </c>
      <c r="I1233" s="4">
        <v>0.1</v>
      </c>
      <c r="J1233" s="3">
        <v>0.5</v>
      </c>
      <c r="K1233" s="4">
        <v>0.16666666666666666</v>
      </c>
      <c r="L1233" t="s">
        <v>172</v>
      </c>
      <c r="N1233" s="3">
        <v>0.5</v>
      </c>
      <c r="O1233" s="3">
        <v>0</v>
      </c>
      <c r="P1233">
        <v>25</v>
      </c>
      <c r="Q1233">
        <v>6.5</v>
      </c>
      <c r="R1233" t="s">
        <v>102</v>
      </c>
      <c r="S1233">
        <v>0</v>
      </c>
      <c r="T1233" s="6">
        <f>10^-(14-Q1233)</f>
        <v>3.1622776601683699E-8</v>
      </c>
      <c r="U1233" s="6">
        <v>0</v>
      </c>
      <c r="V1233" s="6">
        <v>0</v>
      </c>
      <c r="W1233" s="6">
        <v>0</v>
      </c>
      <c r="X1233" s="6">
        <v>0</v>
      </c>
      <c r="Y1233" t="s">
        <v>171</v>
      </c>
      <c r="Z1233" s="5">
        <v>-80</v>
      </c>
      <c r="AA1233"/>
      <c r="AB1233"/>
      <c r="AC1233"/>
      <c r="AD1233">
        <v>0.38333333333333336</v>
      </c>
      <c r="AE1233">
        <v>505</v>
      </c>
      <c r="AF1233">
        <v>1</v>
      </c>
      <c r="AG1233" s="9">
        <v>2.1999999999999999E-2</v>
      </c>
      <c r="AH1233" s="9">
        <v>0.9</v>
      </c>
      <c r="AI1233" s="9">
        <v>0.69</v>
      </c>
      <c r="AJ1233" s="9">
        <v>2.7E-2</v>
      </c>
      <c r="AK1233" s="9">
        <v>4.0000000000000001E-3</v>
      </c>
      <c r="AL1233" s="9">
        <v>17.25</v>
      </c>
      <c r="AM1233" s="9">
        <v>12.08</v>
      </c>
      <c r="AN1233" s="9">
        <v>2.09</v>
      </c>
    </row>
    <row r="1234" spans="1:40" x14ac:dyDescent="0.3">
      <c r="A1234" t="s">
        <v>1178</v>
      </c>
      <c r="B1234" t="s">
        <v>1583</v>
      </c>
      <c r="C1234">
        <v>63</v>
      </c>
      <c r="D1234" s="8">
        <v>1.4403999999999999</v>
      </c>
      <c r="E1234">
        <v>1500</v>
      </c>
      <c r="G1234" t="s">
        <v>173</v>
      </c>
      <c r="H1234">
        <v>3</v>
      </c>
      <c r="I1234" s="4">
        <v>0.1</v>
      </c>
      <c r="J1234" s="3">
        <v>0.5</v>
      </c>
      <c r="K1234" s="4">
        <v>0.16666666666666666</v>
      </c>
      <c r="L1234" t="s">
        <v>172</v>
      </c>
      <c r="N1234" s="3">
        <v>0.5</v>
      </c>
      <c r="O1234" s="3">
        <v>0</v>
      </c>
      <c r="P1234">
        <v>25</v>
      </c>
      <c r="Q1234">
        <v>6.5</v>
      </c>
      <c r="R1234" t="s">
        <v>102</v>
      </c>
      <c r="S1234">
        <v>0</v>
      </c>
      <c r="T1234" s="6">
        <f>10^-(14-Q1234)</f>
        <v>3.1622776601683699E-8</v>
      </c>
      <c r="U1234" s="6">
        <v>0</v>
      </c>
      <c r="V1234" s="6">
        <v>0</v>
      </c>
      <c r="W1234" s="6">
        <v>0</v>
      </c>
      <c r="X1234" s="6">
        <v>0</v>
      </c>
      <c r="Y1234" t="s">
        <v>171</v>
      </c>
      <c r="Z1234" s="5">
        <v>-80</v>
      </c>
      <c r="AA1234"/>
      <c r="AB1234"/>
      <c r="AC1234"/>
      <c r="AD1234">
        <v>0.38333333333333336</v>
      </c>
      <c r="AE1234">
        <v>475</v>
      </c>
      <c r="AF1234">
        <v>1</v>
      </c>
      <c r="AG1234" s="9">
        <v>2.1999999999999999E-2</v>
      </c>
      <c r="AH1234" s="9">
        <v>0.9</v>
      </c>
      <c r="AI1234" s="9">
        <v>0.69</v>
      </c>
      <c r="AJ1234" s="9">
        <v>2.7E-2</v>
      </c>
      <c r="AK1234" s="9">
        <v>4.0000000000000001E-3</v>
      </c>
      <c r="AL1234" s="9">
        <v>17.25</v>
      </c>
      <c r="AM1234" s="9">
        <v>12.08</v>
      </c>
      <c r="AN1234" s="9">
        <v>2.09</v>
      </c>
    </row>
    <row r="1235" spans="1:40" x14ac:dyDescent="0.3">
      <c r="A1235" t="s">
        <v>1179</v>
      </c>
      <c r="B1235" t="s">
        <v>1583</v>
      </c>
      <c r="C1235">
        <v>63</v>
      </c>
      <c r="D1235" s="8">
        <v>1.4403999999999999</v>
      </c>
      <c r="E1235">
        <v>1500</v>
      </c>
      <c r="G1235" t="s">
        <v>174</v>
      </c>
      <c r="H1235">
        <v>3</v>
      </c>
      <c r="I1235" s="4">
        <v>0.2</v>
      </c>
      <c r="J1235" s="3">
        <v>0.5</v>
      </c>
      <c r="K1235" s="4">
        <v>0.16666666666666666</v>
      </c>
      <c r="L1235" t="s">
        <v>172</v>
      </c>
      <c r="N1235" s="3">
        <v>0.5</v>
      </c>
      <c r="O1235" s="3">
        <v>0</v>
      </c>
      <c r="P1235">
        <v>25</v>
      </c>
      <c r="Q1235">
        <v>6.5</v>
      </c>
      <c r="R1235" t="s">
        <v>102</v>
      </c>
      <c r="S1235">
        <v>0</v>
      </c>
      <c r="T1235" s="6">
        <f>10^-(14-Q1235)</f>
        <v>3.1622776601683699E-8</v>
      </c>
      <c r="U1235" s="6">
        <v>0</v>
      </c>
      <c r="V1235" s="6">
        <v>0</v>
      </c>
      <c r="W1235" s="6">
        <v>0</v>
      </c>
      <c r="X1235" s="6">
        <v>0</v>
      </c>
      <c r="Y1235" t="s">
        <v>171</v>
      </c>
      <c r="Z1235" s="5">
        <v>-80</v>
      </c>
      <c r="AA1235"/>
      <c r="AB1235"/>
      <c r="AC1235"/>
      <c r="AD1235">
        <v>0.38333333333333336</v>
      </c>
      <c r="AE1235">
        <v>650</v>
      </c>
      <c r="AF1235">
        <v>1</v>
      </c>
      <c r="AG1235" s="9">
        <v>2.1999999999999999E-2</v>
      </c>
      <c r="AH1235" s="9">
        <v>0.9</v>
      </c>
      <c r="AI1235" s="9">
        <v>0.69</v>
      </c>
      <c r="AJ1235" s="9">
        <v>2.7E-2</v>
      </c>
      <c r="AK1235" s="9">
        <v>4.0000000000000001E-3</v>
      </c>
      <c r="AL1235" s="9">
        <v>17.25</v>
      </c>
      <c r="AM1235" s="9">
        <v>12.08</v>
      </c>
      <c r="AN1235" s="9">
        <v>2.09</v>
      </c>
    </row>
    <row r="1236" spans="1:40" x14ac:dyDescent="0.3">
      <c r="A1236" t="s">
        <v>1180</v>
      </c>
      <c r="B1236" t="s">
        <v>1583</v>
      </c>
      <c r="C1236">
        <v>63</v>
      </c>
      <c r="D1236" s="8">
        <v>1.4403999999999999</v>
      </c>
      <c r="E1236">
        <v>1500</v>
      </c>
      <c r="G1236" t="s">
        <v>174</v>
      </c>
      <c r="H1236">
        <v>3</v>
      </c>
      <c r="I1236" s="4">
        <v>0.2</v>
      </c>
      <c r="J1236" s="3">
        <v>0.5</v>
      </c>
      <c r="K1236" s="4">
        <v>0.16666666666666666</v>
      </c>
      <c r="L1236" t="s">
        <v>172</v>
      </c>
      <c r="N1236" s="3">
        <v>0.5</v>
      </c>
      <c r="O1236" s="3">
        <v>0</v>
      </c>
      <c r="P1236">
        <v>25</v>
      </c>
      <c r="Q1236">
        <v>6.5</v>
      </c>
      <c r="R1236" t="s">
        <v>102</v>
      </c>
      <c r="S1236">
        <v>0</v>
      </c>
      <c r="T1236" s="6">
        <f>10^-(14-Q1236)</f>
        <v>3.1622776601683699E-8</v>
      </c>
      <c r="U1236" s="6">
        <v>0</v>
      </c>
      <c r="V1236" s="6">
        <v>0</v>
      </c>
      <c r="W1236" s="6">
        <v>0</v>
      </c>
      <c r="X1236" s="6">
        <v>0</v>
      </c>
      <c r="Y1236" t="s">
        <v>171</v>
      </c>
      <c r="Z1236" s="5">
        <v>-80</v>
      </c>
      <c r="AA1236"/>
      <c r="AB1236"/>
      <c r="AC1236"/>
      <c r="AD1236">
        <v>0.38333333333333336</v>
      </c>
      <c r="AE1236">
        <v>695</v>
      </c>
      <c r="AF1236">
        <v>1</v>
      </c>
      <c r="AG1236" s="9">
        <v>2.1999999999999999E-2</v>
      </c>
      <c r="AH1236" s="9">
        <v>0.9</v>
      </c>
      <c r="AI1236" s="9">
        <v>0.69</v>
      </c>
      <c r="AJ1236" s="9">
        <v>2.7E-2</v>
      </c>
      <c r="AK1236" s="9">
        <v>4.0000000000000001E-3</v>
      </c>
      <c r="AL1236" s="9">
        <v>17.25</v>
      </c>
      <c r="AM1236" s="9">
        <v>12.08</v>
      </c>
      <c r="AN1236" s="9">
        <v>2.09</v>
      </c>
    </row>
    <row r="1237" spans="1:40" x14ac:dyDescent="0.3">
      <c r="A1237" t="s">
        <v>1181</v>
      </c>
      <c r="B1237" t="s">
        <v>1583</v>
      </c>
      <c r="C1237">
        <v>63</v>
      </c>
      <c r="D1237" s="8">
        <v>1.4403999999999999</v>
      </c>
      <c r="E1237">
        <v>1500</v>
      </c>
      <c r="G1237" t="s">
        <v>174</v>
      </c>
      <c r="H1237">
        <v>3</v>
      </c>
      <c r="I1237" s="4">
        <v>0.2</v>
      </c>
      <c r="J1237" s="3">
        <v>0.5</v>
      </c>
      <c r="K1237" s="4">
        <v>0.16666666666666666</v>
      </c>
      <c r="L1237" t="s">
        <v>172</v>
      </c>
      <c r="N1237" s="3">
        <v>0.5</v>
      </c>
      <c r="O1237" s="3">
        <v>0</v>
      </c>
      <c r="P1237">
        <v>25</v>
      </c>
      <c r="Q1237">
        <v>6.5</v>
      </c>
      <c r="R1237" t="s">
        <v>102</v>
      </c>
      <c r="S1237">
        <v>0</v>
      </c>
      <c r="T1237" s="6">
        <f>10^-(14-Q1237)</f>
        <v>3.1622776601683699E-8</v>
      </c>
      <c r="U1237" s="6">
        <v>0</v>
      </c>
      <c r="V1237" s="6">
        <v>0</v>
      </c>
      <c r="W1237" s="6">
        <v>0</v>
      </c>
      <c r="X1237" s="6">
        <v>0</v>
      </c>
      <c r="Y1237" t="s">
        <v>171</v>
      </c>
      <c r="Z1237" s="5">
        <v>-80</v>
      </c>
      <c r="AA1237"/>
      <c r="AB1237"/>
      <c r="AC1237"/>
      <c r="AD1237">
        <v>0.38333333333333336</v>
      </c>
      <c r="AE1237">
        <v>720</v>
      </c>
      <c r="AF1237">
        <v>1</v>
      </c>
      <c r="AG1237" s="9">
        <v>2.1999999999999999E-2</v>
      </c>
      <c r="AH1237" s="9">
        <v>0.9</v>
      </c>
      <c r="AI1237" s="9">
        <v>0.69</v>
      </c>
      <c r="AJ1237" s="9">
        <v>2.7E-2</v>
      </c>
      <c r="AK1237" s="9">
        <v>4.0000000000000001E-3</v>
      </c>
      <c r="AL1237" s="9">
        <v>17.25</v>
      </c>
      <c r="AM1237" s="9">
        <v>12.08</v>
      </c>
      <c r="AN1237" s="9">
        <v>2.09</v>
      </c>
    </row>
    <row r="1238" spans="1:40" x14ac:dyDescent="0.3">
      <c r="A1238" t="s">
        <v>1182</v>
      </c>
      <c r="B1238" t="s">
        <v>1583</v>
      </c>
      <c r="C1238">
        <v>63</v>
      </c>
      <c r="D1238" s="8">
        <v>1.4403999999999999</v>
      </c>
      <c r="E1238">
        <v>1500</v>
      </c>
      <c r="G1238" t="s">
        <v>174</v>
      </c>
      <c r="H1238">
        <v>3</v>
      </c>
      <c r="I1238" s="4">
        <v>0.2</v>
      </c>
      <c r="J1238" s="3">
        <v>0.5</v>
      </c>
      <c r="K1238" s="4">
        <v>0.16666666666666666</v>
      </c>
      <c r="L1238" t="s">
        <v>172</v>
      </c>
      <c r="N1238" s="3">
        <v>0.5</v>
      </c>
      <c r="O1238" s="3">
        <v>0</v>
      </c>
      <c r="P1238">
        <v>25</v>
      </c>
      <c r="Q1238">
        <v>6.5</v>
      </c>
      <c r="R1238" t="s">
        <v>102</v>
      </c>
      <c r="S1238">
        <v>0</v>
      </c>
      <c r="T1238" s="6">
        <f>10^-(14-Q1238)</f>
        <v>3.1622776601683699E-8</v>
      </c>
      <c r="U1238" s="6">
        <v>0</v>
      </c>
      <c r="V1238" s="6">
        <v>0</v>
      </c>
      <c r="W1238" s="6">
        <v>0</v>
      </c>
      <c r="X1238" s="6">
        <v>0</v>
      </c>
      <c r="Y1238" t="s">
        <v>171</v>
      </c>
      <c r="Z1238" s="5">
        <v>-80</v>
      </c>
      <c r="AA1238"/>
      <c r="AB1238"/>
      <c r="AC1238"/>
      <c r="AD1238">
        <v>0.38333333333333336</v>
      </c>
      <c r="AE1238">
        <v>760</v>
      </c>
      <c r="AF1238">
        <v>1</v>
      </c>
      <c r="AG1238" s="9">
        <v>2.1999999999999999E-2</v>
      </c>
      <c r="AH1238" s="9">
        <v>0.9</v>
      </c>
      <c r="AI1238" s="9">
        <v>0.69</v>
      </c>
      <c r="AJ1238" s="9">
        <v>2.7E-2</v>
      </c>
      <c r="AK1238" s="9">
        <v>4.0000000000000001E-3</v>
      </c>
      <c r="AL1238" s="9">
        <v>17.25</v>
      </c>
      <c r="AM1238" s="9">
        <v>12.08</v>
      </c>
      <c r="AN1238" s="9">
        <v>2.09</v>
      </c>
    </row>
    <row r="1239" spans="1:40" x14ac:dyDescent="0.3">
      <c r="A1239" t="s">
        <v>1183</v>
      </c>
      <c r="B1239" t="s">
        <v>1583</v>
      </c>
      <c r="C1239">
        <v>63</v>
      </c>
      <c r="D1239" s="8">
        <v>1.4403999999999999</v>
      </c>
      <c r="E1239">
        <v>1500</v>
      </c>
      <c r="G1239" t="s">
        <v>174</v>
      </c>
      <c r="H1239">
        <v>3</v>
      </c>
      <c r="I1239" s="4">
        <v>0.2</v>
      </c>
      <c r="J1239" s="3">
        <v>0.5</v>
      </c>
      <c r="K1239" s="4">
        <v>0.16666666666666666</v>
      </c>
      <c r="L1239" t="s">
        <v>172</v>
      </c>
      <c r="N1239" s="3">
        <v>0.5</v>
      </c>
      <c r="O1239" s="3">
        <v>0</v>
      </c>
      <c r="P1239">
        <v>25</v>
      </c>
      <c r="Q1239">
        <v>6.5</v>
      </c>
      <c r="R1239" t="s">
        <v>102</v>
      </c>
      <c r="S1239">
        <v>0</v>
      </c>
      <c r="T1239" s="6">
        <f>10^-(14-Q1239)</f>
        <v>3.1622776601683699E-8</v>
      </c>
      <c r="U1239" s="6">
        <v>0</v>
      </c>
      <c r="V1239" s="6">
        <v>0</v>
      </c>
      <c r="W1239" s="6">
        <v>0</v>
      </c>
      <c r="X1239" s="6">
        <v>0</v>
      </c>
      <c r="Y1239" t="s">
        <v>171</v>
      </c>
      <c r="Z1239" s="5">
        <v>-80</v>
      </c>
      <c r="AA1239"/>
      <c r="AB1239"/>
      <c r="AC1239"/>
      <c r="AD1239">
        <v>0.38333333333333336</v>
      </c>
      <c r="AE1239">
        <v>815</v>
      </c>
      <c r="AF1239">
        <v>1</v>
      </c>
      <c r="AG1239" s="9">
        <v>2.1999999999999999E-2</v>
      </c>
      <c r="AH1239" s="9">
        <v>0.9</v>
      </c>
      <c r="AI1239" s="9">
        <v>0.69</v>
      </c>
      <c r="AJ1239" s="9">
        <v>2.7E-2</v>
      </c>
      <c r="AK1239" s="9">
        <v>4.0000000000000001E-3</v>
      </c>
      <c r="AL1239" s="9">
        <v>17.25</v>
      </c>
      <c r="AM1239" s="9">
        <v>12.08</v>
      </c>
      <c r="AN1239" s="9">
        <v>2.09</v>
      </c>
    </row>
    <row r="1240" spans="1:40" x14ac:dyDescent="0.3">
      <c r="A1240" t="s">
        <v>1184</v>
      </c>
      <c r="B1240" t="s">
        <v>1583</v>
      </c>
      <c r="C1240">
        <v>63</v>
      </c>
      <c r="D1240" s="8">
        <v>1.4403999999999999</v>
      </c>
      <c r="E1240">
        <v>1500</v>
      </c>
      <c r="G1240" t="s">
        <v>174</v>
      </c>
      <c r="H1240">
        <v>3</v>
      </c>
      <c r="I1240" s="4">
        <v>0.2</v>
      </c>
      <c r="J1240" s="3">
        <v>0.5</v>
      </c>
      <c r="K1240" s="4">
        <v>0.16666666666666666</v>
      </c>
      <c r="L1240" t="s">
        <v>172</v>
      </c>
      <c r="N1240" s="3">
        <v>0.5</v>
      </c>
      <c r="O1240" s="3">
        <v>0</v>
      </c>
      <c r="P1240">
        <v>25</v>
      </c>
      <c r="Q1240">
        <v>6.5</v>
      </c>
      <c r="R1240" t="s">
        <v>102</v>
      </c>
      <c r="S1240">
        <v>0</v>
      </c>
      <c r="T1240" s="6">
        <f>10^-(14-Q1240)</f>
        <v>3.1622776601683699E-8</v>
      </c>
      <c r="U1240" s="6">
        <v>0</v>
      </c>
      <c r="V1240" s="6">
        <v>0</v>
      </c>
      <c r="W1240" s="6">
        <v>0</v>
      </c>
      <c r="X1240" s="6">
        <v>0</v>
      </c>
      <c r="Y1240" t="s">
        <v>171</v>
      </c>
      <c r="Z1240" s="5">
        <v>-80</v>
      </c>
      <c r="AA1240"/>
      <c r="AB1240"/>
      <c r="AC1240"/>
      <c r="AD1240">
        <v>0.38333333333333336</v>
      </c>
      <c r="AE1240">
        <v>905</v>
      </c>
      <c r="AF1240">
        <v>1</v>
      </c>
      <c r="AG1240" s="9">
        <v>2.1999999999999999E-2</v>
      </c>
      <c r="AH1240" s="9">
        <v>0.9</v>
      </c>
      <c r="AI1240" s="9">
        <v>0.69</v>
      </c>
      <c r="AJ1240" s="9">
        <v>2.7E-2</v>
      </c>
      <c r="AK1240" s="9">
        <v>4.0000000000000001E-3</v>
      </c>
      <c r="AL1240" s="9">
        <v>17.25</v>
      </c>
      <c r="AM1240" s="9">
        <v>12.08</v>
      </c>
      <c r="AN1240" s="9">
        <v>2.09</v>
      </c>
    </row>
    <row r="1241" spans="1:40" x14ac:dyDescent="0.3">
      <c r="A1241" t="s">
        <v>1185</v>
      </c>
      <c r="B1241" t="s">
        <v>1583</v>
      </c>
      <c r="C1241">
        <v>63</v>
      </c>
      <c r="D1241" s="8">
        <v>1.4403999999999999</v>
      </c>
      <c r="E1241">
        <v>1500</v>
      </c>
      <c r="G1241" t="s">
        <v>174</v>
      </c>
      <c r="H1241">
        <v>3</v>
      </c>
      <c r="I1241" s="4">
        <v>0.2</v>
      </c>
      <c r="J1241" s="3">
        <v>0.5</v>
      </c>
      <c r="K1241" s="4">
        <v>0.16666666666666666</v>
      </c>
      <c r="L1241" t="s">
        <v>172</v>
      </c>
      <c r="N1241" s="3">
        <v>0.5</v>
      </c>
      <c r="O1241" s="3">
        <v>0</v>
      </c>
      <c r="P1241">
        <v>25</v>
      </c>
      <c r="Q1241">
        <v>6.5</v>
      </c>
      <c r="R1241" t="s">
        <v>102</v>
      </c>
      <c r="S1241">
        <v>0</v>
      </c>
      <c r="T1241" s="6">
        <f>10^-(14-Q1241)</f>
        <v>3.1622776601683699E-8</v>
      </c>
      <c r="U1241" s="6">
        <v>0</v>
      </c>
      <c r="V1241" s="6">
        <v>0</v>
      </c>
      <c r="W1241" s="6">
        <v>0</v>
      </c>
      <c r="X1241" s="6">
        <v>0</v>
      </c>
      <c r="Y1241" t="s">
        <v>171</v>
      </c>
      <c r="Z1241" s="5">
        <v>-80</v>
      </c>
      <c r="AA1241"/>
      <c r="AB1241"/>
      <c r="AC1241"/>
      <c r="AD1241">
        <v>0.38333333333333336</v>
      </c>
      <c r="AE1241">
        <v>910</v>
      </c>
      <c r="AF1241">
        <v>1</v>
      </c>
      <c r="AG1241" s="9">
        <v>2.1999999999999999E-2</v>
      </c>
      <c r="AH1241" s="9">
        <v>0.9</v>
      </c>
      <c r="AI1241" s="9">
        <v>0.69</v>
      </c>
      <c r="AJ1241" s="9">
        <v>2.7E-2</v>
      </c>
      <c r="AK1241" s="9">
        <v>4.0000000000000001E-3</v>
      </c>
      <c r="AL1241" s="9">
        <v>17.25</v>
      </c>
      <c r="AM1241" s="9">
        <v>12.08</v>
      </c>
      <c r="AN1241" s="9">
        <v>2.09</v>
      </c>
    </row>
    <row r="1242" spans="1:40" x14ac:dyDescent="0.3">
      <c r="A1242" t="s">
        <v>1186</v>
      </c>
      <c r="B1242" t="s">
        <v>1583</v>
      </c>
      <c r="C1242">
        <v>63</v>
      </c>
      <c r="D1242" s="8">
        <v>1.4403999999999999</v>
      </c>
      <c r="E1242">
        <v>1500</v>
      </c>
      <c r="G1242" t="s">
        <v>174</v>
      </c>
      <c r="H1242">
        <v>3</v>
      </c>
      <c r="I1242" s="4">
        <v>0.2</v>
      </c>
      <c r="J1242" s="3">
        <v>0.5</v>
      </c>
      <c r="K1242" s="4">
        <v>0.16666666666666666</v>
      </c>
      <c r="L1242" t="s">
        <v>172</v>
      </c>
      <c r="N1242" s="3">
        <v>0.5</v>
      </c>
      <c r="O1242" s="3">
        <v>0</v>
      </c>
      <c r="P1242">
        <v>25</v>
      </c>
      <c r="Q1242">
        <v>6.5</v>
      </c>
      <c r="R1242" t="s">
        <v>102</v>
      </c>
      <c r="S1242">
        <v>0</v>
      </c>
      <c r="T1242" s="6">
        <f>10^-(14-Q1242)</f>
        <v>3.1622776601683699E-8</v>
      </c>
      <c r="U1242" s="6">
        <v>0</v>
      </c>
      <c r="V1242" s="6">
        <v>0</v>
      </c>
      <c r="W1242" s="6">
        <v>0</v>
      </c>
      <c r="X1242" s="6">
        <v>0</v>
      </c>
      <c r="Y1242" t="s">
        <v>171</v>
      </c>
      <c r="Z1242" s="5">
        <v>-80</v>
      </c>
      <c r="AA1242"/>
      <c r="AB1242"/>
      <c r="AC1242"/>
      <c r="AD1242">
        <v>0.38333333333333336</v>
      </c>
      <c r="AE1242">
        <v>1055</v>
      </c>
      <c r="AF1242">
        <v>1</v>
      </c>
      <c r="AG1242" s="9">
        <v>2.1999999999999999E-2</v>
      </c>
      <c r="AH1242" s="9">
        <v>0.9</v>
      </c>
      <c r="AI1242" s="9">
        <v>0.69</v>
      </c>
      <c r="AJ1242" s="9">
        <v>2.7E-2</v>
      </c>
      <c r="AK1242" s="9">
        <v>4.0000000000000001E-3</v>
      </c>
      <c r="AL1242" s="9">
        <v>17.25</v>
      </c>
      <c r="AM1242" s="9">
        <v>12.08</v>
      </c>
      <c r="AN1242" s="9">
        <v>2.09</v>
      </c>
    </row>
    <row r="1243" spans="1:40" x14ac:dyDescent="0.3">
      <c r="A1243" t="s">
        <v>1187</v>
      </c>
      <c r="B1243" t="s">
        <v>1583</v>
      </c>
      <c r="C1243">
        <v>63</v>
      </c>
      <c r="D1243" s="8">
        <v>1.4403999999999999</v>
      </c>
      <c r="E1243">
        <v>1500</v>
      </c>
      <c r="G1243" t="s">
        <v>175</v>
      </c>
      <c r="H1243">
        <v>3</v>
      </c>
      <c r="I1243" s="4">
        <v>0.3</v>
      </c>
      <c r="J1243" s="3">
        <v>0.5</v>
      </c>
      <c r="K1243" s="4">
        <v>0.16666666666666666</v>
      </c>
      <c r="L1243" t="s">
        <v>172</v>
      </c>
      <c r="N1243" s="3">
        <v>0.5</v>
      </c>
      <c r="O1243" s="3">
        <v>0</v>
      </c>
      <c r="P1243">
        <v>25</v>
      </c>
      <c r="Q1243">
        <v>6.5</v>
      </c>
      <c r="R1243" t="s">
        <v>102</v>
      </c>
      <c r="S1243">
        <v>0</v>
      </c>
      <c r="T1243" s="6">
        <f>10^-(14-Q1243)</f>
        <v>3.1622776601683699E-8</v>
      </c>
      <c r="U1243" s="6">
        <v>0</v>
      </c>
      <c r="V1243" s="6">
        <v>0</v>
      </c>
      <c r="W1243" s="6">
        <v>0</v>
      </c>
      <c r="X1243" s="6">
        <v>0</v>
      </c>
      <c r="Y1243" t="s">
        <v>171</v>
      </c>
      <c r="Z1243" s="5">
        <v>-80</v>
      </c>
      <c r="AA1243"/>
      <c r="AB1243"/>
      <c r="AC1243"/>
      <c r="AD1243">
        <v>0.38333333333333336</v>
      </c>
      <c r="AE1243">
        <v>930</v>
      </c>
      <c r="AF1243">
        <v>1</v>
      </c>
      <c r="AG1243" s="9">
        <v>2.1999999999999999E-2</v>
      </c>
      <c r="AH1243" s="9">
        <v>0.9</v>
      </c>
      <c r="AI1243" s="9">
        <v>0.69</v>
      </c>
      <c r="AJ1243" s="9">
        <v>2.7E-2</v>
      </c>
      <c r="AK1243" s="9">
        <v>4.0000000000000001E-3</v>
      </c>
      <c r="AL1243" s="9">
        <v>17.25</v>
      </c>
      <c r="AM1243" s="9">
        <v>12.08</v>
      </c>
      <c r="AN1243" s="9">
        <v>2.09</v>
      </c>
    </row>
    <row r="1244" spans="1:40" x14ac:dyDescent="0.3">
      <c r="A1244" t="s">
        <v>1188</v>
      </c>
      <c r="B1244" t="s">
        <v>1583</v>
      </c>
      <c r="C1244">
        <v>63</v>
      </c>
      <c r="D1244" s="8">
        <v>1.4403999999999999</v>
      </c>
      <c r="E1244">
        <v>1500</v>
      </c>
      <c r="G1244" t="s">
        <v>175</v>
      </c>
      <c r="H1244">
        <v>3</v>
      </c>
      <c r="I1244" s="4">
        <v>0.3</v>
      </c>
      <c r="J1244" s="3">
        <v>0.5</v>
      </c>
      <c r="K1244" s="4">
        <v>0.16666666666666666</v>
      </c>
      <c r="L1244" t="s">
        <v>172</v>
      </c>
      <c r="N1244" s="3">
        <v>0.5</v>
      </c>
      <c r="O1244" s="3">
        <v>0</v>
      </c>
      <c r="P1244">
        <v>25</v>
      </c>
      <c r="Q1244">
        <v>6.5</v>
      </c>
      <c r="R1244" t="s">
        <v>102</v>
      </c>
      <c r="S1244">
        <v>0</v>
      </c>
      <c r="T1244" s="6">
        <f>10^-(14-Q1244)</f>
        <v>3.1622776601683699E-8</v>
      </c>
      <c r="U1244" s="6">
        <v>0</v>
      </c>
      <c r="V1244" s="6">
        <v>0</v>
      </c>
      <c r="W1244" s="6">
        <v>0</v>
      </c>
      <c r="X1244" s="6">
        <v>0</v>
      </c>
      <c r="Y1244" t="s">
        <v>171</v>
      </c>
      <c r="Z1244" s="5">
        <v>-80</v>
      </c>
      <c r="AA1244"/>
      <c r="AB1244"/>
      <c r="AC1244"/>
      <c r="AD1244">
        <v>0.38333333333333336</v>
      </c>
      <c r="AE1244">
        <v>850</v>
      </c>
      <c r="AF1244">
        <v>1</v>
      </c>
      <c r="AG1244" s="9">
        <v>2.1999999999999999E-2</v>
      </c>
      <c r="AH1244" s="9">
        <v>0.9</v>
      </c>
      <c r="AI1244" s="9">
        <v>0.69</v>
      </c>
      <c r="AJ1244" s="9">
        <v>2.7E-2</v>
      </c>
      <c r="AK1244" s="9">
        <v>4.0000000000000001E-3</v>
      </c>
      <c r="AL1244" s="9">
        <v>17.25</v>
      </c>
      <c r="AM1244" s="9">
        <v>12.08</v>
      </c>
      <c r="AN1244" s="9">
        <v>2.09</v>
      </c>
    </row>
    <row r="1245" spans="1:40" x14ac:dyDescent="0.3">
      <c r="A1245" t="s">
        <v>1189</v>
      </c>
      <c r="B1245" t="s">
        <v>1583</v>
      </c>
      <c r="C1245">
        <v>63</v>
      </c>
      <c r="D1245" s="8">
        <v>1.4403999999999999</v>
      </c>
      <c r="E1245">
        <v>1500</v>
      </c>
      <c r="G1245" t="s">
        <v>175</v>
      </c>
      <c r="H1245">
        <v>3</v>
      </c>
      <c r="I1245" s="4">
        <v>0.3</v>
      </c>
      <c r="J1245" s="3">
        <v>0.5</v>
      </c>
      <c r="K1245" s="4">
        <v>0.16666666666666666</v>
      </c>
      <c r="L1245" t="s">
        <v>172</v>
      </c>
      <c r="N1245" s="3">
        <v>0.5</v>
      </c>
      <c r="O1245" s="3">
        <v>0</v>
      </c>
      <c r="P1245">
        <v>25</v>
      </c>
      <c r="Q1245">
        <v>6.5</v>
      </c>
      <c r="R1245" t="s">
        <v>102</v>
      </c>
      <c r="S1245">
        <v>0</v>
      </c>
      <c r="T1245" s="6">
        <f>10^-(14-Q1245)</f>
        <v>3.1622776601683699E-8</v>
      </c>
      <c r="U1245" s="6">
        <v>0</v>
      </c>
      <c r="V1245" s="6">
        <v>0</v>
      </c>
      <c r="W1245" s="6">
        <v>0</v>
      </c>
      <c r="X1245" s="6">
        <v>0</v>
      </c>
      <c r="Y1245" t="s">
        <v>171</v>
      </c>
      <c r="Z1245" s="5">
        <v>-80</v>
      </c>
      <c r="AA1245"/>
      <c r="AB1245"/>
      <c r="AC1245"/>
      <c r="AD1245">
        <v>0.38333333333333336</v>
      </c>
      <c r="AE1245">
        <v>835</v>
      </c>
      <c r="AF1245">
        <v>1</v>
      </c>
      <c r="AG1245" s="9">
        <v>2.1999999999999999E-2</v>
      </c>
      <c r="AH1245" s="9">
        <v>0.9</v>
      </c>
      <c r="AI1245" s="9">
        <v>0.69</v>
      </c>
      <c r="AJ1245" s="9">
        <v>2.7E-2</v>
      </c>
      <c r="AK1245" s="9">
        <v>4.0000000000000001E-3</v>
      </c>
      <c r="AL1245" s="9">
        <v>17.25</v>
      </c>
      <c r="AM1245" s="9">
        <v>12.08</v>
      </c>
      <c r="AN1245" s="9">
        <v>2.09</v>
      </c>
    </row>
    <row r="1246" spans="1:40" x14ac:dyDescent="0.3">
      <c r="A1246" t="s">
        <v>1190</v>
      </c>
      <c r="B1246" t="s">
        <v>1583</v>
      </c>
      <c r="C1246">
        <v>63</v>
      </c>
      <c r="D1246" s="8">
        <v>1.4403999999999999</v>
      </c>
      <c r="E1246">
        <v>1500</v>
      </c>
      <c r="G1246" t="s">
        <v>175</v>
      </c>
      <c r="H1246">
        <v>3</v>
      </c>
      <c r="I1246" s="4">
        <v>0.3</v>
      </c>
      <c r="J1246" s="3">
        <v>0.5</v>
      </c>
      <c r="K1246" s="4">
        <v>0.16666666666666666</v>
      </c>
      <c r="L1246" t="s">
        <v>172</v>
      </c>
      <c r="N1246" s="3">
        <v>0.5</v>
      </c>
      <c r="O1246" s="3">
        <v>0</v>
      </c>
      <c r="P1246">
        <v>25</v>
      </c>
      <c r="Q1246">
        <v>6.5</v>
      </c>
      <c r="R1246" t="s">
        <v>102</v>
      </c>
      <c r="S1246">
        <v>0</v>
      </c>
      <c r="T1246" s="6">
        <f>10^-(14-Q1246)</f>
        <v>3.1622776601683699E-8</v>
      </c>
      <c r="U1246" s="6">
        <v>0</v>
      </c>
      <c r="V1246" s="6">
        <v>0</v>
      </c>
      <c r="W1246" s="6">
        <v>0</v>
      </c>
      <c r="X1246" s="6">
        <v>0</v>
      </c>
      <c r="Y1246" t="s">
        <v>171</v>
      </c>
      <c r="Z1246" s="5">
        <v>-80</v>
      </c>
      <c r="AA1246"/>
      <c r="AB1246"/>
      <c r="AC1246"/>
      <c r="AD1246">
        <v>0.38333333333333336</v>
      </c>
      <c r="AE1246">
        <v>795</v>
      </c>
      <c r="AF1246">
        <v>1</v>
      </c>
      <c r="AG1246" s="9">
        <v>2.1999999999999999E-2</v>
      </c>
      <c r="AH1246" s="9">
        <v>0.9</v>
      </c>
      <c r="AI1246" s="9">
        <v>0.69</v>
      </c>
      <c r="AJ1246" s="9">
        <v>2.7E-2</v>
      </c>
      <c r="AK1246" s="9">
        <v>4.0000000000000001E-3</v>
      </c>
      <c r="AL1246" s="9">
        <v>17.25</v>
      </c>
      <c r="AM1246" s="9">
        <v>12.08</v>
      </c>
      <c r="AN1246" s="9">
        <v>2.09</v>
      </c>
    </row>
    <row r="1247" spans="1:40" x14ac:dyDescent="0.3">
      <c r="A1247" t="s">
        <v>1191</v>
      </c>
      <c r="B1247" t="s">
        <v>1583</v>
      </c>
      <c r="C1247">
        <v>63</v>
      </c>
      <c r="D1247" s="8">
        <v>1.4403999999999999</v>
      </c>
      <c r="E1247">
        <v>1500</v>
      </c>
      <c r="G1247" t="s">
        <v>175</v>
      </c>
      <c r="H1247">
        <v>3</v>
      </c>
      <c r="I1247" s="4">
        <v>0.3</v>
      </c>
      <c r="J1247" s="3">
        <v>0.5</v>
      </c>
      <c r="K1247" s="4">
        <v>0.16666666666666666</v>
      </c>
      <c r="L1247" t="s">
        <v>172</v>
      </c>
      <c r="N1247" s="3">
        <v>0.5</v>
      </c>
      <c r="O1247" s="3">
        <v>0</v>
      </c>
      <c r="P1247">
        <v>25</v>
      </c>
      <c r="Q1247">
        <v>6.5</v>
      </c>
      <c r="R1247" t="s">
        <v>102</v>
      </c>
      <c r="S1247">
        <v>0</v>
      </c>
      <c r="T1247" s="6">
        <f>10^-(14-Q1247)</f>
        <v>3.1622776601683699E-8</v>
      </c>
      <c r="U1247" s="6">
        <v>0</v>
      </c>
      <c r="V1247" s="6">
        <v>0</v>
      </c>
      <c r="W1247" s="6">
        <v>0</v>
      </c>
      <c r="X1247" s="6">
        <v>0</v>
      </c>
      <c r="Y1247" t="s">
        <v>171</v>
      </c>
      <c r="Z1247" s="5">
        <v>-80</v>
      </c>
      <c r="AA1247"/>
      <c r="AB1247"/>
      <c r="AC1247"/>
      <c r="AD1247">
        <v>0.38333333333333336</v>
      </c>
      <c r="AE1247">
        <v>760</v>
      </c>
      <c r="AF1247">
        <v>1</v>
      </c>
      <c r="AG1247" s="9">
        <v>2.1999999999999999E-2</v>
      </c>
      <c r="AH1247" s="9">
        <v>0.9</v>
      </c>
      <c r="AI1247" s="9">
        <v>0.69</v>
      </c>
      <c r="AJ1247" s="9">
        <v>2.7E-2</v>
      </c>
      <c r="AK1247" s="9">
        <v>4.0000000000000001E-3</v>
      </c>
      <c r="AL1247" s="9">
        <v>17.25</v>
      </c>
      <c r="AM1247" s="9">
        <v>12.08</v>
      </c>
      <c r="AN1247" s="9">
        <v>2.09</v>
      </c>
    </row>
    <row r="1248" spans="1:40" x14ac:dyDescent="0.3">
      <c r="A1248" t="s">
        <v>1192</v>
      </c>
      <c r="B1248" t="s">
        <v>1583</v>
      </c>
      <c r="C1248">
        <v>63</v>
      </c>
      <c r="D1248" s="8">
        <v>1.4403999999999999</v>
      </c>
      <c r="E1248">
        <v>1500</v>
      </c>
      <c r="G1248" t="s">
        <v>175</v>
      </c>
      <c r="H1248">
        <v>3</v>
      </c>
      <c r="I1248" s="4">
        <v>0.3</v>
      </c>
      <c r="J1248" s="3">
        <v>0.5</v>
      </c>
      <c r="K1248" s="4">
        <v>0.16666666666666666</v>
      </c>
      <c r="L1248" t="s">
        <v>172</v>
      </c>
      <c r="N1248" s="3">
        <v>0.5</v>
      </c>
      <c r="O1248" s="3">
        <v>0</v>
      </c>
      <c r="P1248">
        <v>25</v>
      </c>
      <c r="Q1248">
        <v>6.5</v>
      </c>
      <c r="R1248" t="s">
        <v>102</v>
      </c>
      <c r="S1248">
        <v>0</v>
      </c>
      <c r="T1248" s="6">
        <f>10^-(14-Q1248)</f>
        <v>3.1622776601683699E-8</v>
      </c>
      <c r="U1248" s="6">
        <v>0</v>
      </c>
      <c r="V1248" s="6">
        <v>0</v>
      </c>
      <c r="W1248" s="6">
        <v>0</v>
      </c>
      <c r="X1248" s="6">
        <v>0</v>
      </c>
      <c r="Y1248" t="s">
        <v>171</v>
      </c>
      <c r="Z1248" s="5">
        <v>-80</v>
      </c>
      <c r="AA1248"/>
      <c r="AB1248"/>
      <c r="AC1248"/>
      <c r="AD1248">
        <v>0.38333333333333336</v>
      </c>
      <c r="AE1248">
        <v>725</v>
      </c>
      <c r="AF1248">
        <v>1</v>
      </c>
      <c r="AG1248" s="9">
        <v>2.1999999999999999E-2</v>
      </c>
      <c r="AH1248" s="9">
        <v>0.9</v>
      </c>
      <c r="AI1248" s="9">
        <v>0.69</v>
      </c>
      <c r="AJ1248" s="9">
        <v>2.7E-2</v>
      </c>
      <c r="AK1248" s="9">
        <v>4.0000000000000001E-3</v>
      </c>
      <c r="AL1248" s="9">
        <v>17.25</v>
      </c>
      <c r="AM1248" s="9">
        <v>12.08</v>
      </c>
      <c r="AN1248" s="9">
        <v>2.09</v>
      </c>
    </row>
    <row r="1249" spans="1:40" x14ac:dyDescent="0.3">
      <c r="A1249" t="s">
        <v>1193</v>
      </c>
      <c r="B1249" t="s">
        <v>1583</v>
      </c>
      <c r="C1249">
        <v>63</v>
      </c>
      <c r="D1249" s="8">
        <v>1.4403999999999999</v>
      </c>
      <c r="E1249">
        <v>1500</v>
      </c>
      <c r="G1249" t="s">
        <v>175</v>
      </c>
      <c r="H1249">
        <v>3</v>
      </c>
      <c r="I1249" s="4">
        <v>0.3</v>
      </c>
      <c r="J1249" s="3">
        <v>0.5</v>
      </c>
      <c r="K1249" s="4">
        <v>0.16666666666666666</v>
      </c>
      <c r="L1249" t="s">
        <v>172</v>
      </c>
      <c r="N1249" s="3">
        <v>0.5</v>
      </c>
      <c r="O1249" s="3">
        <v>0</v>
      </c>
      <c r="P1249">
        <v>25</v>
      </c>
      <c r="Q1249">
        <v>6.5</v>
      </c>
      <c r="R1249" t="s">
        <v>102</v>
      </c>
      <c r="S1249">
        <v>0</v>
      </c>
      <c r="T1249" s="6">
        <f>10^-(14-Q1249)</f>
        <v>3.1622776601683699E-8</v>
      </c>
      <c r="U1249" s="6">
        <v>0</v>
      </c>
      <c r="V1249" s="6">
        <v>0</v>
      </c>
      <c r="W1249" s="6">
        <v>0</v>
      </c>
      <c r="X1249" s="6">
        <v>0</v>
      </c>
      <c r="Y1249" t="s">
        <v>171</v>
      </c>
      <c r="Z1249" s="5">
        <v>-80</v>
      </c>
      <c r="AA1249"/>
      <c r="AB1249"/>
      <c r="AC1249"/>
      <c r="AD1249">
        <v>0.38333333333333336</v>
      </c>
      <c r="AE1249">
        <v>720</v>
      </c>
      <c r="AF1249">
        <v>1</v>
      </c>
      <c r="AG1249" s="9">
        <v>2.1999999999999999E-2</v>
      </c>
      <c r="AH1249" s="9">
        <v>0.9</v>
      </c>
      <c r="AI1249" s="9">
        <v>0.69</v>
      </c>
      <c r="AJ1249" s="9">
        <v>2.7E-2</v>
      </c>
      <c r="AK1249" s="9">
        <v>4.0000000000000001E-3</v>
      </c>
      <c r="AL1249" s="9">
        <v>17.25</v>
      </c>
      <c r="AM1249" s="9">
        <v>12.08</v>
      </c>
      <c r="AN1249" s="9">
        <v>2.09</v>
      </c>
    </row>
    <row r="1250" spans="1:40" x14ac:dyDescent="0.3">
      <c r="A1250" t="s">
        <v>1194</v>
      </c>
      <c r="B1250" t="s">
        <v>1583</v>
      </c>
      <c r="C1250">
        <v>63</v>
      </c>
      <c r="D1250" s="8">
        <v>1.4403999999999999</v>
      </c>
      <c r="E1250">
        <v>1500</v>
      </c>
      <c r="G1250" t="s">
        <v>175</v>
      </c>
      <c r="H1250">
        <v>3</v>
      </c>
      <c r="I1250" s="4">
        <v>0.3</v>
      </c>
      <c r="J1250" s="3">
        <v>0.5</v>
      </c>
      <c r="K1250" s="4">
        <v>0.16666666666666666</v>
      </c>
      <c r="L1250" t="s">
        <v>172</v>
      </c>
      <c r="N1250" s="3">
        <v>0.5</v>
      </c>
      <c r="O1250" s="3">
        <v>0</v>
      </c>
      <c r="P1250">
        <v>25</v>
      </c>
      <c r="Q1250">
        <v>6.5</v>
      </c>
      <c r="R1250" t="s">
        <v>102</v>
      </c>
      <c r="S1250">
        <v>0</v>
      </c>
      <c r="T1250" s="6">
        <f>10^-(14-Q1250)</f>
        <v>3.1622776601683699E-8</v>
      </c>
      <c r="U1250" s="6">
        <v>0</v>
      </c>
      <c r="V1250" s="6">
        <v>0</v>
      </c>
      <c r="W1250" s="6">
        <v>0</v>
      </c>
      <c r="X1250" s="6">
        <v>0</v>
      </c>
      <c r="Y1250" t="s">
        <v>171</v>
      </c>
      <c r="Z1250" s="5">
        <v>-80</v>
      </c>
      <c r="AA1250"/>
      <c r="AB1250"/>
      <c r="AC1250"/>
      <c r="AD1250">
        <v>0.38333333333333336</v>
      </c>
      <c r="AE1250">
        <v>710</v>
      </c>
      <c r="AF1250">
        <v>1</v>
      </c>
      <c r="AG1250" s="9">
        <v>2.1999999999999999E-2</v>
      </c>
      <c r="AH1250" s="9">
        <v>0.9</v>
      </c>
      <c r="AI1250" s="9">
        <v>0.69</v>
      </c>
      <c r="AJ1250" s="9">
        <v>2.7E-2</v>
      </c>
      <c r="AK1250" s="9">
        <v>4.0000000000000001E-3</v>
      </c>
      <c r="AL1250" s="9">
        <v>17.25</v>
      </c>
      <c r="AM1250" s="9">
        <v>12.08</v>
      </c>
      <c r="AN1250" s="9">
        <v>2.09</v>
      </c>
    </row>
    <row r="1251" spans="1:40" x14ac:dyDescent="0.3">
      <c r="A1251" t="s">
        <v>1195</v>
      </c>
      <c r="B1251" t="s">
        <v>1583</v>
      </c>
      <c r="C1251">
        <v>63</v>
      </c>
      <c r="D1251" s="8">
        <v>1.4403999999999999</v>
      </c>
      <c r="E1251">
        <v>1500</v>
      </c>
      <c r="G1251" t="s">
        <v>175</v>
      </c>
      <c r="H1251">
        <v>3</v>
      </c>
      <c r="I1251" s="4">
        <v>0.3</v>
      </c>
      <c r="J1251" s="3">
        <v>0.5</v>
      </c>
      <c r="K1251" s="4">
        <v>0.16666666666666666</v>
      </c>
      <c r="L1251" t="s">
        <v>172</v>
      </c>
      <c r="N1251" s="3">
        <v>0.5</v>
      </c>
      <c r="O1251" s="3">
        <v>0</v>
      </c>
      <c r="P1251">
        <v>25</v>
      </c>
      <c r="Q1251">
        <v>6.5</v>
      </c>
      <c r="R1251" t="s">
        <v>102</v>
      </c>
      <c r="S1251">
        <v>0</v>
      </c>
      <c r="T1251" s="6">
        <f>10^-(14-Q1251)</f>
        <v>3.1622776601683699E-8</v>
      </c>
      <c r="U1251" s="6">
        <v>0</v>
      </c>
      <c r="V1251" s="6">
        <v>0</v>
      </c>
      <c r="W1251" s="6">
        <v>0</v>
      </c>
      <c r="X1251" s="6">
        <v>0</v>
      </c>
      <c r="Y1251" t="s">
        <v>171</v>
      </c>
      <c r="Z1251" s="5">
        <v>-80</v>
      </c>
      <c r="AA1251"/>
      <c r="AB1251"/>
      <c r="AC1251"/>
      <c r="AD1251">
        <v>0.38333333333333336</v>
      </c>
      <c r="AE1251">
        <v>500</v>
      </c>
      <c r="AF1251">
        <v>1</v>
      </c>
      <c r="AG1251" s="9">
        <v>2.1999999999999999E-2</v>
      </c>
      <c r="AH1251" s="9">
        <v>0.9</v>
      </c>
      <c r="AI1251" s="9">
        <v>0.69</v>
      </c>
      <c r="AJ1251" s="9">
        <v>2.7E-2</v>
      </c>
      <c r="AK1251" s="9">
        <v>4.0000000000000001E-3</v>
      </c>
      <c r="AL1251" s="9">
        <v>17.25</v>
      </c>
      <c r="AM1251" s="9">
        <v>12.08</v>
      </c>
      <c r="AN1251" s="9">
        <v>2.09</v>
      </c>
    </row>
    <row r="1252" spans="1:40" x14ac:dyDescent="0.3">
      <c r="A1252" t="s">
        <v>1196</v>
      </c>
      <c r="B1252" t="s">
        <v>1583</v>
      </c>
      <c r="C1252">
        <v>63</v>
      </c>
      <c r="D1252" s="8">
        <v>1.4403999999999999</v>
      </c>
      <c r="E1252">
        <v>1500</v>
      </c>
      <c r="G1252" t="s">
        <v>176</v>
      </c>
      <c r="H1252">
        <v>3</v>
      </c>
      <c r="I1252" s="4">
        <v>0.4</v>
      </c>
      <c r="J1252" s="3">
        <v>0.5</v>
      </c>
      <c r="K1252" s="4">
        <v>0.16666666666666666</v>
      </c>
      <c r="L1252" t="s">
        <v>172</v>
      </c>
      <c r="N1252" s="3">
        <v>0.5</v>
      </c>
      <c r="O1252" s="3">
        <v>0</v>
      </c>
      <c r="P1252">
        <v>25</v>
      </c>
      <c r="Q1252">
        <v>6.5</v>
      </c>
      <c r="R1252" t="s">
        <v>102</v>
      </c>
      <c r="S1252">
        <v>0</v>
      </c>
      <c r="T1252" s="6">
        <f>10^-(14-Q1252)</f>
        <v>3.1622776601683699E-8</v>
      </c>
      <c r="U1252" s="6">
        <v>0</v>
      </c>
      <c r="V1252" s="6">
        <v>0</v>
      </c>
      <c r="W1252" s="6">
        <v>0</v>
      </c>
      <c r="X1252" s="6">
        <v>0</v>
      </c>
      <c r="Y1252" t="s">
        <v>171</v>
      </c>
      <c r="Z1252" s="5">
        <v>-80</v>
      </c>
      <c r="AA1252"/>
      <c r="AB1252"/>
      <c r="AC1252"/>
      <c r="AD1252">
        <v>0.38333333333333336</v>
      </c>
      <c r="AE1252">
        <v>645</v>
      </c>
      <c r="AF1252">
        <v>1</v>
      </c>
      <c r="AG1252" s="9">
        <v>2.1999999999999999E-2</v>
      </c>
      <c r="AH1252" s="9">
        <v>0.9</v>
      </c>
      <c r="AI1252" s="9">
        <v>0.69</v>
      </c>
      <c r="AJ1252" s="9">
        <v>2.7E-2</v>
      </c>
      <c r="AK1252" s="9">
        <v>4.0000000000000001E-3</v>
      </c>
      <c r="AL1252" s="9">
        <v>17.25</v>
      </c>
      <c r="AM1252" s="9">
        <v>12.08</v>
      </c>
      <c r="AN1252" s="9">
        <v>2.09</v>
      </c>
    </row>
    <row r="1253" spans="1:40" x14ac:dyDescent="0.3">
      <c r="A1253" t="s">
        <v>1197</v>
      </c>
      <c r="B1253" t="s">
        <v>1583</v>
      </c>
      <c r="C1253">
        <v>63</v>
      </c>
      <c r="D1253" s="8">
        <v>1.4403999999999999</v>
      </c>
      <c r="E1253">
        <v>1500</v>
      </c>
      <c r="G1253" t="s">
        <v>176</v>
      </c>
      <c r="H1253">
        <v>3</v>
      </c>
      <c r="I1253" s="4">
        <v>0.4</v>
      </c>
      <c r="J1253" s="3">
        <v>0.5</v>
      </c>
      <c r="K1253" s="4">
        <v>0.16666666666666666</v>
      </c>
      <c r="L1253" t="s">
        <v>172</v>
      </c>
      <c r="N1253" s="3">
        <v>0.5</v>
      </c>
      <c r="O1253" s="3">
        <v>0</v>
      </c>
      <c r="P1253">
        <v>25</v>
      </c>
      <c r="Q1253">
        <v>6.5</v>
      </c>
      <c r="R1253" t="s">
        <v>102</v>
      </c>
      <c r="S1253">
        <v>0</v>
      </c>
      <c r="T1253" s="6">
        <f>10^-(14-Q1253)</f>
        <v>3.1622776601683699E-8</v>
      </c>
      <c r="U1253" s="6">
        <v>0</v>
      </c>
      <c r="V1253" s="6">
        <v>0</v>
      </c>
      <c r="W1253" s="6">
        <v>0</v>
      </c>
      <c r="X1253" s="6">
        <v>0</v>
      </c>
      <c r="Y1253" t="s">
        <v>171</v>
      </c>
      <c r="Z1253" s="5">
        <v>-80</v>
      </c>
      <c r="AA1253"/>
      <c r="AB1253"/>
      <c r="AC1253"/>
      <c r="AD1253">
        <v>0.38333333333333336</v>
      </c>
      <c r="AE1253">
        <v>690</v>
      </c>
      <c r="AF1253">
        <v>1</v>
      </c>
      <c r="AG1253" s="9">
        <v>2.1999999999999999E-2</v>
      </c>
      <c r="AH1253" s="9">
        <v>0.9</v>
      </c>
      <c r="AI1253" s="9">
        <v>0.69</v>
      </c>
      <c r="AJ1253" s="9">
        <v>2.7E-2</v>
      </c>
      <c r="AK1253" s="9">
        <v>4.0000000000000001E-3</v>
      </c>
      <c r="AL1253" s="9">
        <v>17.25</v>
      </c>
      <c r="AM1253" s="9">
        <v>12.08</v>
      </c>
      <c r="AN1253" s="9">
        <v>2.09</v>
      </c>
    </row>
    <row r="1254" spans="1:40" x14ac:dyDescent="0.3">
      <c r="A1254" t="s">
        <v>1198</v>
      </c>
      <c r="B1254" t="s">
        <v>1583</v>
      </c>
      <c r="C1254">
        <v>63</v>
      </c>
      <c r="D1254" s="8">
        <v>1.4403999999999999</v>
      </c>
      <c r="E1254">
        <v>1500</v>
      </c>
      <c r="G1254" t="s">
        <v>176</v>
      </c>
      <c r="H1254">
        <v>3</v>
      </c>
      <c r="I1254" s="4">
        <v>0.4</v>
      </c>
      <c r="J1254" s="3">
        <v>0.5</v>
      </c>
      <c r="K1254" s="4">
        <v>0.16666666666666666</v>
      </c>
      <c r="L1254" t="s">
        <v>172</v>
      </c>
      <c r="N1254" s="3">
        <v>0.5</v>
      </c>
      <c r="O1254" s="3">
        <v>0</v>
      </c>
      <c r="P1254">
        <v>25</v>
      </c>
      <c r="Q1254">
        <v>6.5</v>
      </c>
      <c r="R1254" t="s">
        <v>102</v>
      </c>
      <c r="S1254">
        <v>0</v>
      </c>
      <c r="T1254" s="6">
        <f>10^-(14-Q1254)</f>
        <v>3.1622776601683699E-8</v>
      </c>
      <c r="U1254" s="6">
        <v>0</v>
      </c>
      <c r="V1254" s="6">
        <v>0</v>
      </c>
      <c r="W1254" s="6">
        <v>0</v>
      </c>
      <c r="X1254" s="6">
        <v>0</v>
      </c>
      <c r="Y1254" t="s">
        <v>171</v>
      </c>
      <c r="Z1254" s="5">
        <v>-80</v>
      </c>
      <c r="AA1254"/>
      <c r="AB1254"/>
      <c r="AC1254"/>
      <c r="AD1254">
        <v>0.38333333333333336</v>
      </c>
      <c r="AE1254">
        <v>730</v>
      </c>
      <c r="AF1254">
        <v>1</v>
      </c>
      <c r="AG1254" s="9">
        <v>2.1999999999999999E-2</v>
      </c>
      <c r="AH1254" s="9">
        <v>0.9</v>
      </c>
      <c r="AI1254" s="9">
        <v>0.69</v>
      </c>
      <c r="AJ1254" s="9">
        <v>2.7E-2</v>
      </c>
      <c r="AK1254" s="9">
        <v>4.0000000000000001E-3</v>
      </c>
      <c r="AL1254" s="9">
        <v>17.25</v>
      </c>
      <c r="AM1254" s="9">
        <v>12.08</v>
      </c>
      <c r="AN1254" s="9">
        <v>2.09</v>
      </c>
    </row>
    <row r="1255" spans="1:40" x14ac:dyDescent="0.3">
      <c r="A1255" t="s">
        <v>1199</v>
      </c>
      <c r="B1255" t="s">
        <v>1583</v>
      </c>
      <c r="C1255">
        <v>63</v>
      </c>
      <c r="D1255" s="8">
        <v>1.4403999999999999</v>
      </c>
      <c r="E1255">
        <v>1500</v>
      </c>
      <c r="G1255" t="s">
        <v>176</v>
      </c>
      <c r="H1255">
        <v>3</v>
      </c>
      <c r="I1255" s="4">
        <v>0.4</v>
      </c>
      <c r="J1255" s="3">
        <v>0.5</v>
      </c>
      <c r="K1255" s="4">
        <v>0.16666666666666666</v>
      </c>
      <c r="L1255" t="s">
        <v>172</v>
      </c>
      <c r="N1255" s="3">
        <v>0.5</v>
      </c>
      <c r="O1255" s="3">
        <v>0</v>
      </c>
      <c r="P1255">
        <v>25</v>
      </c>
      <c r="Q1255">
        <v>6.5</v>
      </c>
      <c r="R1255" t="s">
        <v>102</v>
      </c>
      <c r="S1255">
        <v>0</v>
      </c>
      <c r="T1255" s="6">
        <f>10^-(14-Q1255)</f>
        <v>3.1622776601683699E-8</v>
      </c>
      <c r="U1255" s="6">
        <v>0</v>
      </c>
      <c r="V1255" s="6">
        <v>0</v>
      </c>
      <c r="W1255" s="6">
        <v>0</v>
      </c>
      <c r="X1255" s="6">
        <v>0</v>
      </c>
      <c r="Y1255" t="s">
        <v>171</v>
      </c>
      <c r="Z1255" s="5">
        <v>-80</v>
      </c>
      <c r="AA1255"/>
      <c r="AB1255"/>
      <c r="AC1255"/>
      <c r="AD1255">
        <v>0.38333333333333336</v>
      </c>
      <c r="AE1255">
        <v>740</v>
      </c>
      <c r="AF1255">
        <v>1</v>
      </c>
      <c r="AG1255" s="9">
        <v>2.1999999999999999E-2</v>
      </c>
      <c r="AH1255" s="9">
        <v>0.9</v>
      </c>
      <c r="AI1255" s="9">
        <v>0.69</v>
      </c>
      <c r="AJ1255" s="9">
        <v>2.7E-2</v>
      </c>
      <c r="AK1255" s="9">
        <v>4.0000000000000001E-3</v>
      </c>
      <c r="AL1255" s="9">
        <v>17.25</v>
      </c>
      <c r="AM1255" s="9">
        <v>12.08</v>
      </c>
      <c r="AN1255" s="9">
        <v>2.09</v>
      </c>
    </row>
    <row r="1256" spans="1:40" x14ac:dyDescent="0.3">
      <c r="A1256" t="s">
        <v>1200</v>
      </c>
      <c r="B1256" t="s">
        <v>1583</v>
      </c>
      <c r="C1256">
        <v>63</v>
      </c>
      <c r="D1256" s="8">
        <v>1.4403999999999999</v>
      </c>
      <c r="E1256">
        <v>1500</v>
      </c>
      <c r="G1256" t="s">
        <v>176</v>
      </c>
      <c r="H1256">
        <v>3</v>
      </c>
      <c r="I1256" s="4">
        <v>0.4</v>
      </c>
      <c r="J1256" s="3">
        <v>0.5</v>
      </c>
      <c r="K1256" s="4">
        <v>0.16666666666666666</v>
      </c>
      <c r="L1256" t="s">
        <v>172</v>
      </c>
      <c r="N1256" s="3">
        <v>0.5</v>
      </c>
      <c r="O1256" s="3">
        <v>0</v>
      </c>
      <c r="P1256">
        <v>25</v>
      </c>
      <c r="Q1256">
        <v>6.5</v>
      </c>
      <c r="R1256" t="s">
        <v>102</v>
      </c>
      <c r="S1256">
        <v>0</v>
      </c>
      <c r="T1256" s="6">
        <f>10^-(14-Q1256)</f>
        <v>3.1622776601683699E-8</v>
      </c>
      <c r="U1256" s="6">
        <v>0</v>
      </c>
      <c r="V1256" s="6">
        <v>0</v>
      </c>
      <c r="W1256" s="6">
        <v>0</v>
      </c>
      <c r="X1256" s="6">
        <v>0</v>
      </c>
      <c r="Y1256" t="s">
        <v>171</v>
      </c>
      <c r="Z1256" s="5">
        <v>-80</v>
      </c>
      <c r="AA1256"/>
      <c r="AB1256"/>
      <c r="AC1256"/>
      <c r="AD1256">
        <v>0.38333333333333336</v>
      </c>
      <c r="AE1256">
        <v>920</v>
      </c>
      <c r="AF1256">
        <v>1</v>
      </c>
      <c r="AG1256" s="9">
        <v>2.1999999999999999E-2</v>
      </c>
      <c r="AH1256" s="9">
        <v>0.9</v>
      </c>
      <c r="AI1256" s="9">
        <v>0.69</v>
      </c>
      <c r="AJ1256" s="9">
        <v>2.7E-2</v>
      </c>
      <c r="AK1256" s="9">
        <v>4.0000000000000001E-3</v>
      </c>
      <c r="AL1256" s="9">
        <v>17.25</v>
      </c>
      <c r="AM1256" s="9">
        <v>12.08</v>
      </c>
      <c r="AN1256" s="9">
        <v>2.09</v>
      </c>
    </row>
    <row r="1257" spans="1:40" x14ac:dyDescent="0.3">
      <c r="A1257" t="s">
        <v>1201</v>
      </c>
      <c r="B1257" t="s">
        <v>1583</v>
      </c>
      <c r="C1257">
        <v>63</v>
      </c>
      <c r="D1257" s="8">
        <v>1.4403999999999999</v>
      </c>
      <c r="E1257">
        <v>1500</v>
      </c>
      <c r="G1257" t="s">
        <v>176</v>
      </c>
      <c r="H1257">
        <v>3</v>
      </c>
      <c r="I1257" s="4">
        <v>0.4</v>
      </c>
      <c r="J1257" s="3">
        <v>0.5</v>
      </c>
      <c r="K1257" s="4">
        <v>0.16666666666666666</v>
      </c>
      <c r="L1257" t="s">
        <v>172</v>
      </c>
      <c r="N1257" s="3">
        <v>0.5</v>
      </c>
      <c r="O1257" s="3">
        <v>0</v>
      </c>
      <c r="P1257">
        <v>25</v>
      </c>
      <c r="Q1257">
        <v>6.5</v>
      </c>
      <c r="R1257" t="s">
        <v>102</v>
      </c>
      <c r="S1257">
        <v>0</v>
      </c>
      <c r="T1257" s="6">
        <f>10^-(14-Q1257)</f>
        <v>3.1622776601683699E-8</v>
      </c>
      <c r="U1257" s="6">
        <v>0</v>
      </c>
      <c r="V1257" s="6">
        <v>0</v>
      </c>
      <c r="W1257" s="6">
        <v>0</v>
      </c>
      <c r="X1257" s="6">
        <v>0</v>
      </c>
      <c r="Y1257" t="s">
        <v>171</v>
      </c>
      <c r="Z1257" s="5">
        <v>-80</v>
      </c>
      <c r="AA1257"/>
      <c r="AB1257"/>
      <c r="AC1257"/>
      <c r="AD1257">
        <v>0.38333333333333336</v>
      </c>
      <c r="AE1257">
        <v>940</v>
      </c>
      <c r="AF1257">
        <v>1</v>
      </c>
      <c r="AG1257" s="9">
        <v>2.1999999999999999E-2</v>
      </c>
      <c r="AH1257" s="9">
        <v>0.9</v>
      </c>
      <c r="AI1257" s="9">
        <v>0.69</v>
      </c>
      <c r="AJ1257" s="9">
        <v>2.7E-2</v>
      </c>
      <c r="AK1257" s="9">
        <v>4.0000000000000001E-3</v>
      </c>
      <c r="AL1257" s="9">
        <v>17.25</v>
      </c>
      <c r="AM1257" s="9">
        <v>12.08</v>
      </c>
      <c r="AN1257" s="9">
        <v>2.09</v>
      </c>
    </row>
    <row r="1258" spans="1:40" x14ac:dyDescent="0.3">
      <c r="A1258" t="s">
        <v>1202</v>
      </c>
      <c r="B1258" t="s">
        <v>1583</v>
      </c>
      <c r="C1258">
        <v>63</v>
      </c>
      <c r="D1258" s="8">
        <v>1.4403999999999999</v>
      </c>
      <c r="E1258">
        <v>1500</v>
      </c>
      <c r="G1258" t="s">
        <v>176</v>
      </c>
      <c r="H1258">
        <v>3</v>
      </c>
      <c r="I1258" s="4">
        <v>0.4</v>
      </c>
      <c r="J1258" s="3">
        <v>0.5</v>
      </c>
      <c r="K1258" s="4">
        <v>0.16666666666666666</v>
      </c>
      <c r="L1258" t="s">
        <v>172</v>
      </c>
      <c r="N1258" s="3">
        <v>0.5</v>
      </c>
      <c r="O1258" s="3">
        <v>0</v>
      </c>
      <c r="P1258">
        <v>25</v>
      </c>
      <c r="Q1258">
        <v>6.5</v>
      </c>
      <c r="R1258" t="s">
        <v>102</v>
      </c>
      <c r="S1258">
        <v>0</v>
      </c>
      <c r="T1258" s="6">
        <f>10^-(14-Q1258)</f>
        <v>3.1622776601683699E-8</v>
      </c>
      <c r="U1258" s="6">
        <v>0</v>
      </c>
      <c r="V1258" s="6">
        <v>0</v>
      </c>
      <c r="W1258" s="6">
        <v>0</v>
      </c>
      <c r="X1258" s="6">
        <v>0</v>
      </c>
      <c r="Y1258" t="s">
        <v>171</v>
      </c>
      <c r="Z1258" s="5">
        <v>-80</v>
      </c>
      <c r="AA1258"/>
      <c r="AB1258"/>
      <c r="AC1258"/>
      <c r="AD1258">
        <v>0.38333333333333336</v>
      </c>
      <c r="AE1258">
        <v>945</v>
      </c>
      <c r="AF1258">
        <v>1</v>
      </c>
      <c r="AG1258" s="9">
        <v>2.1999999999999999E-2</v>
      </c>
      <c r="AH1258" s="9">
        <v>0.9</v>
      </c>
      <c r="AI1258" s="9">
        <v>0.69</v>
      </c>
      <c r="AJ1258" s="9">
        <v>2.7E-2</v>
      </c>
      <c r="AK1258" s="9">
        <v>4.0000000000000001E-3</v>
      </c>
      <c r="AL1258" s="9">
        <v>17.25</v>
      </c>
      <c r="AM1258" s="9">
        <v>12.08</v>
      </c>
      <c r="AN1258" s="9">
        <v>2.09</v>
      </c>
    </row>
    <row r="1259" spans="1:40" x14ac:dyDescent="0.3">
      <c r="A1259" t="s">
        <v>1203</v>
      </c>
      <c r="B1259" t="s">
        <v>1583</v>
      </c>
      <c r="C1259">
        <v>63</v>
      </c>
      <c r="D1259" s="8">
        <v>1.4403999999999999</v>
      </c>
      <c r="E1259">
        <v>1500</v>
      </c>
      <c r="G1259" t="s">
        <v>176</v>
      </c>
      <c r="H1259">
        <v>3</v>
      </c>
      <c r="I1259" s="4">
        <v>0.4</v>
      </c>
      <c r="J1259" s="3">
        <v>0.5</v>
      </c>
      <c r="K1259" s="4">
        <v>0.16666666666666666</v>
      </c>
      <c r="L1259" t="s">
        <v>172</v>
      </c>
      <c r="N1259" s="3">
        <v>0.5</v>
      </c>
      <c r="O1259" s="3">
        <v>0</v>
      </c>
      <c r="P1259">
        <v>25</v>
      </c>
      <c r="Q1259">
        <v>6.5</v>
      </c>
      <c r="R1259" t="s">
        <v>102</v>
      </c>
      <c r="S1259">
        <v>0</v>
      </c>
      <c r="T1259" s="6">
        <f>10^-(14-Q1259)</f>
        <v>3.1622776601683699E-8</v>
      </c>
      <c r="U1259" s="6">
        <v>0</v>
      </c>
      <c r="V1259" s="6">
        <v>0</v>
      </c>
      <c r="W1259" s="6">
        <v>0</v>
      </c>
      <c r="X1259" s="6">
        <v>0</v>
      </c>
      <c r="Y1259" t="s">
        <v>171</v>
      </c>
      <c r="Z1259" s="5">
        <v>-80</v>
      </c>
      <c r="AA1259"/>
      <c r="AB1259"/>
      <c r="AC1259"/>
      <c r="AD1259">
        <v>0.38333333333333336</v>
      </c>
      <c r="AE1259">
        <v>970</v>
      </c>
      <c r="AF1259">
        <v>1</v>
      </c>
      <c r="AG1259" s="9">
        <v>2.1999999999999999E-2</v>
      </c>
      <c r="AH1259" s="9">
        <v>0.9</v>
      </c>
      <c r="AI1259" s="9">
        <v>0.69</v>
      </c>
      <c r="AJ1259" s="9">
        <v>2.7E-2</v>
      </c>
      <c r="AK1259" s="9">
        <v>4.0000000000000001E-3</v>
      </c>
      <c r="AL1259" s="9">
        <v>17.25</v>
      </c>
      <c r="AM1259" s="9">
        <v>12.08</v>
      </c>
      <c r="AN1259" s="9">
        <v>2.09</v>
      </c>
    </row>
    <row r="1260" spans="1:40" x14ac:dyDescent="0.3">
      <c r="A1260" t="s">
        <v>1204</v>
      </c>
      <c r="B1260" t="s">
        <v>1583</v>
      </c>
      <c r="C1260">
        <v>63</v>
      </c>
      <c r="D1260" s="8">
        <v>1.4403999999999999</v>
      </c>
      <c r="E1260">
        <v>1500</v>
      </c>
      <c r="G1260" t="s">
        <v>176</v>
      </c>
      <c r="H1260">
        <v>3</v>
      </c>
      <c r="I1260" s="4">
        <v>0.4</v>
      </c>
      <c r="J1260" s="3">
        <v>0.5</v>
      </c>
      <c r="K1260" s="4">
        <v>0.16666666666666666</v>
      </c>
      <c r="L1260" t="s">
        <v>172</v>
      </c>
      <c r="N1260" s="3">
        <v>0.5</v>
      </c>
      <c r="O1260" s="3">
        <v>0</v>
      </c>
      <c r="P1260">
        <v>25</v>
      </c>
      <c r="Q1260">
        <v>6.5</v>
      </c>
      <c r="R1260" t="s">
        <v>102</v>
      </c>
      <c r="S1260">
        <v>0</v>
      </c>
      <c r="T1260" s="6">
        <f>10^-(14-Q1260)</f>
        <v>3.1622776601683699E-8</v>
      </c>
      <c r="U1260" s="6">
        <v>0</v>
      </c>
      <c r="V1260" s="6">
        <v>0</v>
      </c>
      <c r="W1260" s="6">
        <v>0</v>
      </c>
      <c r="X1260" s="6">
        <v>0</v>
      </c>
      <c r="Y1260" t="s">
        <v>171</v>
      </c>
      <c r="Z1260" s="5">
        <v>-80</v>
      </c>
      <c r="AA1260"/>
      <c r="AB1260"/>
      <c r="AC1260"/>
      <c r="AD1260">
        <v>0.38333333333333336</v>
      </c>
      <c r="AE1260">
        <v>1100</v>
      </c>
      <c r="AF1260">
        <v>1</v>
      </c>
      <c r="AG1260" s="9">
        <v>2.1999999999999999E-2</v>
      </c>
      <c r="AH1260" s="9">
        <v>0.9</v>
      </c>
      <c r="AI1260" s="9">
        <v>0.69</v>
      </c>
      <c r="AJ1260" s="9">
        <v>2.7E-2</v>
      </c>
      <c r="AK1260" s="9">
        <v>4.0000000000000001E-3</v>
      </c>
      <c r="AL1260" s="9">
        <v>17.25</v>
      </c>
      <c r="AM1260" s="9">
        <v>12.08</v>
      </c>
      <c r="AN1260" s="9">
        <v>2.09</v>
      </c>
    </row>
    <row r="1261" spans="1:40" x14ac:dyDescent="0.3">
      <c r="A1261" t="s">
        <v>1205</v>
      </c>
      <c r="B1261" t="s">
        <v>1583</v>
      </c>
      <c r="C1261">
        <v>63</v>
      </c>
      <c r="D1261" s="8">
        <v>1.4403999999999999</v>
      </c>
      <c r="E1261">
        <v>1500</v>
      </c>
      <c r="G1261" t="s">
        <v>177</v>
      </c>
      <c r="H1261">
        <v>3</v>
      </c>
      <c r="I1261" s="4">
        <v>0.5</v>
      </c>
      <c r="J1261" s="3">
        <v>0.5</v>
      </c>
      <c r="K1261" s="4">
        <v>0.16666666666666666</v>
      </c>
      <c r="L1261" t="s">
        <v>172</v>
      </c>
      <c r="N1261" s="3">
        <v>0.5</v>
      </c>
      <c r="O1261" s="3">
        <v>0</v>
      </c>
      <c r="P1261">
        <v>25</v>
      </c>
      <c r="Q1261">
        <v>6.5</v>
      </c>
      <c r="R1261" t="s">
        <v>102</v>
      </c>
      <c r="S1261">
        <v>0</v>
      </c>
      <c r="T1261" s="6">
        <f>10^-(14-Q1261)</f>
        <v>3.1622776601683699E-8</v>
      </c>
      <c r="U1261" s="6">
        <v>0</v>
      </c>
      <c r="V1261" s="6">
        <v>0</v>
      </c>
      <c r="W1261" s="6">
        <v>0</v>
      </c>
      <c r="X1261" s="6">
        <v>0</v>
      </c>
      <c r="Y1261" t="s">
        <v>171</v>
      </c>
      <c r="Z1261" s="5">
        <v>-80</v>
      </c>
      <c r="AA1261"/>
      <c r="AB1261"/>
      <c r="AC1261"/>
      <c r="AD1261">
        <v>0.38333333333333336</v>
      </c>
      <c r="AE1261">
        <v>1150</v>
      </c>
      <c r="AF1261">
        <v>1</v>
      </c>
      <c r="AG1261" s="9">
        <v>2.1999999999999999E-2</v>
      </c>
      <c r="AH1261" s="9">
        <v>0.9</v>
      </c>
      <c r="AI1261" s="9">
        <v>0.69</v>
      </c>
      <c r="AJ1261" s="9">
        <v>2.7E-2</v>
      </c>
      <c r="AK1261" s="9">
        <v>4.0000000000000001E-3</v>
      </c>
      <c r="AL1261" s="9">
        <v>17.25</v>
      </c>
      <c r="AM1261" s="9">
        <v>12.08</v>
      </c>
      <c r="AN1261" s="9">
        <v>2.09</v>
      </c>
    </row>
    <row r="1262" spans="1:40" x14ac:dyDescent="0.3">
      <c r="A1262" t="s">
        <v>1206</v>
      </c>
      <c r="B1262" t="s">
        <v>1583</v>
      </c>
      <c r="C1262">
        <v>63</v>
      </c>
      <c r="D1262" s="8">
        <v>1.4403999999999999</v>
      </c>
      <c r="E1262">
        <v>1500</v>
      </c>
      <c r="G1262" t="s">
        <v>177</v>
      </c>
      <c r="H1262">
        <v>3</v>
      </c>
      <c r="I1262" s="4">
        <v>0.5</v>
      </c>
      <c r="J1262" s="3">
        <v>0.5</v>
      </c>
      <c r="K1262" s="4">
        <v>0.16666666666666666</v>
      </c>
      <c r="L1262" t="s">
        <v>172</v>
      </c>
      <c r="N1262" s="3">
        <v>0.5</v>
      </c>
      <c r="O1262" s="3">
        <v>0</v>
      </c>
      <c r="P1262">
        <v>25</v>
      </c>
      <c r="Q1262">
        <v>6.5</v>
      </c>
      <c r="R1262" t="s">
        <v>102</v>
      </c>
      <c r="S1262">
        <v>0</v>
      </c>
      <c r="T1262" s="6">
        <f>10^-(14-Q1262)</f>
        <v>3.1622776601683699E-8</v>
      </c>
      <c r="U1262" s="6">
        <v>0</v>
      </c>
      <c r="V1262" s="6">
        <v>0</v>
      </c>
      <c r="W1262" s="6">
        <v>0</v>
      </c>
      <c r="X1262" s="6">
        <v>0</v>
      </c>
      <c r="Y1262" t="s">
        <v>171</v>
      </c>
      <c r="Z1262" s="5">
        <v>-80</v>
      </c>
      <c r="AA1262"/>
      <c r="AB1262"/>
      <c r="AC1262"/>
      <c r="AD1262">
        <v>0.38333333333333336</v>
      </c>
      <c r="AE1262">
        <v>1125</v>
      </c>
      <c r="AF1262">
        <v>1</v>
      </c>
      <c r="AG1262" s="9">
        <v>2.1999999999999999E-2</v>
      </c>
      <c r="AH1262" s="9">
        <v>0.9</v>
      </c>
      <c r="AI1262" s="9">
        <v>0.69</v>
      </c>
      <c r="AJ1262" s="9">
        <v>2.7E-2</v>
      </c>
      <c r="AK1262" s="9">
        <v>4.0000000000000001E-3</v>
      </c>
      <c r="AL1262" s="9">
        <v>17.25</v>
      </c>
      <c r="AM1262" s="9">
        <v>12.08</v>
      </c>
      <c r="AN1262" s="9">
        <v>2.09</v>
      </c>
    </row>
    <row r="1263" spans="1:40" x14ac:dyDescent="0.3">
      <c r="A1263" t="s">
        <v>1207</v>
      </c>
      <c r="B1263" t="s">
        <v>1583</v>
      </c>
      <c r="C1263">
        <v>63</v>
      </c>
      <c r="D1263" s="8">
        <v>1.4403999999999999</v>
      </c>
      <c r="E1263">
        <v>1500</v>
      </c>
      <c r="G1263" t="s">
        <v>177</v>
      </c>
      <c r="H1263">
        <v>3</v>
      </c>
      <c r="I1263" s="4">
        <v>0.5</v>
      </c>
      <c r="J1263" s="3">
        <v>0.5</v>
      </c>
      <c r="K1263" s="4">
        <v>0.16666666666666666</v>
      </c>
      <c r="L1263" t="s">
        <v>172</v>
      </c>
      <c r="N1263" s="3">
        <v>0.5</v>
      </c>
      <c r="O1263" s="3">
        <v>0</v>
      </c>
      <c r="P1263">
        <v>25</v>
      </c>
      <c r="Q1263">
        <v>6.5</v>
      </c>
      <c r="R1263" t="s">
        <v>102</v>
      </c>
      <c r="S1263">
        <v>0</v>
      </c>
      <c r="T1263" s="6">
        <f>10^-(14-Q1263)</f>
        <v>3.1622776601683699E-8</v>
      </c>
      <c r="U1263" s="6">
        <v>0</v>
      </c>
      <c r="V1263" s="6">
        <v>0</v>
      </c>
      <c r="W1263" s="6">
        <v>0</v>
      </c>
      <c r="X1263" s="6">
        <v>0</v>
      </c>
      <c r="Y1263" t="s">
        <v>171</v>
      </c>
      <c r="Z1263" s="5">
        <v>-80</v>
      </c>
      <c r="AA1263"/>
      <c r="AB1263"/>
      <c r="AC1263"/>
      <c r="AD1263">
        <v>0.38333333333333336</v>
      </c>
      <c r="AE1263">
        <v>1000</v>
      </c>
      <c r="AF1263">
        <v>1</v>
      </c>
      <c r="AG1263" s="9">
        <v>2.1999999999999999E-2</v>
      </c>
      <c r="AH1263" s="9">
        <v>0.9</v>
      </c>
      <c r="AI1263" s="9">
        <v>0.69</v>
      </c>
      <c r="AJ1263" s="9">
        <v>2.7E-2</v>
      </c>
      <c r="AK1263" s="9">
        <v>4.0000000000000001E-3</v>
      </c>
      <c r="AL1263" s="9">
        <v>17.25</v>
      </c>
      <c r="AM1263" s="9">
        <v>12.08</v>
      </c>
      <c r="AN1263" s="9">
        <v>2.09</v>
      </c>
    </row>
    <row r="1264" spans="1:40" x14ac:dyDescent="0.3">
      <c r="A1264" t="s">
        <v>1208</v>
      </c>
      <c r="B1264" t="s">
        <v>1583</v>
      </c>
      <c r="C1264">
        <v>63</v>
      </c>
      <c r="D1264" s="8">
        <v>1.4403999999999999</v>
      </c>
      <c r="E1264">
        <v>1500</v>
      </c>
      <c r="G1264" t="s">
        <v>177</v>
      </c>
      <c r="H1264">
        <v>3</v>
      </c>
      <c r="I1264" s="4">
        <v>0.5</v>
      </c>
      <c r="J1264" s="3">
        <v>0.5</v>
      </c>
      <c r="K1264" s="4">
        <v>0.16666666666666666</v>
      </c>
      <c r="L1264" t="s">
        <v>172</v>
      </c>
      <c r="N1264" s="3">
        <v>0.5</v>
      </c>
      <c r="O1264" s="3">
        <v>0</v>
      </c>
      <c r="P1264">
        <v>25</v>
      </c>
      <c r="Q1264">
        <v>6.5</v>
      </c>
      <c r="R1264" t="s">
        <v>102</v>
      </c>
      <c r="S1264">
        <v>0</v>
      </c>
      <c r="T1264" s="6">
        <f>10^-(14-Q1264)</f>
        <v>3.1622776601683699E-8</v>
      </c>
      <c r="U1264" s="6">
        <v>0</v>
      </c>
      <c r="V1264" s="6">
        <v>0</v>
      </c>
      <c r="W1264" s="6">
        <v>0</v>
      </c>
      <c r="X1264" s="6">
        <v>0</v>
      </c>
      <c r="Y1264" t="s">
        <v>171</v>
      </c>
      <c r="Z1264" s="5">
        <v>-80</v>
      </c>
      <c r="AA1264"/>
      <c r="AB1264"/>
      <c r="AC1264"/>
      <c r="AD1264">
        <v>0.38333333333333336</v>
      </c>
      <c r="AE1264">
        <v>935</v>
      </c>
      <c r="AF1264">
        <v>1</v>
      </c>
      <c r="AG1264" s="9">
        <v>2.1999999999999999E-2</v>
      </c>
      <c r="AH1264" s="9">
        <v>0.9</v>
      </c>
      <c r="AI1264" s="9">
        <v>0.69</v>
      </c>
      <c r="AJ1264" s="9">
        <v>2.7E-2</v>
      </c>
      <c r="AK1264" s="9">
        <v>4.0000000000000001E-3</v>
      </c>
      <c r="AL1264" s="9">
        <v>17.25</v>
      </c>
      <c r="AM1264" s="9">
        <v>12.08</v>
      </c>
      <c r="AN1264" s="9">
        <v>2.09</v>
      </c>
    </row>
    <row r="1265" spans="1:40" x14ac:dyDescent="0.3">
      <c r="A1265" t="s">
        <v>1209</v>
      </c>
      <c r="B1265" t="s">
        <v>1583</v>
      </c>
      <c r="C1265">
        <v>63</v>
      </c>
      <c r="D1265" s="8">
        <v>1.4403999999999999</v>
      </c>
      <c r="E1265">
        <v>1500</v>
      </c>
      <c r="G1265" t="s">
        <v>177</v>
      </c>
      <c r="H1265">
        <v>3</v>
      </c>
      <c r="I1265" s="4">
        <v>0.5</v>
      </c>
      <c r="J1265" s="3">
        <v>0.5</v>
      </c>
      <c r="K1265" s="4">
        <v>0.16666666666666666</v>
      </c>
      <c r="L1265" t="s">
        <v>172</v>
      </c>
      <c r="N1265" s="3">
        <v>0.5</v>
      </c>
      <c r="O1265" s="3">
        <v>0</v>
      </c>
      <c r="P1265">
        <v>25</v>
      </c>
      <c r="Q1265">
        <v>6.5</v>
      </c>
      <c r="R1265" t="s">
        <v>102</v>
      </c>
      <c r="S1265">
        <v>0</v>
      </c>
      <c r="T1265" s="6">
        <f>10^-(14-Q1265)</f>
        <v>3.1622776601683699E-8</v>
      </c>
      <c r="U1265" s="6">
        <v>0</v>
      </c>
      <c r="V1265" s="6">
        <v>0</v>
      </c>
      <c r="W1265" s="6">
        <v>0</v>
      </c>
      <c r="X1265" s="6">
        <v>0</v>
      </c>
      <c r="Y1265" t="s">
        <v>171</v>
      </c>
      <c r="Z1265" s="5">
        <v>-80</v>
      </c>
      <c r="AA1265"/>
      <c r="AB1265"/>
      <c r="AC1265"/>
      <c r="AD1265">
        <v>0.38333333333333336</v>
      </c>
      <c r="AE1265">
        <v>900</v>
      </c>
      <c r="AF1265">
        <v>1</v>
      </c>
      <c r="AG1265" s="9">
        <v>2.1999999999999999E-2</v>
      </c>
      <c r="AH1265" s="9">
        <v>0.9</v>
      </c>
      <c r="AI1265" s="9">
        <v>0.69</v>
      </c>
      <c r="AJ1265" s="9">
        <v>2.7E-2</v>
      </c>
      <c r="AK1265" s="9">
        <v>4.0000000000000001E-3</v>
      </c>
      <c r="AL1265" s="9">
        <v>17.25</v>
      </c>
      <c r="AM1265" s="9">
        <v>12.08</v>
      </c>
      <c r="AN1265" s="9">
        <v>2.09</v>
      </c>
    </row>
    <row r="1266" spans="1:40" x14ac:dyDescent="0.3">
      <c r="A1266" t="s">
        <v>1210</v>
      </c>
      <c r="B1266" t="s">
        <v>1583</v>
      </c>
      <c r="C1266">
        <v>63</v>
      </c>
      <c r="D1266" s="8">
        <v>1.4403999999999999</v>
      </c>
      <c r="E1266">
        <v>1500</v>
      </c>
      <c r="G1266" t="s">
        <v>177</v>
      </c>
      <c r="H1266">
        <v>3</v>
      </c>
      <c r="I1266" s="4">
        <v>0.5</v>
      </c>
      <c r="J1266" s="3">
        <v>0.5</v>
      </c>
      <c r="K1266" s="4">
        <v>0.16666666666666666</v>
      </c>
      <c r="L1266" t="s">
        <v>172</v>
      </c>
      <c r="N1266" s="3">
        <v>0.5</v>
      </c>
      <c r="O1266" s="3">
        <v>0</v>
      </c>
      <c r="P1266">
        <v>25</v>
      </c>
      <c r="Q1266">
        <v>6.5</v>
      </c>
      <c r="R1266" t="s">
        <v>102</v>
      </c>
      <c r="S1266">
        <v>0</v>
      </c>
      <c r="T1266" s="6">
        <f>10^-(14-Q1266)</f>
        <v>3.1622776601683699E-8</v>
      </c>
      <c r="U1266" s="6">
        <v>0</v>
      </c>
      <c r="V1266" s="6">
        <v>0</v>
      </c>
      <c r="W1266" s="6">
        <v>0</v>
      </c>
      <c r="X1266" s="6">
        <v>0</v>
      </c>
      <c r="Y1266" t="s">
        <v>171</v>
      </c>
      <c r="Z1266" s="5">
        <v>-80</v>
      </c>
      <c r="AA1266"/>
      <c r="AB1266"/>
      <c r="AC1266"/>
      <c r="AD1266">
        <v>0.38333333333333336</v>
      </c>
      <c r="AE1266">
        <v>875</v>
      </c>
      <c r="AF1266">
        <v>1</v>
      </c>
      <c r="AG1266" s="9">
        <v>2.1999999999999999E-2</v>
      </c>
      <c r="AH1266" s="9">
        <v>0.9</v>
      </c>
      <c r="AI1266" s="9">
        <v>0.69</v>
      </c>
      <c r="AJ1266" s="9">
        <v>2.7E-2</v>
      </c>
      <c r="AK1266" s="9">
        <v>4.0000000000000001E-3</v>
      </c>
      <c r="AL1266" s="9">
        <v>17.25</v>
      </c>
      <c r="AM1266" s="9">
        <v>12.08</v>
      </c>
      <c r="AN1266" s="9">
        <v>2.09</v>
      </c>
    </row>
    <row r="1267" spans="1:40" x14ac:dyDescent="0.3">
      <c r="A1267" t="s">
        <v>1211</v>
      </c>
      <c r="B1267" t="s">
        <v>1583</v>
      </c>
      <c r="C1267">
        <v>63</v>
      </c>
      <c r="D1267" s="8">
        <v>1.4403999999999999</v>
      </c>
      <c r="E1267">
        <v>1500</v>
      </c>
      <c r="G1267" t="s">
        <v>177</v>
      </c>
      <c r="H1267">
        <v>3</v>
      </c>
      <c r="I1267" s="4">
        <v>0.5</v>
      </c>
      <c r="J1267" s="3">
        <v>0.5</v>
      </c>
      <c r="K1267" s="4">
        <v>0.16666666666666666</v>
      </c>
      <c r="L1267" t="s">
        <v>172</v>
      </c>
      <c r="N1267" s="3">
        <v>0.5</v>
      </c>
      <c r="O1267" s="3">
        <v>0</v>
      </c>
      <c r="P1267">
        <v>25</v>
      </c>
      <c r="Q1267">
        <v>6.5</v>
      </c>
      <c r="R1267" t="s">
        <v>102</v>
      </c>
      <c r="S1267">
        <v>0</v>
      </c>
      <c r="T1267" s="6">
        <f>10^-(14-Q1267)</f>
        <v>3.1622776601683699E-8</v>
      </c>
      <c r="U1267" s="6">
        <v>0</v>
      </c>
      <c r="V1267" s="6">
        <v>0</v>
      </c>
      <c r="W1267" s="6">
        <v>0</v>
      </c>
      <c r="X1267" s="6">
        <v>0</v>
      </c>
      <c r="Y1267" t="s">
        <v>171</v>
      </c>
      <c r="Z1267" s="5">
        <v>-80</v>
      </c>
      <c r="AA1267"/>
      <c r="AB1267"/>
      <c r="AC1267"/>
      <c r="AD1267">
        <v>0.38333333333333336</v>
      </c>
      <c r="AE1267">
        <v>810</v>
      </c>
      <c r="AF1267">
        <v>1</v>
      </c>
      <c r="AG1267" s="9">
        <v>2.1999999999999999E-2</v>
      </c>
      <c r="AH1267" s="9">
        <v>0.9</v>
      </c>
      <c r="AI1267" s="9">
        <v>0.69</v>
      </c>
      <c r="AJ1267" s="9">
        <v>2.7E-2</v>
      </c>
      <c r="AK1267" s="9">
        <v>4.0000000000000001E-3</v>
      </c>
      <c r="AL1267" s="9">
        <v>17.25</v>
      </c>
      <c r="AM1267" s="9">
        <v>12.08</v>
      </c>
      <c r="AN1267" s="9">
        <v>2.09</v>
      </c>
    </row>
    <row r="1268" spans="1:40" x14ac:dyDescent="0.3">
      <c r="A1268" t="s">
        <v>1212</v>
      </c>
      <c r="B1268" t="s">
        <v>1583</v>
      </c>
      <c r="C1268">
        <v>63</v>
      </c>
      <c r="D1268" s="8">
        <v>1.4403999999999999</v>
      </c>
      <c r="E1268">
        <v>1500</v>
      </c>
      <c r="G1268" t="s">
        <v>177</v>
      </c>
      <c r="H1268">
        <v>3</v>
      </c>
      <c r="I1268" s="4">
        <v>0.5</v>
      </c>
      <c r="J1268" s="3">
        <v>0.5</v>
      </c>
      <c r="K1268" s="4">
        <v>0.16666666666666666</v>
      </c>
      <c r="L1268" t="s">
        <v>172</v>
      </c>
      <c r="N1268" s="3">
        <v>0.5</v>
      </c>
      <c r="O1268" s="3">
        <v>0</v>
      </c>
      <c r="P1268">
        <v>25</v>
      </c>
      <c r="Q1268">
        <v>6.5</v>
      </c>
      <c r="R1268" t="s">
        <v>102</v>
      </c>
      <c r="S1268">
        <v>0</v>
      </c>
      <c r="T1268" s="6">
        <f>10^-(14-Q1268)</f>
        <v>3.1622776601683699E-8</v>
      </c>
      <c r="U1268" s="6">
        <v>0</v>
      </c>
      <c r="V1268" s="6">
        <v>0</v>
      </c>
      <c r="W1268" s="6">
        <v>0</v>
      </c>
      <c r="X1268" s="6">
        <v>0</v>
      </c>
      <c r="Y1268" t="s">
        <v>171</v>
      </c>
      <c r="Z1268" s="5">
        <v>-80</v>
      </c>
      <c r="AA1268"/>
      <c r="AB1268"/>
      <c r="AC1268"/>
      <c r="AD1268">
        <v>0.38333333333333336</v>
      </c>
      <c r="AE1268">
        <v>780</v>
      </c>
      <c r="AF1268">
        <v>1</v>
      </c>
      <c r="AG1268" s="9">
        <v>2.1999999999999999E-2</v>
      </c>
      <c r="AH1268" s="9">
        <v>0.9</v>
      </c>
      <c r="AI1268" s="9">
        <v>0.69</v>
      </c>
      <c r="AJ1268" s="9">
        <v>2.7E-2</v>
      </c>
      <c r="AK1268" s="9">
        <v>4.0000000000000001E-3</v>
      </c>
      <c r="AL1268" s="9">
        <v>17.25</v>
      </c>
      <c r="AM1268" s="9">
        <v>12.08</v>
      </c>
      <c r="AN1268" s="9">
        <v>2.09</v>
      </c>
    </row>
    <row r="1269" spans="1:40" x14ac:dyDescent="0.3">
      <c r="A1269" t="s">
        <v>1213</v>
      </c>
      <c r="B1269" t="s">
        <v>1583</v>
      </c>
      <c r="C1269">
        <v>63</v>
      </c>
      <c r="D1269" s="8">
        <v>1.4403999999999999</v>
      </c>
      <c r="E1269">
        <v>1500</v>
      </c>
      <c r="G1269" t="s">
        <v>177</v>
      </c>
      <c r="H1269">
        <v>3</v>
      </c>
      <c r="I1269" s="4">
        <v>0.5</v>
      </c>
      <c r="J1269" s="3">
        <v>0.5</v>
      </c>
      <c r="K1269" s="4">
        <v>0.16666666666666666</v>
      </c>
      <c r="L1269" t="s">
        <v>172</v>
      </c>
      <c r="N1269" s="3">
        <v>0.5</v>
      </c>
      <c r="O1269" s="3">
        <v>0</v>
      </c>
      <c r="P1269">
        <v>25</v>
      </c>
      <c r="Q1269">
        <v>6.5</v>
      </c>
      <c r="R1269" t="s">
        <v>102</v>
      </c>
      <c r="S1269">
        <v>0</v>
      </c>
      <c r="T1269" s="6">
        <f>10^-(14-Q1269)</f>
        <v>3.1622776601683699E-8</v>
      </c>
      <c r="U1269" s="6">
        <v>0</v>
      </c>
      <c r="V1269" s="6">
        <v>0</v>
      </c>
      <c r="W1269" s="6">
        <v>0</v>
      </c>
      <c r="X1269" s="6">
        <v>0</v>
      </c>
      <c r="Y1269" t="s">
        <v>171</v>
      </c>
      <c r="Z1269" s="5">
        <v>-80</v>
      </c>
      <c r="AA1269"/>
      <c r="AB1269"/>
      <c r="AC1269"/>
      <c r="AD1269">
        <v>0.38333333333333336</v>
      </c>
      <c r="AE1269">
        <v>775</v>
      </c>
      <c r="AF1269">
        <v>1</v>
      </c>
      <c r="AG1269" s="9">
        <v>2.1999999999999999E-2</v>
      </c>
      <c r="AH1269" s="9">
        <v>0.9</v>
      </c>
      <c r="AI1269" s="9">
        <v>0.69</v>
      </c>
      <c r="AJ1269" s="9">
        <v>2.7E-2</v>
      </c>
      <c r="AK1269" s="9">
        <v>4.0000000000000001E-3</v>
      </c>
      <c r="AL1269" s="9">
        <v>17.25</v>
      </c>
      <c r="AM1269" s="9">
        <v>12.08</v>
      </c>
      <c r="AN1269" s="9">
        <v>2.09</v>
      </c>
    </row>
    <row r="1270" spans="1:40" x14ac:dyDescent="0.3">
      <c r="A1270" t="s">
        <v>1214</v>
      </c>
      <c r="B1270" t="s">
        <v>1583</v>
      </c>
      <c r="C1270">
        <v>63</v>
      </c>
      <c r="D1270" s="8">
        <v>1.4403999999999999</v>
      </c>
      <c r="E1270">
        <v>1500</v>
      </c>
      <c r="G1270" t="s">
        <v>177</v>
      </c>
      <c r="H1270">
        <v>3</v>
      </c>
      <c r="I1270" s="4">
        <v>0.5</v>
      </c>
      <c r="J1270" s="3">
        <v>0.5</v>
      </c>
      <c r="K1270" s="4">
        <v>0.16666666666666666</v>
      </c>
      <c r="L1270" t="s">
        <v>172</v>
      </c>
      <c r="N1270" s="3">
        <v>0.5</v>
      </c>
      <c r="O1270" s="3">
        <v>0</v>
      </c>
      <c r="P1270">
        <v>25</v>
      </c>
      <c r="Q1270">
        <v>6.5</v>
      </c>
      <c r="R1270" t="s">
        <v>102</v>
      </c>
      <c r="S1270">
        <v>0</v>
      </c>
      <c r="T1270" s="6">
        <f>10^-(14-Q1270)</f>
        <v>3.1622776601683699E-8</v>
      </c>
      <c r="U1270" s="6">
        <v>0</v>
      </c>
      <c r="V1270" s="6">
        <v>0</v>
      </c>
      <c r="W1270" s="6">
        <v>0</v>
      </c>
      <c r="X1270" s="6">
        <v>0</v>
      </c>
      <c r="Y1270" t="s">
        <v>171</v>
      </c>
      <c r="Z1270" s="5">
        <v>-80</v>
      </c>
      <c r="AA1270"/>
      <c r="AB1270"/>
      <c r="AC1270"/>
      <c r="AD1270">
        <v>0.38333333333333336</v>
      </c>
      <c r="AE1270">
        <v>770</v>
      </c>
      <c r="AF1270">
        <v>1</v>
      </c>
      <c r="AG1270" s="9">
        <v>2.1999999999999999E-2</v>
      </c>
      <c r="AH1270" s="9">
        <v>0.9</v>
      </c>
      <c r="AI1270" s="9">
        <v>0.69</v>
      </c>
      <c r="AJ1270" s="9">
        <v>2.7E-2</v>
      </c>
      <c r="AK1270" s="9">
        <v>4.0000000000000001E-3</v>
      </c>
      <c r="AL1270" s="9">
        <v>17.25</v>
      </c>
      <c r="AM1270" s="9">
        <v>12.08</v>
      </c>
      <c r="AN1270" s="9">
        <v>2.09</v>
      </c>
    </row>
    <row r="1271" spans="1:40" x14ac:dyDescent="0.3">
      <c r="A1271" t="s">
        <v>1215</v>
      </c>
      <c r="B1271" t="s">
        <v>1583</v>
      </c>
      <c r="C1271">
        <v>63</v>
      </c>
      <c r="D1271" s="8">
        <v>1.4403999999999999</v>
      </c>
      <c r="E1271">
        <v>1500</v>
      </c>
      <c r="G1271" t="s">
        <v>177</v>
      </c>
      <c r="H1271">
        <v>3</v>
      </c>
      <c r="I1271" s="4">
        <v>0.5</v>
      </c>
      <c r="J1271" s="3">
        <v>0.5</v>
      </c>
      <c r="K1271" s="4">
        <v>0.16666666666666666</v>
      </c>
      <c r="L1271" t="s">
        <v>172</v>
      </c>
      <c r="N1271" s="3">
        <v>0.5</v>
      </c>
      <c r="O1271" s="3">
        <v>0</v>
      </c>
      <c r="P1271">
        <v>25</v>
      </c>
      <c r="Q1271">
        <v>6.5</v>
      </c>
      <c r="R1271" t="s">
        <v>102</v>
      </c>
      <c r="S1271">
        <v>0</v>
      </c>
      <c r="T1271" s="6">
        <f>10^-(14-Q1271)</f>
        <v>3.1622776601683699E-8</v>
      </c>
      <c r="U1271" s="6">
        <v>0</v>
      </c>
      <c r="V1271" s="6">
        <v>0</v>
      </c>
      <c r="W1271" s="6">
        <v>0</v>
      </c>
      <c r="X1271" s="6">
        <v>0</v>
      </c>
      <c r="Y1271" t="s">
        <v>171</v>
      </c>
      <c r="Z1271" s="5">
        <v>-80</v>
      </c>
      <c r="AA1271"/>
      <c r="AB1271"/>
      <c r="AC1271"/>
      <c r="AD1271">
        <v>0.38333333333333336</v>
      </c>
      <c r="AE1271">
        <v>710</v>
      </c>
      <c r="AF1271">
        <v>1</v>
      </c>
      <c r="AG1271" s="9">
        <v>2.1999999999999999E-2</v>
      </c>
      <c r="AH1271" s="9">
        <v>0.9</v>
      </c>
      <c r="AI1271" s="9">
        <v>0.69</v>
      </c>
      <c r="AJ1271" s="9">
        <v>2.7E-2</v>
      </c>
      <c r="AK1271" s="9">
        <v>4.0000000000000001E-3</v>
      </c>
      <c r="AL1271" s="9">
        <v>17.25</v>
      </c>
      <c r="AM1271" s="9">
        <v>12.08</v>
      </c>
      <c r="AN1271" s="9">
        <v>2.09</v>
      </c>
    </row>
    <row r="1272" spans="1:40" x14ac:dyDescent="0.3">
      <c r="A1272" t="s">
        <v>1216</v>
      </c>
      <c r="B1272" t="s">
        <v>1583</v>
      </c>
      <c r="C1272">
        <v>63</v>
      </c>
      <c r="D1272" s="8">
        <v>1.4403999999999999</v>
      </c>
      <c r="E1272">
        <v>1500</v>
      </c>
      <c r="G1272" t="s">
        <v>177</v>
      </c>
      <c r="H1272">
        <v>3</v>
      </c>
      <c r="I1272" s="4">
        <v>0.5</v>
      </c>
      <c r="J1272" s="3">
        <v>0.5</v>
      </c>
      <c r="K1272" s="4">
        <v>0.16666666666666666</v>
      </c>
      <c r="L1272" t="s">
        <v>172</v>
      </c>
      <c r="N1272" s="3">
        <v>0.5</v>
      </c>
      <c r="O1272" s="3">
        <v>0</v>
      </c>
      <c r="P1272">
        <v>25</v>
      </c>
      <c r="Q1272">
        <v>6.5</v>
      </c>
      <c r="R1272" t="s">
        <v>102</v>
      </c>
      <c r="S1272">
        <v>0</v>
      </c>
      <c r="T1272" s="6">
        <f>10^-(14-Q1272)</f>
        <v>3.1622776601683699E-8</v>
      </c>
      <c r="U1272" s="6">
        <v>0</v>
      </c>
      <c r="V1272" s="6">
        <v>0</v>
      </c>
      <c r="W1272" s="6">
        <v>0</v>
      </c>
      <c r="X1272" s="6">
        <v>0</v>
      </c>
      <c r="Y1272" t="s">
        <v>171</v>
      </c>
      <c r="Z1272" s="5">
        <v>-80</v>
      </c>
      <c r="AA1272"/>
      <c r="AB1272"/>
      <c r="AC1272"/>
      <c r="AD1272">
        <v>0.38333333333333336</v>
      </c>
      <c r="AE1272">
        <v>630</v>
      </c>
      <c r="AF1272">
        <v>1</v>
      </c>
      <c r="AG1272" s="9">
        <v>2.1999999999999999E-2</v>
      </c>
      <c r="AH1272" s="9">
        <v>0.9</v>
      </c>
      <c r="AI1272" s="9">
        <v>0.69</v>
      </c>
      <c r="AJ1272" s="9">
        <v>2.7E-2</v>
      </c>
      <c r="AK1272" s="9">
        <v>4.0000000000000001E-3</v>
      </c>
      <c r="AL1272" s="9">
        <v>17.25</v>
      </c>
      <c r="AM1272" s="9">
        <v>12.08</v>
      </c>
      <c r="AN1272" s="9">
        <v>2.09</v>
      </c>
    </row>
    <row r="1273" spans="1:40" x14ac:dyDescent="0.3">
      <c r="A1273" t="s">
        <v>1217</v>
      </c>
      <c r="B1273" t="s">
        <v>1583</v>
      </c>
      <c r="C1273">
        <v>63</v>
      </c>
      <c r="D1273" s="8">
        <v>1.4403999999999999</v>
      </c>
      <c r="E1273">
        <v>1500</v>
      </c>
      <c r="G1273" t="s">
        <v>31</v>
      </c>
      <c r="H1273">
        <v>-1.2</v>
      </c>
      <c r="I1273" s="4">
        <v>1</v>
      </c>
      <c r="J1273" s="4">
        <v>1</v>
      </c>
      <c r="K1273" s="4">
        <v>0.16666666666666666</v>
      </c>
      <c r="L1273" t="s">
        <v>172</v>
      </c>
      <c r="N1273" s="3">
        <v>0.5</v>
      </c>
      <c r="O1273" s="3">
        <v>0</v>
      </c>
      <c r="P1273">
        <v>25</v>
      </c>
      <c r="Q1273">
        <v>6.5</v>
      </c>
      <c r="R1273" t="s">
        <v>102</v>
      </c>
      <c r="S1273">
        <v>0</v>
      </c>
      <c r="T1273" s="6">
        <f>10^-(14-Q1273)</f>
        <v>3.1622776601683699E-8</v>
      </c>
      <c r="U1273" s="6">
        <v>0</v>
      </c>
      <c r="V1273" s="6">
        <v>0</v>
      </c>
      <c r="W1273" s="6">
        <v>0</v>
      </c>
      <c r="X1273" s="6">
        <v>0</v>
      </c>
      <c r="Y1273" t="s">
        <v>171</v>
      </c>
      <c r="Z1273" s="5">
        <v>250</v>
      </c>
      <c r="AA1273"/>
      <c r="AB1273"/>
      <c r="AC1273"/>
      <c r="AD1273">
        <v>0.38333333333333336</v>
      </c>
      <c r="AE1273">
        <v>1095</v>
      </c>
      <c r="AF1273">
        <v>1</v>
      </c>
      <c r="AG1273" s="9">
        <v>2.1999999999999999E-2</v>
      </c>
      <c r="AH1273" s="9">
        <v>0.9</v>
      </c>
      <c r="AI1273" s="9">
        <v>0.69</v>
      </c>
      <c r="AJ1273" s="9">
        <v>2.7E-2</v>
      </c>
      <c r="AK1273" s="9">
        <v>4.0000000000000001E-3</v>
      </c>
      <c r="AL1273" s="9">
        <v>17.25</v>
      </c>
      <c r="AM1273" s="9">
        <v>12.08</v>
      </c>
      <c r="AN1273" s="9">
        <v>2.09</v>
      </c>
    </row>
    <row r="1274" spans="1:40" x14ac:dyDescent="0.3">
      <c r="A1274" t="s">
        <v>1218</v>
      </c>
      <c r="B1274" t="s">
        <v>1583</v>
      </c>
      <c r="C1274">
        <v>63</v>
      </c>
      <c r="D1274" s="8">
        <v>1.4403999999999999</v>
      </c>
      <c r="E1274">
        <v>1500</v>
      </c>
      <c r="G1274" t="s">
        <v>31</v>
      </c>
      <c r="H1274">
        <v>-1.2</v>
      </c>
      <c r="I1274" s="4">
        <v>1</v>
      </c>
      <c r="J1274" s="4">
        <v>1</v>
      </c>
      <c r="K1274" s="4">
        <v>0.16666666666666666</v>
      </c>
      <c r="L1274" t="s">
        <v>172</v>
      </c>
      <c r="N1274" s="3">
        <v>0.5</v>
      </c>
      <c r="O1274" s="3">
        <v>0</v>
      </c>
      <c r="P1274">
        <v>25</v>
      </c>
      <c r="Q1274">
        <v>6.5</v>
      </c>
      <c r="R1274" t="s">
        <v>102</v>
      </c>
      <c r="S1274">
        <v>0</v>
      </c>
      <c r="T1274" s="6">
        <f>10^-(14-Q1274)</f>
        <v>3.1622776601683699E-8</v>
      </c>
      <c r="U1274" s="6">
        <v>0</v>
      </c>
      <c r="V1274" s="6">
        <v>0</v>
      </c>
      <c r="W1274" s="6">
        <v>0</v>
      </c>
      <c r="X1274" s="6">
        <v>0</v>
      </c>
      <c r="Y1274" t="s">
        <v>171</v>
      </c>
      <c r="Z1274" s="5">
        <v>250</v>
      </c>
      <c r="AA1274"/>
      <c r="AB1274"/>
      <c r="AC1274"/>
      <c r="AD1274">
        <v>0.38333333333333336</v>
      </c>
      <c r="AE1274">
        <v>1100</v>
      </c>
      <c r="AF1274">
        <v>1</v>
      </c>
      <c r="AG1274" s="9">
        <v>2.1999999999999999E-2</v>
      </c>
      <c r="AH1274" s="9">
        <v>0.9</v>
      </c>
      <c r="AI1274" s="9">
        <v>0.69</v>
      </c>
      <c r="AJ1274" s="9">
        <v>2.7E-2</v>
      </c>
      <c r="AK1274" s="9">
        <v>4.0000000000000001E-3</v>
      </c>
      <c r="AL1274" s="9">
        <v>17.25</v>
      </c>
      <c r="AM1274" s="9">
        <v>12.08</v>
      </c>
      <c r="AN1274" s="9">
        <v>2.09</v>
      </c>
    </row>
    <row r="1275" spans="1:40" x14ac:dyDescent="0.3">
      <c r="A1275" t="s">
        <v>1219</v>
      </c>
      <c r="B1275" t="s">
        <v>1583</v>
      </c>
      <c r="C1275">
        <v>63</v>
      </c>
      <c r="D1275" s="8">
        <v>1.4403999999999999</v>
      </c>
      <c r="E1275">
        <v>1500</v>
      </c>
      <c r="G1275" t="s">
        <v>31</v>
      </c>
      <c r="H1275">
        <v>-1.2</v>
      </c>
      <c r="I1275" s="4">
        <v>1</v>
      </c>
      <c r="J1275" s="4">
        <v>1</v>
      </c>
      <c r="K1275" s="4">
        <v>0.16666666666666666</v>
      </c>
      <c r="L1275" t="s">
        <v>172</v>
      </c>
      <c r="N1275" s="3">
        <v>0.5</v>
      </c>
      <c r="O1275" s="3">
        <v>0</v>
      </c>
      <c r="P1275">
        <v>25</v>
      </c>
      <c r="Q1275">
        <v>6.5</v>
      </c>
      <c r="R1275" t="s">
        <v>102</v>
      </c>
      <c r="S1275">
        <v>0</v>
      </c>
      <c r="T1275" s="6">
        <f>10^-(14-Q1275)</f>
        <v>3.1622776601683699E-8</v>
      </c>
      <c r="U1275" s="6">
        <v>0</v>
      </c>
      <c r="V1275" s="6">
        <v>0</v>
      </c>
      <c r="W1275" s="6">
        <v>0</v>
      </c>
      <c r="X1275" s="6">
        <v>0</v>
      </c>
      <c r="Y1275" t="s">
        <v>171</v>
      </c>
      <c r="Z1275" s="5">
        <v>250</v>
      </c>
      <c r="AA1275"/>
      <c r="AB1275"/>
      <c r="AC1275"/>
      <c r="AD1275">
        <v>0.38333333333333336</v>
      </c>
      <c r="AE1275">
        <v>1110</v>
      </c>
      <c r="AF1275">
        <v>1</v>
      </c>
      <c r="AG1275" s="9">
        <v>2.1999999999999999E-2</v>
      </c>
      <c r="AH1275" s="9">
        <v>0.9</v>
      </c>
      <c r="AI1275" s="9">
        <v>0.69</v>
      </c>
      <c r="AJ1275" s="9">
        <v>2.7E-2</v>
      </c>
      <c r="AK1275" s="9">
        <v>4.0000000000000001E-3</v>
      </c>
      <c r="AL1275" s="9">
        <v>17.25</v>
      </c>
      <c r="AM1275" s="9">
        <v>12.08</v>
      </c>
      <c r="AN1275" s="9">
        <v>2.09</v>
      </c>
    </row>
    <row r="1276" spans="1:40" x14ac:dyDescent="0.3">
      <c r="A1276" t="s">
        <v>1220</v>
      </c>
      <c r="B1276" t="s">
        <v>1583</v>
      </c>
      <c r="C1276">
        <v>63</v>
      </c>
      <c r="D1276" s="8">
        <v>1.4403999999999999</v>
      </c>
      <c r="E1276">
        <v>1500</v>
      </c>
      <c r="G1276" t="s">
        <v>31</v>
      </c>
      <c r="H1276">
        <v>-1.2</v>
      </c>
      <c r="I1276" s="4">
        <v>1</v>
      </c>
      <c r="J1276" s="4">
        <v>1</v>
      </c>
      <c r="K1276" s="4">
        <v>0.16666666666666666</v>
      </c>
      <c r="L1276" t="s">
        <v>172</v>
      </c>
      <c r="N1276" s="3">
        <v>0.5</v>
      </c>
      <c r="O1276" s="3">
        <v>0</v>
      </c>
      <c r="P1276">
        <v>25</v>
      </c>
      <c r="Q1276">
        <v>6.5</v>
      </c>
      <c r="R1276" t="s">
        <v>102</v>
      </c>
      <c r="S1276">
        <v>0</v>
      </c>
      <c r="T1276" s="6">
        <f>10^-(14-Q1276)</f>
        <v>3.1622776601683699E-8</v>
      </c>
      <c r="U1276" s="6">
        <v>0</v>
      </c>
      <c r="V1276" s="6">
        <v>0</v>
      </c>
      <c r="W1276" s="6">
        <v>0</v>
      </c>
      <c r="X1276" s="6">
        <v>0</v>
      </c>
      <c r="Y1276" t="s">
        <v>171</v>
      </c>
      <c r="Z1276" s="5">
        <v>250</v>
      </c>
      <c r="AA1276"/>
      <c r="AB1276"/>
      <c r="AC1276"/>
      <c r="AD1276">
        <v>0.38333333333333336</v>
      </c>
      <c r="AE1276">
        <v>1115</v>
      </c>
      <c r="AF1276">
        <v>1</v>
      </c>
      <c r="AG1276" s="9">
        <v>2.1999999999999999E-2</v>
      </c>
      <c r="AH1276" s="9">
        <v>0.9</v>
      </c>
      <c r="AI1276" s="9">
        <v>0.69</v>
      </c>
      <c r="AJ1276" s="9">
        <v>2.7E-2</v>
      </c>
      <c r="AK1276" s="9">
        <v>4.0000000000000001E-3</v>
      </c>
      <c r="AL1276" s="9">
        <v>17.25</v>
      </c>
      <c r="AM1276" s="9">
        <v>12.08</v>
      </c>
      <c r="AN1276" s="9">
        <v>2.09</v>
      </c>
    </row>
    <row r="1277" spans="1:40" x14ac:dyDescent="0.3">
      <c r="A1277" t="s">
        <v>1221</v>
      </c>
      <c r="B1277" t="s">
        <v>1583</v>
      </c>
      <c r="C1277">
        <v>63</v>
      </c>
      <c r="D1277" s="8">
        <v>1.4403999999999999</v>
      </c>
      <c r="E1277">
        <v>1500</v>
      </c>
      <c r="G1277" t="s">
        <v>31</v>
      </c>
      <c r="H1277">
        <v>-1.2</v>
      </c>
      <c r="I1277" s="4">
        <v>1</v>
      </c>
      <c r="J1277" s="4">
        <v>1</v>
      </c>
      <c r="K1277" s="4">
        <v>0.16666666666666666</v>
      </c>
      <c r="L1277" t="s">
        <v>172</v>
      </c>
      <c r="N1277" s="3">
        <v>0.5</v>
      </c>
      <c r="O1277" s="3">
        <v>0</v>
      </c>
      <c r="P1277">
        <v>25</v>
      </c>
      <c r="Q1277">
        <v>6.5</v>
      </c>
      <c r="R1277" t="s">
        <v>102</v>
      </c>
      <c r="S1277">
        <v>0</v>
      </c>
      <c r="T1277" s="6">
        <f>10^-(14-Q1277)</f>
        <v>3.1622776601683699E-8</v>
      </c>
      <c r="U1277" s="6">
        <v>0</v>
      </c>
      <c r="V1277" s="6">
        <v>0</v>
      </c>
      <c r="W1277" s="6">
        <v>0</v>
      </c>
      <c r="X1277" s="6">
        <v>0</v>
      </c>
      <c r="Y1277" t="s">
        <v>171</v>
      </c>
      <c r="Z1277" s="5">
        <v>250</v>
      </c>
      <c r="AA1277"/>
      <c r="AB1277"/>
      <c r="AC1277"/>
      <c r="AD1277">
        <v>0.38333333333333336</v>
      </c>
      <c r="AE1277">
        <v>1120</v>
      </c>
      <c r="AF1277">
        <v>1</v>
      </c>
      <c r="AG1277" s="9">
        <v>2.1999999999999999E-2</v>
      </c>
      <c r="AH1277" s="9">
        <v>0.9</v>
      </c>
      <c r="AI1277" s="9">
        <v>0.69</v>
      </c>
      <c r="AJ1277" s="9">
        <v>2.7E-2</v>
      </c>
      <c r="AK1277" s="9">
        <v>4.0000000000000001E-3</v>
      </c>
      <c r="AL1277" s="9">
        <v>17.25</v>
      </c>
      <c r="AM1277" s="9">
        <v>12.08</v>
      </c>
      <c r="AN1277" s="9">
        <v>2.09</v>
      </c>
    </row>
    <row r="1278" spans="1:40" x14ac:dyDescent="0.3">
      <c r="A1278" t="s">
        <v>1222</v>
      </c>
      <c r="B1278" t="s">
        <v>1583</v>
      </c>
      <c r="C1278">
        <v>63</v>
      </c>
      <c r="D1278" s="8">
        <v>1.4403999999999999</v>
      </c>
      <c r="E1278">
        <v>1500</v>
      </c>
      <c r="G1278" t="s">
        <v>31</v>
      </c>
      <c r="H1278">
        <v>-1.2</v>
      </c>
      <c r="I1278" s="4">
        <v>1</v>
      </c>
      <c r="J1278" s="4">
        <v>1</v>
      </c>
      <c r="K1278" s="4">
        <v>0.16666666666666666</v>
      </c>
      <c r="L1278" t="s">
        <v>172</v>
      </c>
      <c r="N1278" s="3">
        <v>0.5</v>
      </c>
      <c r="O1278" s="3">
        <v>0</v>
      </c>
      <c r="P1278">
        <v>25</v>
      </c>
      <c r="Q1278">
        <v>6.5</v>
      </c>
      <c r="R1278" t="s">
        <v>102</v>
      </c>
      <c r="S1278">
        <v>0</v>
      </c>
      <c r="T1278" s="6">
        <f>10^-(14-Q1278)</f>
        <v>3.1622776601683699E-8</v>
      </c>
      <c r="U1278" s="6">
        <v>0</v>
      </c>
      <c r="V1278" s="6">
        <v>0</v>
      </c>
      <c r="W1278" s="6">
        <v>0</v>
      </c>
      <c r="X1278" s="6">
        <v>0</v>
      </c>
      <c r="Y1278" t="s">
        <v>171</v>
      </c>
      <c r="Z1278" s="5">
        <v>250</v>
      </c>
      <c r="AA1278"/>
      <c r="AB1278"/>
      <c r="AC1278"/>
      <c r="AD1278">
        <v>0.38333333333333336</v>
      </c>
      <c r="AE1278">
        <v>1180</v>
      </c>
      <c r="AF1278">
        <v>1</v>
      </c>
      <c r="AG1278" s="9">
        <v>2.1999999999999999E-2</v>
      </c>
      <c r="AH1278" s="9">
        <v>0.9</v>
      </c>
      <c r="AI1278" s="9">
        <v>0.69</v>
      </c>
      <c r="AJ1278" s="9">
        <v>2.7E-2</v>
      </c>
      <c r="AK1278" s="9">
        <v>4.0000000000000001E-3</v>
      </c>
      <c r="AL1278" s="9">
        <v>17.25</v>
      </c>
      <c r="AM1278" s="9">
        <v>12.08</v>
      </c>
      <c r="AN1278" s="9">
        <v>2.09</v>
      </c>
    </row>
    <row r="1279" spans="1:40" x14ac:dyDescent="0.3">
      <c r="A1279" t="s">
        <v>1223</v>
      </c>
      <c r="B1279" t="s">
        <v>1583</v>
      </c>
      <c r="C1279">
        <v>63</v>
      </c>
      <c r="D1279" s="8">
        <v>1.4403999999999999</v>
      </c>
      <c r="E1279">
        <v>1500</v>
      </c>
      <c r="G1279" t="s">
        <v>31</v>
      </c>
      <c r="H1279">
        <v>-1.2</v>
      </c>
      <c r="I1279" s="4">
        <v>1</v>
      </c>
      <c r="J1279" s="4">
        <v>1</v>
      </c>
      <c r="K1279" s="4">
        <v>0.16666666666666666</v>
      </c>
      <c r="L1279" t="s">
        <v>172</v>
      </c>
      <c r="N1279" s="3">
        <v>0.5</v>
      </c>
      <c r="O1279" s="3">
        <v>0</v>
      </c>
      <c r="P1279">
        <v>25</v>
      </c>
      <c r="Q1279">
        <v>6.5</v>
      </c>
      <c r="R1279" t="s">
        <v>102</v>
      </c>
      <c r="S1279">
        <v>0</v>
      </c>
      <c r="T1279" s="6">
        <f>10^-(14-Q1279)</f>
        <v>3.1622776601683699E-8</v>
      </c>
      <c r="U1279" s="6">
        <v>0</v>
      </c>
      <c r="V1279" s="6">
        <v>0</v>
      </c>
      <c r="W1279" s="6">
        <v>0</v>
      </c>
      <c r="X1279" s="6">
        <v>0</v>
      </c>
      <c r="Y1279" t="s">
        <v>171</v>
      </c>
      <c r="Z1279" s="5">
        <v>250</v>
      </c>
      <c r="AA1279"/>
      <c r="AB1279"/>
      <c r="AC1279"/>
      <c r="AD1279">
        <v>0.38333333333333336</v>
      </c>
      <c r="AE1279">
        <v>1200</v>
      </c>
      <c r="AF1279">
        <v>2</v>
      </c>
      <c r="AG1279" s="9">
        <v>2.1999999999999999E-2</v>
      </c>
      <c r="AH1279" s="9">
        <v>0.9</v>
      </c>
      <c r="AI1279" s="9">
        <v>0.69</v>
      </c>
      <c r="AJ1279" s="9">
        <v>2.7E-2</v>
      </c>
      <c r="AK1279" s="9">
        <v>4.0000000000000001E-3</v>
      </c>
      <c r="AL1279" s="9">
        <v>17.25</v>
      </c>
      <c r="AM1279" s="9">
        <v>12.08</v>
      </c>
      <c r="AN1279" s="9">
        <v>2.09</v>
      </c>
    </row>
    <row r="1280" spans="1:40" x14ac:dyDescent="0.3">
      <c r="A1280" t="s">
        <v>1157</v>
      </c>
      <c r="B1280" t="s">
        <v>1583</v>
      </c>
      <c r="C1280">
        <v>63</v>
      </c>
      <c r="D1280" s="8">
        <v>1.4403999999999999</v>
      </c>
      <c r="E1280">
        <v>1500</v>
      </c>
      <c r="H1280" t="s">
        <v>987</v>
      </c>
      <c r="K1280" s="4">
        <v>0.16666666666666666</v>
      </c>
      <c r="L1280" t="s">
        <v>172</v>
      </c>
      <c r="N1280" s="3">
        <v>0.5</v>
      </c>
      <c r="O1280" s="3">
        <v>0</v>
      </c>
      <c r="P1280">
        <v>25</v>
      </c>
      <c r="Q1280">
        <v>6.5</v>
      </c>
      <c r="R1280" t="s">
        <v>102</v>
      </c>
      <c r="S1280">
        <v>0</v>
      </c>
      <c r="T1280" s="6">
        <f>10^-(14-Q1280)</f>
        <v>3.1622776601683699E-8</v>
      </c>
      <c r="U1280" s="6">
        <v>0</v>
      </c>
      <c r="V1280" s="6">
        <v>0</v>
      </c>
      <c r="W1280" s="6">
        <v>0</v>
      </c>
      <c r="X1280" s="6">
        <v>0</v>
      </c>
      <c r="Y1280" t="s">
        <v>171</v>
      </c>
      <c r="Z1280" s="5">
        <v>0</v>
      </c>
      <c r="AD1280">
        <v>0.38333333333333336</v>
      </c>
      <c r="AE1280">
        <v>1200</v>
      </c>
      <c r="AF1280">
        <v>2</v>
      </c>
      <c r="AG1280" s="9">
        <v>4.0000000000000001E-3</v>
      </c>
      <c r="AH1280" s="9">
        <v>0.01</v>
      </c>
      <c r="AI1280" s="9">
        <v>0.01</v>
      </c>
      <c r="AJ1280" s="9">
        <v>3.0000000000000001E-3</v>
      </c>
      <c r="AK1280" s="9">
        <v>1E-3</v>
      </c>
      <c r="AL1280" s="9">
        <v>17.399999999999999</v>
      </c>
      <c r="AM1280" s="9">
        <v>14.78</v>
      </c>
      <c r="AN1280" s="9">
        <v>2.63</v>
      </c>
    </row>
    <row r="1281" spans="1:39" x14ac:dyDescent="0.3">
      <c r="A1281" t="s">
        <v>1466</v>
      </c>
      <c r="B1281" s="1" t="s">
        <v>1593</v>
      </c>
      <c r="C1281">
        <v>64</v>
      </c>
      <c r="D1281" s="8">
        <v>430</v>
      </c>
      <c r="E1281">
        <v>600</v>
      </c>
      <c r="I1281"/>
      <c r="J1281"/>
      <c r="K1281">
        <v>1</v>
      </c>
      <c r="L1281" t="s">
        <v>172</v>
      </c>
      <c r="N1281">
        <v>0.3422313483915127</v>
      </c>
      <c r="O1281" s="3">
        <v>0</v>
      </c>
      <c r="P1281">
        <v>20</v>
      </c>
      <c r="Q1281">
        <v>7</v>
      </c>
      <c r="R1281" t="s">
        <v>102</v>
      </c>
      <c r="S1281">
        <v>0</v>
      </c>
      <c r="T1281" s="6">
        <f>10^-(14-Q1281)</f>
        <v>9.9999999999999995E-8</v>
      </c>
      <c r="U1281" s="6">
        <v>0</v>
      </c>
      <c r="V1281" s="6">
        <v>0</v>
      </c>
      <c r="W1281" s="6">
        <v>0</v>
      </c>
      <c r="X1281" s="6">
        <v>0</v>
      </c>
      <c r="Y1281" t="s">
        <v>171</v>
      </c>
      <c r="Z1281" s="5">
        <v>-80</v>
      </c>
      <c r="AA1281"/>
      <c r="AB1281"/>
      <c r="AC1281"/>
      <c r="AD1281">
        <v>0.16666666666666666</v>
      </c>
      <c r="AE1281">
        <v>68</v>
      </c>
      <c r="AF1281">
        <v>1</v>
      </c>
      <c r="AL1281" s="9">
        <v>18</v>
      </c>
    </row>
    <row r="1282" spans="1:39" x14ac:dyDescent="0.3">
      <c r="A1282" t="s">
        <v>1467</v>
      </c>
      <c r="B1282" s="1" t="s">
        <v>1593</v>
      </c>
      <c r="C1282">
        <v>64</v>
      </c>
      <c r="D1282" s="8">
        <v>430</v>
      </c>
      <c r="E1282">
        <v>600</v>
      </c>
      <c r="I1282"/>
      <c r="J1282"/>
      <c r="K1282">
        <v>1</v>
      </c>
      <c r="L1282" t="s">
        <v>172</v>
      </c>
      <c r="N1282">
        <v>0.3422313483915127</v>
      </c>
      <c r="O1282" s="3">
        <v>0</v>
      </c>
      <c r="P1282">
        <v>20</v>
      </c>
      <c r="Q1282">
        <v>7</v>
      </c>
      <c r="R1282" t="s">
        <v>102</v>
      </c>
      <c r="S1282">
        <v>0</v>
      </c>
      <c r="T1282" s="6">
        <f>10^-(14-Q1282)</f>
        <v>9.9999999999999995E-8</v>
      </c>
      <c r="U1282" s="6">
        <v>0</v>
      </c>
      <c r="V1282" s="6">
        <v>0</v>
      </c>
      <c r="W1282" s="6">
        <v>0</v>
      </c>
      <c r="X1282" s="6">
        <v>0</v>
      </c>
      <c r="Y1282" t="s">
        <v>171</v>
      </c>
      <c r="Z1282" s="5">
        <v>100</v>
      </c>
      <c r="AA1282"/>
      <c r="AB1282"/>
      <c r="AC1282"/>
      <c r="AD1282">
        <v>0.16666666666666666</v>
      </c>
      <c r="AE1282">
        <v>160</v>
      </c>
      <c r="AF1282">
        <v>1</v>
      </c>
      <c r="AL1282" s="9">
        <v>18</v>
      </c>
    </row>
    <row r="1283" spans="1:39" x14ac:dyDescent="0.3">
      <c r="A1283" t="s">
        <v>1468</v>
      </c>
      <c r="B1283" s="1" t="s">
        <v>1593</v>
      </c>
      <c r="C1283">
        <v>64</v>
      </c>
      <c r="D1283" s="8">
        <v>430</v>
      </c>
      <c r="E1283">
        <v>600</v>
      </c>
      <c r="I1283"/>
      <c r="J1283"/>
      <c r="K1283">
        <v>1</v>
      </c>
      <c r="L1283" t="s">
        <v>172</v>
      </c>
      <c r="N1283">
        <v>0.3422313483915127</v>
      </c>
      <c r="O1283" s="3">
        <v>0</v>
      </c>
      <c r="P1283">
        <v>20</v>
      </c>
      <c r="Q1283">
        <v>7</v>
      </c>
      <c r="R1283" t="s">
        <v>102</v>
      </c>
      <c r="S1283">
        <v>0</v>
      </c>
      <c r="T1283" s="6">
        <f>10^-(14-Q1283)</f>
        <v>9.9999999999999995E-8</v>
      </c>
      <c r="U1283" s="6">
        <v>0</v>
      </c>
      <c r="V1283" s="6">
        <v>0</v>
      </c>
      <c r="W1283" s="6">
        <v>0</v>
      </c>
      <c r="X1283" s="6">
        <v>0</v>
      </c>
      <c r="Y1283" t="s">
        <v>171</v>
      </c>
      <c r="Z1283" s="5">
        <v>-80</v>
      </c>
      <c r="AA1283"/>
      <c r="AB1283"/>
      <c r="AC1283"/>
      <c r="AD1283">
        <v>0.16666666666666666</v>
      </c>
      <c r="AE1283">
        <v>19</v>
      </c>
      <c r="AF1283">
        <v>1</v>
      </c>
      <c r="AL1283" s="9">
        <v>18</v>
      </c>
    </row>
    <row r="1284" spans="1:39" x14ac:dyDescent="0.3">
      <c r="A1284" t="s">
        <v>1469</v>
      </c>
      <c r="B1284" s="1" t="s">
        <v>1593</v>
      </c>
      <c r="C1284">
        <v>64</v>
      </c>
      <c r="D1284" s="8">
        <v>430</v>
      </c>
      <c r="E1284">
        <v>600</v>
      </c>
      <c r="I1284"/>
      <c r="J1284"/>
      <c r="K1284">
        <v>1</v>
      </c>
      <c r="L1284" t="s">
        <v>172</v>
      </c>
      <c r="N1284">
        <v>0.3422313483915127</v>
      </c>
      <c r="O1284" s="3">
        <v>0</v>
      </c>
      <c r="P1284">
        <v>20</v>
      </c>
      <c r="Q1284">
        <v>7</v>
      </c>
      <c r="R1284" t="s">
        <v>102</v>
      </c>
      <c r="S1284">
        <v>0</v>
      </c>
      <c r="T1284" s="6">
        <f>10^-(14-Q1284)</f>
        <v>9.9999999999999995E-8</v>
      </c>
      <c r="U1284" s="6">
        <v>0</v>
      </c>
      <c r="V1284" s="6">
        <v>0</v>
      </c>
      <c r="W1284" s="6">
        <v>0</v>
      </c>
      <c r="X1284" s="6">
        <v>0</v>
      </c>
      <c r="Y1284" t="s">
        <v>171</v>
      </c>
      <c r="Z1284" s="5">
        <v>-80</v>
      </c>
      <c r="AA1284"/>
      <c r="AB1284"/>
      <c r="AC1284"/>
      <c r="AD1284">
        <v>0.16666666666666666</v>
      </c>
      <c r="AE1284">
        <v>76</v>
      </c>
      <c r="AF1284">
        <v>1</v>
      </c>
      <c r="AL1284" s="9">
        <v>18</v>
      </c>
    </row>
    <row r="1285" spans="1:39" x14ac:dyDescent="0.3">
      <c r="A1285" t="s">
        <v>1470</v>
      </c>
      <c r="B1285" s="1" t="s">
        <v>1593</v>
      </c>
      <c r="C1285">
        <v>64</v>
      </c>
      <c r="D1285" s="8">
        <v>430</v>
      </c>
      <c r="E1285">
        <v>600</v>
      </c>
      <c r="I1285"/>
      <c r="J1285"/>
      <c r="K1285">
        <v>1</v>
      </c>
      <c r="L1285" t="s">
        <v>172</v>
      </c>
      <c r="N1285">
        <v>0.3422313483915127</v>
      </c>
      <c r="O1285" s="3">
        <v>0</v>
      </c>
      <c r="P1285">
        <v>20</v>
      </c>
      <c r="Q1285">
        <v>7</v>
      </c>
      <c r="R1285" t="s">
        <v>102</v>
      </c>
      <c r="S1285">
        <v>0</v>
      </c>
      <c r="T1285" s="6">
        <f>10^-(14-Q1285)</f>
        <v>9.9999999999999995E-8</v>
      </c>
      <c r="U1285" s="6">
        <v>0</v>
      </c>
      <c r="V1285" s="6">
        <v>0</v>
      </c>
      <c r="W1285" s="6">
        <v>0</v>
      </c>
      <c r="X1285" s="6">
        <v>0</v>
      </c>
      <c r="Y1285" t="s">
        <v>171</v>
      </c>
      <c r="Z1285" s="5">
        <v>0</v>
      </c>
      <c r="AA1285"/>
      <c r="AB1285"/>
      <c r="AC1285"/>
      <c r="AD1285">
        <v>0.16666666666666666</v>
      </c>
      <c r="AE1285">
        <v>117</v>
      </c>
      <c r="AF1285">
        <v>1</v>
      </c>
      <c r="AL1285" s="9">
        <v>18</v>
      </c>
    </row>
    <row r="1286" spans="1:39" x14ac:dyDescent="0.3">
      <c r="A1286" t="s">
        <v>1471</v>
      </c>
      <c r="B1286" s="1" t="s">
        <v>1593</v>
      </c>
      <c r="C1286">
        <v>64</v>
      </c>
      <c r="D1286" s="8">
        <v>430</v>
      </c>
      <c r="E1286">
        <v>600</v>
      </c>
      <c r="I1286"/>
      <c r="J1286"/>
      <c r="K1286">
        <v>1</v>
      </c>
      <c r="L1286" t="s">
        <v>172</v>
      </c>
      <c r="N1286">
        <v>0.3422313483915127</v>
      </c>
      <c r="O1286" s="3">
        <v>0</v>
      </c>
      <c r="P1286">
        <v>20</v>
      </c>
      <c r="Q1286">
        <v>7</v>
      </c>
      <c r="R1286" t="s">
        <v>102</v>
      </c>
      <c r="S1286">
        <v>0</v>
      </c>
      <c r="T1286" s="6">
        <f>10^-(14-Q1286)</f>
        <v>9.9999999999999995E-8</v>
      </c>
      <c r="U1286" s="6">
        <v>0</v>
      </c>
      <c r="V1286" s="6">
        <v>0</v>
      </c>
      <c r="W1286" s="6">
        <v>0</v>
      </c>
      <c r="X1286" s="6">
        <v>0</v>
      </c>
      <c r="Y1286" t="s">
        <v>171</v>
      </c>
      <c r="Z1286" s="5">
        <v>-200</v>
      </c>
      <c r="AA1286"/>
      <c r="AB1286"/>
      <c r="AC1286"/>
      <c r="AD1286">
        <v>0.16666666666666666</v>
      </c>
      <c r="AE1286">
        <v>-77</v>
      </c>
      <c r="AF1286">
        <v>1</v>
      </c>
      <c r="AL1286" s="9">
        <v>18</v>
      </c>
    </row>
    <row r="1287" spans="1:39" x14ac:dyDescent="0.3">
      <c r="A1287" t="s">
        <v>1472</v>
      </c>
      <c r="B1287" s="1" t="s">
        <v>1593</v>
      </c>
      <c r="C1287">
        <v>64</v>
      </c>
      <c r="D1287" s="8">
        <v>430</v>
      </c>
      <c r="E1287">
        <v>600</v>
      </c>
      <c r="I1287"/>
      <c r="J1287"/>
      <c r="K1287">
        <v>1</v>
      </c>
      <c r="L1287" t="s">
        <v>172</v>
      </c>
      <c r="N1287">
        <v>0.3422313483915127</v>
      </c>
      <c r="O1287" s="3">
        <v>0</v>
      </c>
      <c r="P1287">
        <v>20</v>
      </c>
      <c r="Q1287">
        <v>7</v>
      </c>
      <c r="R1287" t="s">
        <v>102</v>
      </c>
      <c r="S1287">
        <v>0</v>
      </c>
      <c r="T1287" s="6">
        <f>10^-(14-Q1287)</f>
        <v>9.9999999999999995E-8</v>
      </c>
      <c r="U1287" s="6">
        <v>0</v>
      </c>
      <c r="V1287" s="6">
        <v>0</v>
      </c>
      <c r="W1287" s="6">
        <v>0</v>
      </c>
      <c r="X1287" s="6">
        <v>0</v>
      </c>
      <c r="Y1287" t="s">
        <v>171</v>
      </c>
      <c r="Z1287" s="5">
        <v>0</v>
      </c>
      <c r="AA1287"/>
      <c r="AB1287"/>
      <c r="AC1287"/>
      <c r="AD1287">
        <v>0.16666666666666666</v>
      </c>
      <c r="AE1287">
        <v>102</v>
      </c>
      <c r="AF1287">
        <v>1</v>
      </c>
      <c r="AL1287" s="9">
        <v>18</v>
      </c>
    </row>
    <row r="1288" spans="1:39" x14ac:dyDescent="0.3">
      <c r="A1288" t="s">
        <v>1473</v>
      </c>
      <c r="B1288" s="1" t="s">
        <v>1593</v>
      </c>
      <c r="C1288">
        <v>64</v>
      </c>
      <c r="D1288" s="8">
        <v>1.4300999999999999</v>
      </c>
      <c r="E1288">
        <v>600</v>
      </c>
      <c r="I1288"/>
      <c r="J1288"/>
      <c r="K1288">
        <v>1</v>
      </c>
      <c r="L1288" t="s">
        <v>172</v>
      </c>
      <c r="N1288">
        <v>0.3422313483915127</v>
      </c>
      <c r="O1288" s="3">
        <v>0</v>
      </c>
      <c r="P1288">
        <v>20</v>
      </c>
      <c r="Q1288">
        <v>7</v>
      </c>
      <c r="R1288" t="s">
        <v>102</v>
      </c>
      <c r="S1288">
        <v>0</v>
      </c>
      <c r="T1288" s="6">
        <f>10^-(14-Q1288)</f>
        <v>9.9999999999999995E-8</v>
      </c>
      <c r="U1288" s="6">
        <v>0</v>
      </c>
      <c r="V1288" s="6">
        <v>0</v>
      </c>
      <c r="W1288" s="6">
        <v>0</v>
      </c>
      <c r="X1288" s="6">
        <v>0</v>
      </c>
      <c r="Y1288" t="s">
        <v>171</v>
      </c>
      <c r="Z1288" s="5">
        <v>0</v>
      </c>
      <c r="AA1288"/>
      <c r="AB1288"/>
      <c r="AC1288"/>
      <c r="AD1288">
        <v>0.16666666666666666</v>
      </c>
      <c r="AE1288">
        <v>385</v>
      </c>
      <c r="AF1288">
        <v>1</v>
      </c>
      <c r="AL1288" s="9">
        <v>18</v>
      </c>
      <c r="AM1288" s="9">
        <v>8</v>
      </c>
    </row>
    <row r="1289" spans="1:39" x14ac:dyDescent="0.3">
      <c r="A1289" t="s">
        <v>1474</v>
      </c>
      <c r="B1289" s="1" t="s">
        <v>1593</v>
      </c>
      <c r="C1289">
        <v>64</v>
      </c>
      <c r="D1289" s="8">
        <v>1.4300999999999999</v>
      </c>
      <c r="E1289">
        <v>600</v>
      </c>
      <c r="I1289"/>
      <c r="J1289"/>
      <c r="K1289">
        <v>1</v>
      </c>
      <c r="L1289" t="s">
        <v>172</v>
      </c>
      <c r="N1289">
        <v>0.3422313483915127</v>
      </c>
      <c r="O1289" s="3">
        <v>0</v>
      </c>
      <c r="P1289">
        <v>20</v>
      </c>
      <c r="Q1289">
        <v>7</v>
      </c>
      <c r="R1289" t="s">
        <v>102</v>
      </c>
      <c r="S1289">
        <v>0</v>
      </c>
      <c r="T1289" s="6">
        <f>10^-(14-Q1289)</f>
        <v>9.9999999999999995E-8</v>
      </c>
      <c r="U1289" s="6">
        <v>0</v>
      </c>
      <c r="V1289" s="6">
        <v>0</v>
      </c>
      <c r="W1289" s="6">
        <v>0</v>
      </c>
      <c r="X1289" s="6">
        <v>0</v>
      </c>
      <c r="Y1289" t="s">
        <v>171</v>
      </c>
      <c r="Z1289" s="5">
        <v>0</v>
      </c>
      <c r="AA1289"/>
      <c r="AB1289"/>
      <c r="AC1289"/>
      <c r="AD1289">
        <v>0.16666666666666666</v>
      </c>
      <c r="AE1289">
        <v>428</v>
      </c>
      <c r="AF1289">
        <v>1</v>
      </c>
      <c r="AL1289" s="9">
        <v>18</v>
      </c>
      <c r="AM1289" s="9">
        <v>8</v>
      </c>
    </row>
    <row r="1290" spans="1:39" x14ac:dyDescent="0.3">
      <c r="A1290" t="s">
        <v>1475</v>
      </c>
      <c r="B1290" s="1" t="s">
        <v>1593</v>
      </c>
      <c r="C1290">
        <v>64</v>
      </c>
      <c r="D1290" s="8">
        <v>1.4300999999999999</v>
      </c>
      <c r="E1290">
        <v>600</v>
      </c>
      <c r="I1290"/>
      <c r="J1290"/>
      <c r="K1290">
        <v>1</v>
      </c>
      <c r="L1290" t="s">
        <v>172</v>
      </c>
      <c r="N1290">
        <v>0.3422313483915127</v>
      </c>
      <c r="O1290" s="3">
        <v>0</v>
      </c>
      <c r="P1290">
        <v>20</v>
      </c>
      <c r="Q1290">
        <v>7</v>
      </c>
      <c r="R1290" t="s">
        <v>102</v>
      </c>
      <c r="S1290">
        <v>0</v>
      </c>
      <c r="T1290" s="6">
        <f>10^-(14-Q1290)</f>
        <v>9.9999999999999995E-8</v>
      </c>
      <c r="U1290" s="6">
        <v>0</v>
      </c>
      <c r="V1290" s="6">
        <v>0</v>
      </c>
      <c r="W1290" s="6">
        <v>0</v>
      </c>
      <c r="X1290" s="6">
        <v>0</v>
      </c>
      <c r="Y1290" t="s">
        <v>171</v>
      </c>
      <c r="Z1290" s="5">
        <v>0</v>
      </c>
      <c r="AA1290"/>
      <c r="AB1290"/>
      <c r="AC1290"/>
      <c r="AD1290">
        <v>0.16666666666666666</v>
      </c>
      <c r="AE1290">
        <v>364</v>
      </c>
      <c r="AF1290">
        <v>1</v>
      </c>
      <c r="AL1290" s="9">
        <v>18</v>
      </c>
      <c r="AM1290" s="9">
        <v>8</v>
      </c>
    </row>
    <row r="1291" spans="1:39" x14ac:dyDescent="0.3">
      <c r="A1291" t="s">
        <v>1476</v>
      </c>
      <c r="B1291" s="1" t="s">
        <v>1593</v>
      </c>
      <c r="C1291">
        <v>64</v>
      </c>
      <c r="D1291" s="8">
        <v>1.4300999999999999</v>
      </c>
      <c r="E1291">
        <v>600</v>
      </c>
      <c r="I1291"/>
      <c r="J1291"/>
      <c r="K1291">
        <v>1</v>
      </c>
      <c r="L1291" t="s">
        <v>172</v>
      </c>
      <c r="N1291">
        <v>0.3422313483915127</v>
      </c>
      <c r="O1291" s="3">
        <v>0</v>
      </c>
      <c r="P1291">
        <v>20</v>
      </c>
      <c r="Q1291">
        <v>7</v>
      </c>
      <c r="R1291" t="s">
        <v>102</v>
      </c>
      <c r="S1291">
        <v>0</v>
      </c>
      <c r="T1291" s="6">
        <f>10^-(14-Q1291)</f>
        <v>9.9999999999999995E-8</v>
      </c>
      <c r="U1291" s="6">
        <v>0</v>
      </c>
      <c r="V1291" s="6">
        <v>0</v>
      </c>
      <c r="W1291" s="6">
        <v>0</v>
      </c>
      <c r="X1291" s="6">
        <v>0</v>
      </c>
      <c r="Y1291" t="s">
        <v>171</v>
      </c>
      <c r="Z1291" s="5">
        <v>0</v>
      </c>
      <c r="AA1291"/>
      <c r="AB1291"/>
      <c r="AC1291"/>
      <c r="AD1291">
        <v>0.16666666666666666</v>
      </c>
      <c r="AE1291">
        <v>434</v>
      </c>
      <c r="AF1291">
        <v>1</v>
      </c>
      <c r="AL1291" s="9">
        <v>18</v>
      </c>
      <c r="AM1291" s="9">
        <v>8</v>
      </c>
    </row>
    <row r="1292" spans="1:39" x14ac:dyDescent="0.3">
      <c r="A1292" t="s">
        <v>1477</v>
      </c>
      <c r="B1292" s="1" t="s">
        <v>1593</v>
      </c>
      <c r="C1292">
        <v>64</v>
      </c>
      <c r="D1292" s="8">
        <v>1.4300999999999999</v>
      </c>
      <c r="E1292">
        <v>600</v>
      </c>
      <c r="I1292"/>
      <c r="J1292"/>
      <c r="K1292">
        <v>1</v>
      </c>
      <c r="L1292" t="s">
        <v>172</v>
      </c>
      <c r="N1292">
        <v>0.3422313483915127</v>
      </c>
      <c r="O1292" s="3">
        <v>0</v>
      </c>
      <c r="P1292">
        <v>20</v>
      </c>
      <c r="Q1292">
        <v>7</v>
      </c>
      <c r="R1292" t="s">
        <v>102</v>
      </c>
      <c r="S1292">
        <v>0</v>
      </c>
      <c r="T1292" s="6">
        <f>10^-(14-Q1292)</f>
        <v>9.9999999999999995E-8</v>
      </c>
      <c r="U1292" s="6">
        <v>0</v>
      </c>
      <c r="V1292" s="6">
        <v>0</v>
      </c>
      <c r="W1292" s="6">
        <v>0</v>
      </c>
      <c r="X1292" s="6">
        <v>0</v>
      </c>
      <c r="Y1292" t="s">
        <v>171</v>
      </c>
      <c r="Z1292" s="5">
        <v>0</v>
      </c>
      <c r="AA1292"/>
      <c r="AB1292"/>
      <c r="AC1292"/>
      <c r="AD1292">
        <v>0.16666666666666666</v>
      </c>
      <c r="AE1292">
        <v>417</v>
      </c>
      <c r="AF1292">
        <v>1</v>
      </c>
      <c r="AL1292" s="9">
        <v>18</v>
      </c>
      <c r="AM1292" s="9">
        <v>8</v>
      </c>
    </row>
    <row r="1293" spans="1:39" x14ac:dyDescent="0.3">
      <c r="A1293" t="s">
        <v>1478</v>
      </c>
      <c r="B1293" s="1" t="s">
        <v>1593</v>
      </c>
      <c r="C1293">
        <v>64</v>
      </c>
      <c r="D1293" s="8" t="s">
        <v>1479</v>
      </c>
      <c r="E1293">
        <v>600</v>
      </c>
      <c r="I1293"/>
      <c r="J1293"/>
      <c r="K1293">
        <v>1</v>
      </c>
      <c r="L1293" t="s">
        <v>172</v>
      </c>
      <c r="N1293">
        <v>0.3422313483915127</v>
      </c>
      <c r="O1293" s="3">
        <v>0</v>
      </c>
      <c r="P1293">
        <v>20</v>
      </c>
      <c r="Q1293">
        <v>7</v>
      </c>
      <c r="R1293" t="s">
        <v>102</v>
      </c>
      <c r="S1293">
        <v>0</v>
      </c>
      <c r="T1293" s="6">
        <f>10^-(14-Q1293)</f>
        <v>9.9999999999999995E-8</v>
      </c>
      <c r="U1293" s="6">
        <v>0</v>
      </c>
      <c r="V1293" s="6">
        <v>0</v>
      </c>
      <c r="W1293" s="6">
        <v>0</v>
      </c>
      <c r="X1293" s="6">
        <v>0</v>
      </c>
      <c r="Y1293" t="s">
        <v>171</v>
      </c>
      <c r="Z1293" s="5">
        <v>100</v>
      </c>
      <c r="AA1293"/>
      <c r="AB1293"/>
      <c r="AC1293"/>
      <c r="AD1293">
        <v>0.16666666666666666</v>
      </c>
      <c r="AE1293">
        <v>825</v>
      </c>
      <c r="AF1293">
        <v>1</v>
      </c>
    </row>
    <row r="1294" spans="1:39" x14ac:dyDescent="0.3">
      <c r="A1294" t="s">
        <v>1480</v>
      </c>
      <c r="B1294" s="1" t="s">
        <v>1593</v>
      </c>
      <c r="C1294">
        <v>64</v>
      </c>
      <c r="D1294" s="8" t="s">
        <v>1479</v>
      </c>
      <c r="E1294">
        <v>600</v>
      </c>
      <c r="I1294"/>
      <c r="J1294"/>
      <c r="K1294">
        <v>1</v>
      </c>
      <c r="L1294" t="s">
        <v>172</v>
      </c>
      <c r="N1294">
        <v>0.3422313483915127</v>
      </c>
      <c r="O1294" s="3">
        <v>0</v>
      </c>
      <c r="P1294">
        <v>20</v>
      </c>
      <c r="Q1294">
        <v>7</v>
      </c>
      <c r="R1294" t="s">
        <v>102</v>
      </c>
      <c r="S1294">
        <v>0</v>
      </c>
      <c r="T1294" s="6">
        <f>10^-(14-Q1294)</f>
        <v>9.9999999999999995E-8</v>
      </c>
      <c r="U1294" s="6">
        <v>0</v>
      </c>
      <c r="V1294" s="6">
        <v>0</v>
      </c>
      <c r="W1294" s="6">
        <v>0</v>
      </c>
      <c r="X1294" s="6">
        <v>0</v>
      </c>
      <c r="Y1294" t="s">
        <v>171</v>
      </c>
      <c r="Z1294" s="5">
        <v>100</v>
      </c>
      <c r="AA1294"/>
      <c r="AB1294"/>
      <c r="AC1294"/>
      <c r="AD1294">
        <v>0.16666666666666666</v>
      </c>
      <c r="AE1294">
        <v>436</v>
      </c>
      <c r="AF1294">
        <v>1</v>
      </c>
    </row>
    <row r="1295" spans="1:39" x14ac:dyDescent="0.3">
      <c r="A1295" t="s">
        <v>1481</v>
      </c>
      <c r="B1295" s="1" t="s">
        <v>1593</v>
      </c>
      <c r="C1295">
        <v>64</v>
      </c>
      <c r="D1295" s="8" t="s">
        <v>1479</v>
      </c>
      <c r="E1295">
        <v>600</v>
      </c>
      <c r="I1295"/>
      <c r="J1295"/>
      <c r="K1295">
        <v>1</v>
      </c>
      <c r="L1295" t="s">
        <v>172</v>
      </c>
      <c r="N1295">
        <v>0.3422313483915127</v>
      </c>
      <c r="O1295" s="3">
        <v>0</v>
      </c>
      <c r="P1295">
        <v>20</v>
      </c>
      <c r="Q1295">
        <v>7</v>
      </c>
      <c r="R1295" t="s">
        <v>102</v>
      </c>
      <c r="S1295">
        <v>0</v>
      </c>
      <c r="T1295" s="6">
        <f>10^-(14-Q1295)</f>
        <v>9.9999999999999995E-8</v>
      </c>
      <c r="U1295" s="6">
        <v>0</v>
      </c>
      <c r="V1295" s="6">
        <v>0</v>
      </c>
      <c r="W1295" s="6">
        <v>0</v>
      </c>
      <c r="X1295" s="6">
        <v>0</v>
      </c>
      <c r="Y1295" t="s">
        <v>171</v>
      </c>
      <c r="Z1295" s="5">
        <v>100</v>
      </c>
      <c r="AA1295"/>
      <c r="AB1295"/>
      <c r="AC1295"/>
      <c r="AD1295">
        <v>0.16666666666666666</v>
      </c>
      <c r="AE1295">
        <v>945</v>
      </c>
      <c r="AF1295">
        <v>1</v>
      </c>
    </row>
    <row r="1296" spans="1:39" x14ac:dyDescent="0.3">
      <c r="A1296" t="s">
        <v>1482</v>
      </c>
      <c r="B1296" s="1" t="s">
        <v>1593</v>
      </c>
      <c r="C1296">
        <v>64</v>
      </c>
      <c r="D1296" s="8" t="s">
        <v>1479</v>
      </c>
      <c r="E1296">
        <v>600</v>
      </c>
      <c r="I1296"/>
      <c r="J1296"/>
      <c r="K1296">
        <v>1</v>
      </c>
      <c r="L1296" t="s">
        <v>172</v>
      </c>
      <c r="N1296">
        <v>0.3422313483915127</v>
      </c>
      <c r="O1296" s="3">
        <v>0</v>
      </c>
      <c r="P1296">
        <v>20</v>
      </c>
      <c r="Q1296">
        <v>7</v>
      </c>
      <c r="R1296" t="s">
        <v>102</v>
      </c>
      <c r="S1296">
        <v>0</v>
      </c>
      <c r="T1296" s="6">
        <f>10^-(14-Q1296)</f>
        <v>9.9999999999999995E-8</v>
      </c>
      <c r="U1296" s="6">
        <v>0</v>
      </c>
      <c r="V1296" s="6">
        <v>0</v>
      </c>
      <c r="W1296" s="6">
        <v>0</v>
      </c>
      <c r="X1296" s="6">
        <v>0</v>
      </c>
      <c r="Y1296" t="s">
        <v>171</v>
      </c>
      <c r="Z1296" s="5">
        <v>100</v>
      </c>
      <c r="AA1296"/>
      <c r="AB1296"/>
      <c r="AC1296"/>
      <c r="AD1296">
        <v>0.16666666666666666</v>
      </c>
      <c r="AE1296">
        <v>894</v>
      </c>
      <c r="AF1296">
        <v>1</v>
      </c>
    </row>
    <row r="1297" spans="1:41" x14ac:dyDescent="0.3">
      <c r="A1297" t="s">
        <v>1483</v>
      </c>
      <c r="B1297" s="1" t="s">
        <v>1593</v>
      </c>
      <c r="C1297">
        <v>64</v>
      </c>
      <c r="D1297" s="8" t="s">
        <v>1479</v>
      </c>
      <c r="E1297">
        <v>600</v>
      </c>
      <c r="I1297"/>
      <c r="J1297"/>
      <c r="K1297">
        <v>1</v>
      </c>
      <c r="L1297" t="s">
        <v>172</v>
      </c>
      <c r="N1297">
        <v>0.3422313483915127</v>
      </c>
      <c r="O1297" s="3">
        <v>0</v>
      </c>
      <c r="P1297">
        <v>20</v>
      </c>
      <c r="Q1297">
        <v>7</v>
      </c>
      <c r="R1297" t="s">
        <v>102</v>
      </c>
      <c r="S1297">
        <v>0</v>
      </c>
      <c r="T1297" s="6">
        <f>10^-(14-Q1297)</f>
        <v>9.9999999999999995E-8</v>
      </c>
      <c r="U1297" s="6">
        <v>0</v>
      </c>
      <c r="V1297" s="6">
        <v>0</v>
      </c>
      <c r="W1297" s="6">
        <v>0</v>
      </c>
      <c r="X1297" s="6">
        <v>0</v>
      </c>
      <c r="Y1297" t="s">
        <v>171</v>
      </c>
      <c r="Z1297" s="5">
        <v>100</v>
      </c>
      <c r="AA1297"/>
      <c r="AB1297"/>
      <c r="AC1297"/>
      <c r="AD1297">
        <v>0.16666666666666666</v>
      </c>
      <c r="AE1297">
        <v>1008</v>
      </c>
      <c r="AF1297">
        <v>1</v>
      </c>
    </row>
    <row r="1298" spans="1:41" x14ac:dyDescent="0.3">
      <c r="A1298" t="s">
        <v>581</v>
      </c>
      <c r="B1298" s="1" t="s">
        <v>1610</v>
      </c>
      <c r="C1298">
        <v>65</v>
      </c>
      <c r="D1298" s="8">
        <v>1.4300999999999999</v>
      </c>
      <c r="E1298">
        <v>14000</v>
      </c>
      <c r="G1298" t="s">
        <v>591</v>
      </c>
      <c r="H1298">
        <v>0</v>
      </c>
      <c r="I1298" s="4">
        <v>-1.5</v>
      </c>
      <c r="J1298" s="3">
        <v>0.2</v>
      </c>
      <c r="N1298" s="3">
        <v>0.17111567419575635</v>
      </c>
      <c r="O1298" s="3">
        <v>0</v>
      </c>
      <c r="P1298">
        <v>22.5</v>
      </c>
      <c r="Q1298">
        <v>0</v>
      </c>
      <c r="R1298" t="s">
        <v>772</v>
      </c>
      <c r="S1298">
        <v>4</v>
      </c>
      <c r="T1298" s="6">
        <f>10^-(14-Q1298)</f>
        <v>1E-14</v>
      </c>
      <c r="U1298" s="6">
        <v>4</v>
      </c>
      <c r="V1298" s="6">
        <v>0</v>
      </c>
      <c r="W1298" s="6">
        <v>0</v>
      </c>
      <c r="X1298" s="6">
        <v>0</v>
      </c>
      <c r="Y1298" t="s">
        <v>171</v>
      </c>
      <c r="Z1298" s="5">
        <v>-427</v>
      </c>
      <c r="AA1298" s="3">
        <v>4.944</v>
      </c>
      <c r="AB1298" s="2">
        <v>3.2000000000000001E-2</v>
      </c>
      <c r="AC1298" s="2">
        <v>1.6E-2</v>
      </c>
      <c r="AD1298">
        <v>1.6666666666666667</v>
      </c>
      <c r="AE1298">
        <v>746</v>
      </c>
      <c r="AF1298">
        <v>1</v>
      </c>
      <c r="AL1298" s="9">
        <v>18.11</v>
      </c>
      <c r="AM1298" s="9">
        <v>8.32</v>
      </c>
    </row>
    <row r="1299" spans="1:41" x14ac:dyDescent="0.3">
      <c r="A1299" t="s">
        <v>582</v>
      </c>
      <c r="B1299" s="1" t="s">
        <v>1610</v>
      </c>
      <c r="C1299">
        <v>65</v>
      </c>
      <c r="D1299" s="8">
        <v>1.4300999999999999</v>
      </c>
      <c r="E1299">
        <v>14000</v>
      </c>
      <c r="G1299" t="s">
        <v>591</v>
      </c>
      <c r="H1299">
        <v>0</v>
      </c>
      <c r="I1299" s="4">
        <v>-1.5</v>
      </c>
      <c r="J1299" s="3">
        <v>0.2</v>
      </c>
      <c r="N1299" s="3">
        <v>0.3422313483915127</v>
      </c>
      <c r="O1299" s="3">
        <v>0</v>
      </c>
      <c r="P1299">
        <v>22.5</v>
      </c>
      <c r="Q1299">
        <v>0</v>
      </c>
      <c r="R1299" t="s">
        <v>772</v>
      </c>
      <c r="S1299">
        <v>4</v>
      </c>
      <c r="T1299" s="6">
        <f>10^-(14-Q1299)</f>
        <v>1E-14</v>
      </c>
      <c r="U1299" s="6">
        <v>4</v>
      </c>
      <c r="V1299" s="6">
        <v>0</v>
      </c>
      <c r="W1299" s="6">
        <v>0</v>
      </c>
      <c r="X1299" s="6">
        <v>0</v>
      </c>
      <c r="Y1299" t="s">
        <v>171</v>
      </c>
      <c r="Z1299" s="5">
        <v>-349</v>
      </c>
      <c r="AA1299" s="3">
        <v>5.04</v>
      </c>
      <c r="AB1299" s="2">
        <v>0.04</v>
      </c>
      <c r="AC1299" s="2">
        <v>0.13</v>
      </c>
      <c r="AD1299">
        <v>1.6666666666666667</v>
      </c>
      <c r="AE1299">
        <v>688</v>
      </c>
      <c r="AF1299">
        <v>1</v>
      </c>
      <c r="AL1299" s="9">
        <v>18.11</v>
      </c>
      <c r="AM1299" s="9">
        <v>8.32</v>
      </c>
    </row>
    <row r="1300" spans="1:41" x14ac:dyDescent="0.3">
      <c r="A1300" t="s">
        <v>583</v>
      </c>
      <c r="B1300" s="1" t="s">
        <v>1610</v>
      </c>
      <c r="C1300">
        <v>65</v>
      </c>
      <c r="D1300" s="8">
        <v>1.4300999999999999</v>
      </c>
      <c r="E1300">
        <v>14000</v>
      </c>
      <c r="G1300" t="s">
        <v>591</v>
      </c>
      <c r="H1300">
        <v>0</v>
      </c>
      <c r="I1300" s="4">
        <v>-1.5</v>
      </c>
      <c r="J1300" s="3">
        <v>0.2</v>
      </c>
      <c r="N1300" s="3">
        <v>0.51334702258726905</v>
      </c>
      <c r="O1300" s="3">
        <v>0</v>
      </c>
      <c r="P1300">
        <v>22.5</v>
      </c>
      <c r="Q1300">
        <v>0</v>
      </c>
      <c r="R1300" t="s">
        <v>772</v>
      </c>
      <c r="S1300">
        <v>4</v>
      </c>
      <c r="T1300" s="6">
        <f>10^-(14-Q1300)</f>
        <v>1E-14</v>
      </c>
      <c r="U1300" s="6">
        <v>4</v>
      </c>
      <c r="V1300" s="6">
        <v>0</v>
      </c>
      <c r="W1300" s="6">
        <v>0</v>
      </c>
      <c r="X1300" s="6">
        <v>0</v>
      </c>
      <c r="Y1300" t="s">
        <v>171</v>
      </c>
      <c r="Z1300" s="5">
        <v>-410</v>
      </c>
      <c r="AA1300" s="3">
        <v>5.3369999999999997</v>
      </c>
      <c r="AB1300" s="2">
        <v>3.5000000000000003E-2</v>
      </c>
      <c r="AC1300" s="2">
        <v>0.03</v>
      </c>
      <c r="AD1300">
        <v>1.6666666666666667</v>
      </c>
      <c r="AE1300">
        <v>446</v>
      </c>
      <c r="AF1300">
        <v>1</v>
      </c>
      <c r="AL1300" s="9">
        <v>18.11</v>
      </c>
      <c r="AM1300" s="9">
        <v>8.32</v>
      </c>
    </row>
    <row r="1301" spans="1:41" x14ac:dyDescent="0.3">
      <c r="A1301" t="s">
        <v>584</v>
      </c>
      <c r="B1301" s="1" t="s">
        <v>1610</v>
      </c>
      <c r="C1301">
        <v>65</v>
      </c>
      <c r="D1301" s="8">
        <v>1.4300999999999999</v>
      </c>
      <c r="E1301">
        <v>14000</v>
      </c>
      <c r="G1301" t="s">
        <v>591</v>
      </c>
      <c r="H1301">
        <v>0</v>
      </c>
      <c r="I1301" s="4">
        <v>-1.5</v>
      </c>
      <c r="J1301" s="3">
        <v>0.2</v>
      </c>
      <c r="N1301" s="3">
        <v>0.6844626967830254</v>
      </c>
      <c r="O1301" s="3">
        <v>0</v>
      </c>
      <c r="P1301">
        <v>22.5</v>
      </c>
      <c r="Q1301">
        <v>0</v>
      </c>
      <c r="R1301" t="s">
        <v>772</v>
      </c>
      <c r="S1301">
        <v>4</v>
      </c>
      <c r="T1301" s="6">
        <f>10^-(14-Q1301)</f>
        <v>1E-14</v>
      </c>
      <c r="U1301" s="6">
        <v>4</v>
      </c>
      <c r="V1301" s="6">
        <v>0</v>
      </c>
      <c r="W1301" s="6">
        <v>0</v>
      </c>
      <c r="X1301" s="6">
        <v>0</v>
      </c>
      <c r="Y1301" t="s">
        <v>171</v>
      </c>
      <c r="Z1301" s="5">
        <v>-334</v>
      </c>
      <c r="AA1301" s="3">
        <v>5.4370000000000003</v>
      </c>
      <c r="AB1301" s="2">
        <v>5.6000000000000001E-2</v>
      </c>
      <c r="AC1301" s="2">
        <v>8.1000000000000003E-2</v>
      </c>
      <c r="AD1301">
        <v>1.6666666666666667</v>
      </c>
      <c r="AE1301">
        <v>346</v>
      </c>
      <c r="AF1301">
        <v>1</v>
      </c>
      <c r="AL1301" s="9">
        <v>18.11</v>
      </c>
      <c r="AM1301" s="9">
        <v>8.32</v>
      </c>
    </row>
    <row r="1302" spans="1:41" x14ac:dyDescent="0.3">
      <c r="A1302" t="s">
        <v>585</v>
      </c>
      <c r="B1302" s="1" t="s">
        <v>1610</v>
      </c>
      <c r="C1302">
        <v>65</v>
      </c>
      <c r="D1302" s="8">
        <v>1.4300999999999999</v>
      </c>
      <c r="E1302">
        <v>14000</v>
      </c>
      <c r="G1302" t="s">
        <v>591</v>
      </c>
      <c r="H1302">
        <v>0</v>
      </c>
      <c r="I1302" s="4">
        <v>-1.5</v>
      </c>
      <c r="J1302" s="3">
        <v>0.2</v>
      </c>
      <c r="N1302" s="3">
        <v>0.85557837097878164</v>
      </c>
      <c r="O1302" s="3">
        <v>0</v>
      </c>
      <c r="P1302">
        <v>22.5</v>
      </c>
      <c r="Q1302">
        <v>0</v>
      </c>
      <c r="R1302" t="s">
        <v>772</v>
      </c>
      <c r="S1302">
        <v>4</v>
      </c>
      <c r="T1302" s="6">
        <f>10^-(14-Q1302)</f>
        <v>1E-14</v>
      </c>
      <c r="U1302" s="6">
        <v>4</v>
      </c>
      <c r="V1302" s="6">
        <v>0</v>
      </c>
      <c r="W1302" s="6">
        <v>0</v>
      </c>
      <c r="X1302" s="6">
        <v>0</v>
      </c>
      <c r="Y1302" t="s">
        <v>171</v>
      </c>
      <c r="Z1302" s="5">
        <v>-331</v>
      </c>
      <c r="AA1302" s="3">
        <v>5.5609999999999999</v>
      </c>
      <c r="AB1302" s="2">
        <v>0.89</v>
      </c>
      <c r="AC1302" s="2">
        <v>1.119</v>
      </c>
      <c r="AD1302">
        <v>1.6666666666666667</v>
      </c>
      <c r="AE1302">
        <v>653</v>
      </c>
      <c r="AF1302">
        <v>1</v>
      </c>
      <c r="AL1302" s="9">
        <v>18.11</v>
      </c>
      <c r="AM1302" s="9">
        <v>8.32</v>
      </c>
    </row>
    <row r="1303" spans="1:41" x14ac:dyDescent="0.3">
      <c r="A1303" t="s">
        <v>586</v>
      </c>
      <c r="B1303" s="1" t="s">
        <v>1610</v>
      </c>
      <c r="C1303">
        <v>65</v>
      </c>
      <c r="D1303" s="8">
        <v>1.4300999999999999</v>
      </c>
      <c r="E1303">
        <v>14000</v>
      </c>
      <c r="G1303" t="s">
        <v>591</v>
      </c>
      <c r="H1303">
        <v>-1</v>
      </c>
      <c r="I1303" s="4">
        <v>-1.5</v>
      </c>
      <c r="J1303" s="3">
        <v>0.2</v>
      </c>
      <c r="N1303" s="3">
        <v>0.17111567419575635</v>
      </c>
      <c r="O1303" s="3">
        <v>0</v>
      </c>
      <c r="P1303">
        <v>22.5</v>
      </c>
      <c r="Q1303">
        <v>-1</v>
      </c>
      <c r="R1303" t="s">
        <v>773</v>
      </c>
      <c r="S1303">
        <v>10</v>
      </c>
      <c r="T1303" s="6">
        <f>10^-(14-Q1303)</f>
        <v>1.0000000000000001E-15</v>
      </c>
      <c r="U1303" s="6">
        <v>10</v>
      </c>
      <c r="V1303" s="6">
        <v>0</v>
      </c>
      <c r="W1303" s="6">
        <v>0</v>
      </c>
      <c r="X1303" s="6">
        <v>0</v>
      </c>
      <c r="Y1303" t="s">
        <v>171</v>
      </c>
      <c r="Z1303" s="5">
        <v>-415</v>
      </c>
      <c r="AA1303" s="3">
        <v>8.6709999999999994</v>
      </c>
      <c r="AB1303" s="2">
        <v>0.03</v>
      </c>
      <c r="AC1303" s="2">
        <v>0.01</v>
      </c>
      <c r="AD1303">
        <v>1.6666666666666667</v>
      </c>
      <c r="AE1303">
        <v>1123</v>
      </c>
      <c r="AF1303">
        <v>1</v>
      </c>
      <c r="AL1303" s="9">
        <v>18.11</v>
      </c>
      <c r="AM1303" s="9">
        <v>8.32</v>
      </c>
    </row>
    <row r="1304" spans="1:41" x14ac:dyDescent="0.3">
      <c r="A1304" t="s">
        <v>587</v>
      </c>
      <c r="B1304" s="1" t="s">
        <v>1610</v>
      </c>
      <c r="C1304">
        <v>65</v>
      </c>
      <c r="D1304" s="8">
        <v>1.4300999999999999</v>
      </c>
      <c r="E1304">
        <v>14000</v>
      </c>
      <c r="G1304" t="s">
        <v>591</v>
      </c>
      <c r="H1304">
        <v>-1</v>
      </c>
      <c r="I1304" s="4">
        <v>-1.5</v>
      </c>
      <c r="J1304" s="3">
        <v>0.2</v>
      </c>
      <c r="N1304" s="3">
        <v>0.3422313483915127</v>
      </c>
      <c r="O1304" s="3">
        <v>0</v>
      </c>
      <c r="P1304">
        <v>22.5</v>
      </c>
      <c r="Q1304">
        <v>-1</v>
      </c>
      <c r="R1304" t="s">
        <v>773</v>
      </c>
      <c r="S1304">
        <v>10</v>
      </c>
      <c r="T1304" s="6">
        <f>10^-(14-Q1304)</f>
        <v>1.0000000000000001E-15</v>
      </c>
      <c r="U1304" s="6">
        <v>10</v>
      </c>
      <c r="V1304" s="6">
        <v>0</v>
      </c>
      <c r="W1304" s="6">
        <v>0</v>
      </c>
      <c r="X1304" s="6">
        <v>0</v>
      </c>
      <c r="Y1304" t="s">
        <v>171</v>
      </c>
      <c r="Z1304" s="5">
        <v>-352</v>
      </c>
      <c r="AA1304" s="3">
        <v>9.093</v>
      </c>
      <c r="AB1304" s="2">
        <v>0.14399999999999999</v>
      </c>
      <c r="AC1304" s="2">
        <v>0.01</v>
      </c>
      <c r="AD1304">
        <v>1.6666666666666667</v>
      </c>
      <c r="AE1304">
        <v>988</v>
      </c>
      <c r="AF1304">
        <v>1</v>
      </c>
      <c r="AL1304" s="9">
        <v>18.11</v>
      </c>
      <c r="AM1304" s="9">
        <v>8.32</v>
      </c>
    </row>
    <row r="1305" spans="1:41" x14ac:dyDescent="0.3">
      <c r="A1305" t="s">
        <v>588</v>
      </c>
      <c r="B1305" s="1" t="s">
        <v>1610</v>
      </c>
      <c r="C1305">
        <v>65</v>
      </c>
      <c r="D1305" s="8">
        <v>1.4300999999999999</v>
      </c>
      <c r="E1305">
        <v>14000</v>
      </c>
      <c r="G1305" t="s">
        <v>591</v>
      </c>
      <c r="H1305">
        <v>-1</v>
      </c>
      <c r="I1305" s="4">
        <v>-1.5</v>
      </c>
      <c r="J1305" s="3">
        <v>0.2</v>
      </c>
      <c r="N1305" s="3">
        <v>0.51334702258726905</v>
      </c>
      <c r="O1305" s="3">
        <v>0</v>
      </c>
      <c r="P1305">
        <v>22.5</v>
      </c>
      <c r="Q1305">
        <v>-1</v>
      </c>
      <c r="R1305" t="s">
        <v>773</v>
      </c>
      <c r="S1305">
        <v>10</v>
      </c>
      <c r="T1305" s="6">
        <f>10^-(14-Q1305)</f>
        <v>1.0000000000000001E-15</v>
      </c>
      <c r="U1305" s="6">
        <v>10</v>
      </c>
      <c r="V1305" s="6">
        <v>0</v>
      </c>
      <c r="W1305" s="6">
        <v>0</v>
      </c>
      <c r="X1305" s="6">
        <v>0</v>
      </c>
      <c r="Y1305" t="s">
        <v>171</v>
      </c>
      <c r="Z1305" s="5">
        <v>-412</v>
      </c>
      <c r="AA1305" s="3">
        <v>9.1549999999999994</v>
      </c>
      <c r="AB1305" s="2">
        <v>4.3999999999999997E-2</v>
      </c>
      <c r="AC1305" s="2">
        <v>3.5000000000000003E-2</v>
      </c>
      <c r="AD1305">
        <v>1.6666666666666667</v>
      </c>
      <c r="AE1305">
        <v>88</v>
      </c>
      <c r="AF1305">
        <v>1</v>
      </c>
      <c r="AL1305" s="9">
        <v>18.11</v>
      </c>
      <c r="AM1305" s="9">
        <v>8.32</v>
      </c>
    </row>
    <row r="1306" spans="1:41" x14ac:dyDescent="0.3">
      <c r="A1306" t="s">
        <v>589</v>
      </c>
      <c r="B1306" s="1" t="s">
        <v>1610</v>
      </c>
      <c r="C1306">
        <v>65</v>
      </c>
      <c r="D1306" s="8">
        <v>1.4300999999999999</v>
      </c>
      <c r="E1306">
        <v>14000</v>
      </c>
      <c r="G1306" t="s">
        <v>591</v>
      </c>
      <c r="H1306">
        <v>-1</v>
      </c>
      <c r="I1306" s="4">
        <v>-1.5</v>
      </c>
      <c r="J1306" s="3">
        <v>0.2</v>
      </c>
      <c r="N1306" s="3">
        <v>0.6844626967830254</v>
      </c>
      <c r="O1306" s="3">
        <v>0</v>
      </c>
      <c r="P1306">
        <v>22.5</v>
      </c>
      <c r="Q1306">
        <v>-1</v>
      </c>
      <c r="R1306" t="s">
        <v>773</v>
      </c>
      <c r="S1306">
        <v>10</v>
      </c>
      <c r="T1306" s="6">
        <f>10^-(14-Q1306)</f>
        <v>1.0000000000000001E-15</v>
      </c>
      <c r="U1306" s="6">
        <v>10</v>
      </c>
      <c r="V1306" s="6">
        <v>0</v>
      </c>
      <c r="W1306" s="6">
        <v>0</v>
      </c>
      <c r="X1306" s="6">
        <v>0</v>
      </c>
      <c r="Y1306" t="s">
        <v>171</v>
      </c>
      <c r="Z1306" s="5">
        <v>-363</v>
      </c>
      <c r="AA1306" s="3">
        <v>9.1850000000000005</v>
      </c>
      <c r="AB1306" s="2">
        <v>5.3999999999999999E-2</v>
      </c>
      <c r="AC1306" s="2">
        <v>0.14099999999999999</v>
      </c>
      <c r="AD1306">
        <v>1.6666666666666667</v>
      </c>
      <c r="AE1306">
        <v>746</v>
      </c>
      <c r="AF1306">
        <v>1</v>
      </c>
      <c r="AL1306" s="9">
        <v>18.11</v>
      </c>
      <c r="AM1306" s="9">
        <v>8.32</v>
      </c>
    </row>
    <row r="1307" spans="1:41" x14ac:dyDescent="0.3">
      <c r="A1307" t="s">
        <v>590</v>
      </c>
      <c r="B1307" s="1" t="s">
        <v>1610</v>
      </c>
      <c r="C1307">
        <v>65</v>
      </c>
      <c r="D1307" s="8">
        <v>1.4300999999999999</v>
      </c>
      <c r="E1307">
        <v>14000</v>
      </c>
      <c r="G1307" t="s">
        <v>591</v>
      </c>
      <c r="H1307">
        <v>-1</v>
      </c>
      <c r="I1307" s="4">
        <v>-1.5</v>
      </c>
      <c r="J1307" s="3">
        <v>0.2</v>
      </c>
      <c r="N1307" s="3">
        <v>0.85557837097878164</v>
      </c>
      <c r="O1307" s="3">
        <v>0</v>
      </c>
      <c r="P1307">
        <v>22.5</v>
      </c>
      <c r="Q1307">
        <v>-1</v>
      </c>
      <c r="R1307" t="s">
        <v>773</v>
      </c>
      <c r="S1307">
        <v>10</v>
      </c>
      <c r="T1307" s="6">
        <f>10^-(14-Q1307)</f>
        <v>1.0000000000000001E-15</v>
      </c>
      <c r="U1307" s="6">
        <v>10</v>
      </c>
      <c r="V1307" s="6">
        <v>0</v>
      </c>
      <c r="W1307" s="6">
        <v>0</v>
      </c>
      <c r="X1307" s="6">
        <v>0</v>
      </c>
      <c r="Y1307" t="s">
        <v>171</v>
      </c>
      <c r="Z1307" s="5">
        <v>-322</v>
      </c>
      <c r="AA1307" s="3">
        <v>9.5180000000000007</v>
      </c>
      <c r="AB1307" s="2">
        <v>0.16300000000000001</v>
      </c>
      <c r="AC1307" s="2">
        <v>0.34899999999999998</v>
      </c>
      <c r="AD1307">
        <v>1.6666666666666667</v>
      </c>
      <c r="AE1307">
        <v>532</v>
      </c>
      <c r="AF1307">
        <v>1</v>
      </c>
      <c r="AL1307" s="9">
        <v>18.11</v>
      </c>
      <c r="AM1307" s="9">
        <v>8.32</v>
      </c>
    </row>
    <row r="1308" spans="1:41" x14ac:dyDescent="0.3">
      <c r="A1308" t="s">
        <v>1024</v>
      </c>
      <c r="B1308" t="s">
        <v>1619</v>
      </c>
      <c r="C1308">
        <v>66</v>
      </c>
      <c r="D1308" s="8">
        <v>430</v>
      </c>
      <c r="E1308">
        <v>1200</v>
      </c>
      <c r="G1308" t="s">
        <v>29</v>
      </c>
      <c r="K1308" s="4">
        <v>1</v>
      </c>
      <c r="L1308" t="s">
        <v>139</v>
      </c>
      <c r="N1308" s="3">
        <v>0.6</v>
      </c>
      <c r="O1308" s="3">
        <v>0</v>
      </c>
      <c r="P1308">
        <v>25</v>
      </c>
      <c r="Q1308">
        <v>4</v>
      </c>
      <c r="R1308" t="s">
        <v>102</v>
      </c>
      <c r="S1308">
        <v>0</v>
      </c>
      <c r="T1308" s="6">
        <f>10^-(14-Q1308)</f>
        <v>1E-10</v>
      </c>
      <c r="U1308" s="6">
        <v>0</v>
      </c>
      <c r="V1308" s="6">
        <v>0</v>
      </c>
      <c r="W1308" s="6">
        <v>0</v>
      </c>
      <c r="X1308" s="6">
        <v>0</v>
      </c>
      <c r="Y1308" t="s">
        <v>171</v>
      </c>
      <c r="Z1308" s="5">
        <v>-250</v>
      </c>
      <c r="AD1308">
        <v>1</v>
      </c>
      <c r="AE1308">
        <v>75</v>
      </c>
      <c r="AF1308">
        <v>1</v>
      </c>
      <c r="AG1308" s="9">
        <v>0.01</v>
      </c>
      <c r="AH1308" s="9">
        <v>0.3</v>
      </c>
      <c r="AI1308" s="9">
        <v>0.31</v>
      </c>
      <c r="AK1308" s="9">
        <v>5.0000000000000001E-4</v>
      </c>
      <c r="AL1308" s="9">
        <v>16.16</v>
      </c>
      <c r="AM1308" s="9">
        <v>0.28999999999999998</v>
      </c>
      <c r="AN1308" s="9">
        <v>0.05</v>
      </c>
      <c r="AO1308" s="9">
        <v>0.03</v>
      </c>
    </row>
    <row r="1309" spans="1:41" x14ac:dyDescent="0.3">
      <c r="A1309" t="s">
        <v>1025</v>
      </c>
      <c r="B1309" t="s">
        <v>1619</v>
      </c>
      <c r="C1309">
        <v>66</v>
      </c>
      <c r="D1309" s="8">
        <v>430</v>
      </c>
      <c r="E1309">
        <v>1200</v>
      </c>
      <c r="G1309" t="s">
        <v>29</v>
      </c>
      <c r="K1309" s="4">
        <v>1</v>
      </c>
      <c r="L1309" t="s">
        <v>139</v>
      </c>
      <c r="N1309" s="3">
        <v>0.6</v>
      </c>
      <c r="O1309" s="3">
        <v>0</v>
      </c>
      <c r="P1309">
        <v>25</v>
      </c>
      <c r="Q1309">
        <v>7</v>
      </c>
      <c r="R1309" t="s">
        <v>1014</v>
      </c>
      <c r="S1309">
        <v>0.05</v>
      </c>
      <c r="T1309" s="6">
        <f>10^-(14-Q1309)</f>
        <v>9.9999999999999995E-8</v>
      </c>
      <c r="U1309" s="6">
        <v>0</v>
      </c>
      <c r="V1309" s="6">
        <v>0.05</v>
      </c>
      <c r="W1309" s="6">
        <v>0</v>
      </c>
      <c r="X1309" s="6">
        <v>0</v>
      </c>
      <c r="Y1309" t="s">
        <v>171</v>
      </c>
      <c r="Z1309" s="5">
        <v>-250</v>
      </c>
      <c r="AD1309">
        <v>1</v>
      </c>
      <c r="AE1309">
        <v>100</v>
      </c>
      <c r="AF1309">
        <v>1</v>
      </c>
      <c r="AG1309" s="9">
        <v>0.01</v>
      </c>
      <c r="AH1309" s="9">
        <v>0.3</v>
      </c>
      <c r="AI1309" s="9">
        <v>0.31</v>
      </c>
      <c r="AK1309" s="9">
        <v>5.0000000000000001E-4</v>
      </c>
      <c r="AL1309" s="9">
        <v>16.16</v>
      </c>
      <c r="AM1309" s="9">
        <v>0.28999999999999998</v>
      </c>
      <c r="AN1309" s="9">
        <v>0.05</v>
      </c>
      <c r="AO1309" s="9">
        <v>0.03</v>
      </c>
    </row>
    <row r="1310" spans="1:41" x14ac:dyDescent="0.3">
      <c r="A1310" t="s">
        <v>1026</v>
      </c>
      <c r="B1310" t="s">
        <v>1619</v>
      </c>
      <c r="C1310">
        <v>66</v>
      </c>
      <c r="D1310" s="8">
        <v>430</v>
      </c>
      <c r="E1310">
        <v>1200</v>
      </c>
      <c r="G1310" t="s">
        <v>29</v>
      </c>
      <c r="K1310" s="4">
        <v>1</v>
      </c>
      <c r="L1310" t="s">
        <v>139</v>
      </c>
      <c r="N1310" s="3">
        <v>0.6</v>
      </c>
      <c r="O1310" s="3">
        <v>0</v>
      </c>
      <c r="P1310">
        <v>25</v>
      </c>
      <c r="Q1310">
        <v>10</v>
      </c>
      <c r="R1310" t="s">
        <v>1014</v>
      </c>
      <c r="S1310">
        <v>0.05</v>
      </c>
      <c r="T1310" s="6">
        <f>10^-(14-Q1310)</f>
        <v>1E-4</v>
      </c>
      <c r="U1310" s="6">
        <v>0</v>
      </c>
      <c r="V1310" s="6">
        <v>0.05</v>
      </c>
      <c r="W1310" s="6">
        <v>0</v>
      </c>
      <c r="X1310" s="6">
        <v>0</v>
      </c>
      <c r="Y1310" t="s">
        <v>171</v>
      </c>
      <c r="Z1310" s="5">
        <v>-250</v>
      </c>
      <c r="AD1310">
        <v>1</v>
      </c>
      <c r="AE1310">
        <v>180</v>
      </c>
      <c r="AF1310">
        <v>1</v>
      </c>
      <c r="AG1310" s="9">
        <v>0.01</v>
      </c>
      <c r="AH1310" s="9">
        <v>0.3</v>
      </c>
      <c r="AI1310" s="9">
        <v>0.31</v>
      </c>
      <c r="AK1310" s="9">
        <v>5.0000000000000001E-4</v>
      </c>
      <c r="AL1310" s="9">
        <v>16.16</v>
      </c>
      <c r="AM1310" s="9">
        <v>0.28999999999999998</v>
      </c>
      <c r="AN1310" s="9">
        <v>0.05</v>
      </c>
      <c r="AO1310" s="9">
        <v>0.03</v>
      </c>
    </row>
    <row r="1311" spans="1:41" x14ac:dyDescent="0.3">
      <c r="A1311" t="s">
        <v>1027</v>
      </c>
      <c r="B1311" t="s">
        <v>1619</v>
      </c>
      <c r="C1311">
        <v>66</v>
      </c>
      <c r="D1311" s="8">
        <v>430</v>
      </c>
      <c r="E1311">
        <v>1200</v>
      </c>
      <c r="G1311" t="s">
        <v>29</v>
      </c>
      <c r="K1311" s="4">
        <v>1</v>
      </c>
      <c r="L1311" t="s">
        <v>139</v>
      </c>
      <c r="N1311" s="3">
        <v>0.6</v>
      </c>
      <c r="O1311" s="3">
        <v>0</v>
      </c>
      <c r="P1311">
        <v>50</v>
      </c>
      <c r="Q1311">
        <v>10</v>
      </c>
      <c r="R1311" t="s">
        <v>1014</v>
      </c>
      <c r="S1311">
        <v>0.05</v>
      </c>
      <c r="T1311" s="6">
        <f>10^-(14-Q1311)</f>
        <v>1E-4</v>
      </c>
      <c r="U1311" s="6">
        <v>0</v>
      </c>
      <c r="V1311" s="6">
        <v>0.05</v>
      </c>
      <c r="W1311" s="6">
        <v>0</v>
      </c>
      <c r="X1311" s="6">
        <v>0</v>
      </c>
      <c r="Y1311" t="s">
        <v>171</v>
      </c>
      <c r="Z1311" s="5">
        <v>-250</v>
      </c>
      <c r="AD1311">
        <v>1</v>
      </c>
      <c r="AE1311">
        <v>80</v>
      </c>
      <c r="AF1311">
        <v>1</v>
      </c>
      <c r="AG1311" s="9">
        <v>0.01</v>
      </c>
      <c r="AH1311" s="9">
        <v>0.3</v>
      </c>
      <c r="AI1311" s="9">
        <v>0.31</v>
      </c>
      <c r="AK1311" s="9">
        <v>5.0000000000000001E-4</v>
      </c>
      <c r="AL1311" s="9">
        <v>16.16</v>
      </c>
      <c r="AM1311" s="9">
        <v>0.28999999999999998</v>
      </c>
      <c r="AN1311" s="9">
        <v>0.05</v>
      </c>
      <c r="AO1311" s="9">
        <v>0.03</v>
      </c>
    </row>
    <row r="1312" spans="1:41" x14ac:dyDescent="0.3">
      <c r="A1312" t="s">
        <v>1028</v>
      </c>
      <c r="B1312" t="s">
        <v>1619</v>
      </c>
      <c r="C1312">
        <v>66</v>
      </c>
      <c r="D1312" s="8">
        <v>430</v>
      </c>
      <c r="E1312">
        <v>1200</v>
      </c>
      <c r="G1312" t="s">
        <v>29</v>
      </c>
      <c r="K1312" s="4">
        <v>1</v>
      </c>
      <c r="L1312" t="s">
        <v>139</v>
      </c>
      <c r="N1312" s="3">
        <v>0.6</v>
      </c>
      <c r="O1312" s="3">
        <v>0</v>
      </c>
      <c r="P1312">
        <v>75</v>
      </c>
      <c r="Q1312">
        <v>10</v>
      </c>
      <c r="R1312" t="s">
        <v>1014</v>
      </c>
      <c r="S1312">
        <v>0.05</v>
      </c>
      <c r="T1312" s="6">
        <f>10^-(14-Q1312)</f>
        <v>1E-4</v>
      </c>
      <c r="U1312" s="6">
        <v>0</v>
      </c>
      <c r="V1312" s="6">
        <v>0.05</v>
      </c>
      <c r="W1312" s="6">
        <v>0</v>
      </c>
      <c r="X1312" s="6">
        <v>0</v>
      </c>
      <c r="Y1312" t="s">
        <v>171</v>
      </c>
      <c r="Z1312" s="5">
        <v>-250</v>
      </c>
      <c r="AD1312">
        <v>1</v>
      </c>
      <c r="AE1312">
        <v>50</v>
      </c>
      <c r="AF1312">
        <v>1</v>
      </c>
      <c r="AG1312" s="9">
        <v>0.01</v>
      </c>
      <c r="AH1312" s="9">
        <v>0.3</v>
      </c>
      <c r="AI1312" s="9">
        <v>0.31</v>
      </c>
      <c r="AK1312" s="9">
        <v>5.0000000000000001E-4</v>
      </c>
      <c r="AL1312" s="9">
        <v>16.16</v>
      </c>
      <c r="AM1312" s="9">
        <v>0.28999999999999998</v>
      </c>
      <c r="AN1312" s="9">
        <v>0.05</v>
      </c>
      <c r="AO1312" s="9">
        <v>0.03</v>
      </c>
    </row>
    <row r="1313" spans="1:41" x14ac:dyDescent="0.3">
      <c r="A1313" t="s">
        <v>1029</v>
      </c>
      <c r="B1313" t="s">
        <v>1619</v>
      </c>
      <c r="C1313">
        <v>66</v>
      </c>
      <c r="D1313" s="8">
        <v>434</v>
      </c>
      <c r="E1313">
        <v>1200</v>
      </c>
      <c r="G1313" t="s">
        <v>29</v>
      </c>
      <c r="K1313" s="4">
        <v>1</v>
      </c>
      <c r="L1313" t="s">
        <v>139</v>
      </c>
      <c r="N1313" s="3">
        <v>0.6</v>
      </c>
      <c r="O1313" s="3">
        <v>0</v>
      </c>
      <c r="P1313">
        <v>25</v>
      </c>
      <c r="Q1313">
        <v>4</v>
      </c>
      <c r="R1313" t="s">
        <v>102</v>
      </c>
      <c r="S1313">
        <v>0</v>
      </c>
      <c r="T1313" s="6">
        <f>10^-(14-Q1313)</f>
        <v>1E-10</v>
      </c>
      <c r="U1313" s="6">
        <v>0</v>
      </c>
      <c r="V1313" s="6">
        <v>0</v>
      </c>
      <c r="W1313" s="6">
        <v>0</v>
      </c>
      <c r="X1313" s="6">
        <v>0</v>
      </c>
      <c r="Y1313" t="s">
        <v>171</v>
      </c>
      <c r="Z1313" s="5">
        <v>-180</v>
      </c>
      <c r="AD1313">
        <v>1</v>
      </c>
      <c r="AE1313">
        <v>120</v>
      </c>
      <c r="AF1313">
        <v>1</v>
      </c>
      <c r="AG1313" s="9">
        <v>0.03</v>
      </c>
      <c r="AH1313" s="9">
        <v>0.39</v>
      </c>
      <c r="AI1313" s="9">
        <v>0.39</v>
      </c>
      <c r="AK1313" s="9">
        <v>2.3E-3</v>
      </c>
      <c r="AL1313" s="9">
        <v>16.170000000000002</v>
      </c>
      <c r="AM1313" s="9">
        <v>0.45</v>
      </c>
      <c r="AN1313" s="9">
        <v>0.92</v>
      </c>
      <c r="AO1313" s="9">
        <v>0.05</v>
      </c>
    </row>
    <row r="1314" spans="1:41" x14ac:dyDescent="0.3">
      <c r="A1314" t="s">
        <v>1030</v>
      </c>
      <c r="B1314" t="s">
        <v>1619</v>
      </c>
      <c r="C1314">
        <v>66</v>
      </c>
      <c r="D1314" s="8">
        <v>434</v>
      </c>
      <c r="E1314">
        <v>1200</v>
      </c>
      <c r="G1314" t="s">
        <v>29</v>
      </c>
      <c r="K1314" s="4">
        <v>1</v>
      </c>
      <c r="L1314" t="s">
        <v>139</v>
      </c>
      <c r="N1314" s="3">
        <v>0.6</v>
      </c>
      <c r="O1314" s="3">
        <v>0</v>
      </c>
      <c r="P1314">
        <v>25</v>
      </c>
      <c r="Q1314">
        <v>7</v>
      </c>
      <c r="R1314" t="s">
        <v>1014</v>
      </c>
      <c r="S1314">
        <v>0.05</v>
      </c>
      <c r="T1314" s="6">
        <f>10^-(14-Q1314)</f>
        <v>9.9999999999999995E-8</v>
      </c>
      <c r="U1314" s="6">
        <v>0</v>
      </c>
      <c r="V1314" s="6">
        <v>0.05</v>
      </c>
      <c r="W1314" s="6">
        <v>0</v>
      </c>
      <c r="X1314" s="6">
        <v>0</v>
      </c>
      <c r="Y1314" t="s">
        <v>171</v>
      </c>
      <c r="Z1314" s="5">
        <v>-200</v>
      </c>
      <c r="AD1314">
        <v>1</v>
      </c>
      <c r="AE1314">
        <v>125</v>
      </c>
      <c r="AF1314">
        <v>1</v>
      </c>
      <c r="AG1314" s="9">
        <v>0.03</v>
      </c>
      <c r="AH1314" s="9">
        <v>0.39</v>
      </c>
      <c r="AI1314" s="9">
        <v>0.39</v>
      </c>
      <c r="AK1314" s="9">
        <v>2.3E-3</v>
      </c>
      <c r="AL1314" s="9">
        <v>16.170000000000002</v>
      </c>
      <c r="AM1314" s="9">
        <v>0.45</v>
      </c>
      <c r="AN1314" s="9">
        <v>0.92</v>
      </c>
      <c r="AO1314" s="9">
        <v>0.05</v>
      </c>
    </row>
    <row r="1315" spans="1:41" x14ac:dyDescent="0.3">
      <c r="A1315" t="s">
        <v>1031</v>
      </c>
      <c r="B1315" t="s">
        <v>1619</v>
      </c>
      <c r="C1315">
        <v>66</v>
      </c>
      <c r="D1315" s="8">
        <v>434</v>
      </c>
      <c r="E1315">
        <v>1200</v>
      </c>
      <c r="G1315" t="s">
        <v>29</v>
      </c>
      <c r="K1315" s="4">
        <v>1</v>
      </c>
      <c r="L1315" t="s">
        <v>139</v>
      </c>
      <c r="N1315" s="3">
        <v>0.6</v>
      </c>
      <c r="O1315" s="3">
        <v>0</v>
      </c>
      <c r="P1315">
        <v>25</v>
      </c>
      <c r="Q1315">
        <v>10</v>
      </c>
      <c r="R1315" t="s">
        <v>1014</v>
      </c>
      <c r="S1315">
        <v>0.05</v>
      </c>
      <c r="T1315" s="6">
        <f>10^-(14-Q1315)</f>
        <v>1E-4</v>
      </c>
      <c r="U1315" s="6">
        <v>0</v>
      </c>
      <c r="V1315" s="6">
        <v>0.05</v>
      </c>
      <c r="W1315" s="6">
        <v>0</v>
      </c>
      <c r="X1315" s="6">
        <v>0</v>
      </c>
      <c r="Y1315" t="s">
        <v>171</v>
      </c>
      <c r="Z1315" s="5">
        <v>-250</v>
      </c>
      <c r="AD1315">
        <v>1</v>
      </c>
      <c r="AE1315">
        <v>180</v>
      </c>
      <c r="AF1315">
        <v>1</v>
      </c>
      <c r="AG1315" s="9">
        <v>0.03</v>
      </c>
      <c r="AH1315" s="9">
        <v>0.39</v>
      </c>
      <c r="AI1315" s="9">
        <v>0.39</v>
      </c>
      <c r="AK1315" s="9">
        <v>2.3E-3</v>
      </c>
      <c r="AL1315" s="9">
        <v>16.170000000000002</v>
      </c>
      <c r="AM1315" s="9">
        <v>0.45</v>
      </c>
      <c r="AN1315" s="9">
        <v>0.92</v>
      </c>
      <c r="AO1315" s="9">
        <v>0.05</v>
      </c>
    </row>
    <row r="1316" spans="1:41" x14ac:dyDescent="0.3">
      <c r="A1316" t="s">
        <v>1032</v>
      </c>
      <c r="B1316" t="s">
        <v>1619</v>
      </c>
      <c r="C1316">
        <v>66</v>
      </c>
      <c r="D1316" s="8">
        <v>434</v>
      </c>
      <c r="E1316">
        <v>1200</v>
      </c>
      <c r="G1316" t="s">
        <v>29</v>
      </c>
      <c r="K1316" s="4">
        <v>1</v>
      </c>
      <c r="L1316" t="s">
        <v>139</v>
      </c>
      <c r="N1316" s="3">
        <v>0.6</v>
      </c>
      <c r="O1316" s="3">
        <v>0</v>
      </c>
      <c r="P1316">
        <v>50</v>
      </c>
      <c r="Q1316">
        <v>10</v>
      </c>
      <c r="R1316" t="s">
        <v>1014</v>
      </c>
      <c r="S1316">
        <v>0.05</v>
      </c>
      <c r="T1316" s="6">
        <f>10^-(14-Q1316)</f>
        <v>1E-4</v>
      </c>
      <c r="U1316" s="6">
        <v>0</v>
      </c>
      <c r="V1316" s="6">
        <v>0.05</v>
      </c>
      <c r="W1316" s="6">
        <v>0</v>
      </c>
      <c r="X1316" s="6">
        <v>0</v>
      </c>
      <c r="Y1316" t="s">
        <v>171</v>
      </c>
      <c r="Z1316" s="5">
        <v>-250</v>
      </c>
      <c r="AD1316">
        <v>1</v>
      </c>
      <c r="AE1316">
        <v>100</v>
      </c>
      <c r="AF1316">
        <v>1</v>
      </c>
      <c r="AG1316" s="9">
        <v>0.03</v>
      </c>
      <c r="AH1316" s="9">
        <v>0.39</v>
      </c>
      <c r="AI1316" s="9">
        <v>0.39</v>
      </c>
      <c r="AK1316" s="9">
        <v>2.3E-3</v>
      </c>
      <c r="AL1316" s="9">
        <v>16.170000000000002</v>
      </c>
      <c r="AM1316" s="9">
        <v>0.45</v>
      </c>
      <c r="AN1316" s="9">
        <v>0.92</v>
      </c>
      <c r="AO1316" s="9">
        <v>0.05</v>
      </c>
    </row>
    <row r="1317" spans="1:41" x14ac:dyDescent="0.3">
      <c r="A1317" t="s">
        <v>1033</v>
      </c>
      <c r="B1317" t="s">
        <v>1619</v>
      </c>
      <c r="C1317">
        <v>66</v>
      </c>
      <c r="D1317" s="8">
        <v>434</v>
      </c>
      <c r="E1317">
        <v>1200</v>
      </c>
      <c r="G1317" t="s">
        <v>29</v>
      </c>
      <c r="K1317" s="4">
        <v>1</v>
      </c>
      <c r="L1317" t="s">
        <v>139</v>
      </c>
      <c r="N1317" s="3">
        <v>0.6</v>
      </c>
      <c r="O1317" s="3">
        <v>0</v>
      </c>
      <c r="P1317">
        <v>75</v>
      </c>
      <c r="Q1317">
        <v>10</v>
      </c>
      <c r="R1317" t="s">
        <v>1014</v>
      </c>
      <c r="S1317">
        <v>0.05</v>
      </c>
      <c r="T1317" s="6">
        <f>10^-(14-Q1317)</f>
        <v>1E-4</v>
      </c>
      <c r="U1317" s="6">
        <v>0</v>
      </c>
      <c r="V1317" s="6">
        <v>0.05</v>
      </c>
      <c r="W1317" s="6">
        <v>0</v>
      </c>
      <c r="X1317" s="6">
        <v>0</v>
      </c>
      <c r="Y1317" t="s">
        <v>171</v>
      </c>
      <c r="Z1317" s="5">
        <v>-250</v>
      </c>
      <c r="AD1317">
        <v>1</v>
      </c>
      <c r="AE1317">
        <v>75</v>
      </c>
      <c r="AF1317">
        <v>1</v>
      </c>
      <c r="AG1317" s="9">
        <v>0.03</v>
      </c>
      <c r="AH1317" s="9">
        <v>0.39</v>
      </c>
      <c r="AI1317" s="9">
        <v>0.39</v>
      </c>
      <c r="AK1317" s="9">
        <v>2.3E-3</v>
      </c>
      <c r="AL1317" s="9">
        <v>16.170000000000002</v>
      </c>
      <c r="AM1317" s="9">
        <v>0.45</v>
      </c>
      <c r="AN1317" s="9">
        <v>0.92</v>
      </c>
      <c r="AO1317" s="9">
        <v>0.05</v>
      </c>
    </row>
    <row r="1318" spans="1:41" x14ac:dyDescent="0.3">
      <c r="A1318" t="s">
        <v>1019</v>
      </c>
      <c r="B1318" t="s">
        <v>1619</v>
      </c>
      <c r="C1318">
        <v>66</v>
      </c>
      <c r="D1318" s="8" t="s">
        <v>1629</v>
      </c>
      <c r="E1318">
        <v>1200</v>
      </c>
      <c r="G1318" t="s">
        <v>29</v>
      </c>
      <c r="K1318" s="4">
        <v>1</v>
      </c>
      <c r="L1318" t="s">
        <v>139</v>
      </c>
      <c r="N1318" s="3">
        <v>0.6</v>
      </c>
      <c r="O1318" s="3">
        <v>0</v>
      </c>
      <c r="P1318">
        <v>25</v>
      </c>
      <c r="Q1318">
        <v>0.6</v>
      </c>
      <c r="R1318" t="s">
        <v>102</v>
      </c>
      <c r="S1318">
        <v>0</v>
      </c>
      <c r="T1318" s="6">
        <f>10^-(14-Q1318)</f>
        <v>3.9810717055349592E-14</v>
      </c>
      <c r="U1318" s="6">
        <v>0</v>
      </c>
      <c r="V1318" s="6">
        <v>0</v>
      </c>
      <c r="W1318" s="6">
        <v>0</v>
      </c>
      <c r="X1318" s="6">
        <v>0</v>
      </c>
      <c r="Y1318" t="s">
        <v>171</v>
      </c>
      <c r="Z1318" s="5">
        <v>-280</v>
      </c>
      <c r="AD1318">
        <v>1</v>
      </c>
      <c r="AE1318">
        <v>200</v>
      </c>
      <c r="AF1318">
        <v>1</v>
      </c>
      <c r="AG1318" s="9">
        <v>0.01</v>
      </c>
      <c r="AH1318" s="9">
        <v>0.73</v>
      </c>
      <c r="AI1318" s="9">
        <v>0.49</v>
      </c>
      <c r="AK1318" s="9">
        <v>1E-3</v>
      </c>
      <c r="AL1318" s="9">
        <v>16.89</v>
      </c>
      <c r="AM1318" s="9">
        <v>11.08</v>
      </c>
      <c r="AN1318" s="9">
        <v>2.17</v>
      </c>
      <c r="AO1318" s="9">
        <v>0.03</v>
      </c>
    </row>
    <row r="1319" spans="1:41" x14ac:dyDescent="0.3">
      <c r="A1319" t="s">
        <v>1020</v>
      </c>
      <c r="B1319" t="s">
        <v>1619</v>
      </c>
      <c r="C1319">
        <v>66</v>
      </c>
      <c r="D1319" s="8" t="s">
        <v>1629</v>
      </c>
      <c r="E1319">
        <v>1200</v>
      </c>
      <c r="G1319" t="s">
        <v>29</v>
      </c>
      <c r="K1319" s="4">
        <v>1</v>
      </c>
      <c r="L1319" t="s">
        <v>139</v>
      </c>
      <c r="N1319" s="3">
        <v>0.6</v>
      </c>
      <c r="O1319" s="3">
        <v>0</v>
      </c>
      <c r="P1319">
        <v>25</v>
      </c>
      <c r="Q1319">
        <v>10</v>
      </c>
      <c r="R1319" t="s">
        <v>1014</v>
      </c>
      <c r="S1319">
        <v>0.05</v>
      </c>
      <c r="T1319" s="6">
        <f>10^-(14-Q1319)</f>
        <v>1E-4</v>
      </c>
      <c r="U1319" s="6">
        <v>0</v>
      </c>
      <c r="V1319" s="6">
        <v>0.05</v>
      </c>
      <c r="W1319" s="6">
        <v>0</v>
      </c>
      <c r="X1319" s="6">
        <v>0</v>
      </c>
      <c r="Y1319" t="s">
        <v>171</v>
      </c>
      <c r="Z1319" s="5">
        <v>-280</v>
      </c>
      <c r="AD1319">
        <v>1</v>
      </c>
      <c r="AE1319">
        <v>400</v>
      </c>
      <c r="AF1319">
        <v>1</v>
      </c>
      <c r="AG1319" s="9">
        <v>0.01</v>
      </c>
      <c r="AH1319" s="9">
        <v>0.73</v>
      </c>
      <c r="AI1319" s="9">
        <v>0.49</v>
      </c>
      <c r="AK1319" s="9">
        <v>1E-3</v>
      </c>
      <c r="AL1319" s="9">
        <v>16.89</v>
      </c>
      <c r="AM1319" s="9">
        <v>11.08</v>
      </c>
      <c r="AN1319" s="9">
        <v>2.17</v>
      </c>
      <c r="AO1319" s="9">
        <v>0.03</v>
      </c>
    </row>
    <row r="1320" spans="1:41" x14ac:dyDescent="0.3">
      <c r="A1320" t="s">
        <v>1021</v>
      </c>
      <c r="B1320" t="s">
        <v>1619</v>
      </c>
      <c r="C1320">
        <v>66</v>
      </c>
      <c r="D1320" s="8" t="s">
        <v>1629</v>
      </c>
      <c r="E1320">
        <v>1200</v>
      </c>
      <c r="G1320" t="s">
        <v>29</v>
      </c>
      <c r="K1320" s="4">
        <v>1</v>
      </c>
      <c r="L1320" t="s">
        <v>139</v>
      </c>
      <c r="N1320" s="3">
        <v>0.6</v>
      </c>
      <c r="O1320" s="3">
        <v>0</v>
      </c>
      <c r="P1320">
        <v>50</v>
      </c>
      <c r="Q1320">
        <v>10</v>
      </c>
      <c r="R1320" t="s">
        <v>1014</v>
      </c>
      <c r="S1320">
        <v>0.05</v>
      </c>
      <c r="T1320" s="6">
        <f>10^-(14-Q1320)</f>
        <v>1E-4</v>
      </c>
      <c r="U1320" s="6">
        <v>0</v>
      </c>
      <c r="V1320" s="6">
        <v>0.05</v>
      </c>
      <c r="W1320" s="6">
        <v>0</v>
      </c>
      <c r="X1320" s="6">
        <v>0</v>
      </c>
      <c r="Y1320" t="s">
        <v>171</v>
      </c>
      <c r="Z1320" s="5">
        <v>-280</v>
      </c>
      <c r="AD1320">
        <v>1</v>
      </c>
      <c r="AE1320">
        <v>200</v>
      </c>
      <c r="AF1320">
        <v>1</v>
      </c>
      <c r="AG1320" s="9">
        <v>0.01</v>
      </c>
      <c r="AH1320" s="9">
        <v>0.73</v>
      </c>
      <c r="AI1320" s="9">
        <v>0.49</v>
      </c>
      <c r="AK1320" s="9">
        <v>1E-3</v>
      </c>
      <c r="AL1320" s="9">
        <v>16.89</v>
      </c>
      <c r="AM1320" s="9">
        <v>11.08</v>
      </c>
      <c r="AN1320" s="9">
        <v>2.17</v>
      </c>
      <c r="AO1320" s="9">
        <v>0.03</v>
      </c>
    </row>
    <row r="1321" spans="1:41" x14ac:dyDescent="0.3">
      <c r="A1321" t="s">
        <v>1022</v>
      </c>
      <c r="B1321" t="s">
        <v>1619</v>
      </c>
      <c r="C1321">
        <v>66</v>
      </c>
      <c r="D1321" s="8" t="s">
        <v>1629</v>
      </c>
      <c r="E1321">
        <v>1200</v>
      </c>
      <c r="G1321" t="s">
        <v>29</v>
      </c>
      <c r="K1321" s="4">
        <v>1</v>
      </c>
      <c r="L1321" t="s">
        <v>139</v>
      </c>
      <c r="N1321" s="3">
        <v>0.6</v>
      </c>
      <c r="O1321" s="3">
        <v>0</v>
      </c>
      <c r="P1321">
        <v>75</v>
      </c>
      <c r="Q1321">
        <v>10</v>
      </c>
      <c r="R1321" t="s">
        <v>1014</v>
      </c>
      <c r="S1321">
        <v>0.05</v>
      </c>
      <c r="T1321" s="6">
        <f>10^-(14-Q1321)</f>
        <v>1E-4</v>
      </c>
      <c r="U1321" s="6">
        <v>0</v>
      </c>
      <c r="V1321" s="6">
        <v>0.05</v>
      </c>
      <c r="W1321" s="6">
        <v>0</v>
      </c>
      <c r="X1321" s="6">
        <v>0</v>
      </c>
      <c r="Y1321" t="s">
        <v>171</v>
      </c>
      <c r="Z1321" s="5">
        <v>-280</v>
      </c>
      <c r="AD1321">
        <v>1</v>
      </c>
      <c r="AE1321">
        <v>180</v>
      </c>
      <c r="AF1321">
        <v>1</v>
      </c>
      <c r="AG1321" s="9">
        <v>0.01</v>
      </c>
      <c r="AH1321" s="9">
        <v>0.73</v>
      </c>
      <c r="AI1321" s="9">
        <v>0.49</v>
      </c>
      <c r="AK1321" s="9">
        <v>1E-3</v>
      </c>
      <c r="AL1321" s="9">
        <v>16.89</v>
      </c>
      <c r="AM1321" s="9">
        <v>11.08</v>
      </c>
      <c r="AN1321" s="9">
        <v>2.17</v>
      </c>
      <c r="AO1321" s="9">
        <v>0.03</v>
      </c>
    </row>
    <row r="1322" spans="1:41" x14ac:dyDescent="0.3">
      <c r="A1322" t="s">
        <v>1023</v>
      </c>
      <c r="B1322" t="s">
        <v>1619</v>
      </c>
      <c r="C1322">
        <v>66</v>
      </c>
      <c r="D1322" s="8" t="s">
        <v>1629</v>
      </c>
      <c r="E1322">
        <v>1200</v>
      </c>
      <c r="G1322" t="s">
        <v>29</v>
      </c>
      <c r="K1322" s="4">
        <v>1</v>
      </c>
      <c r="L1322" t="s">
        <v>139</v>
      </c>
      <c r="N1322" s="3">
        <v>0.6</v>
      </c>
      <c r="O1322" s="3">
        <v>0</v>
      </c>
      <c r="P1322">
        <v>25</v>
      </c>
      <c r="Q1322">
        <v>12.5</v>
      </c>
      <c r="R1322" t="s">
        <v>1014</v>
      </c>
      <c r="S1322">
        <v>0.05</v>
      </c>
      <c r="T1322" s="6">
        <f>10^-(14-Q1322)</f>
        <v>3.1622776601683784E-2</v>
      </c>
      <c r="U1322" s="6">
        <v>0</v>
      </c>
      <c r="V1322" s="6">
        <v>0.05</v>
      </c>
      <c r="W1322" s="6">
        <v>0</v>
      </c>
      <c r="X1322" s="6">
        <v>0</v>
      </c>
      <c r="Y1322" t="s">
        <v>171</v>
      </c>
      <c r="Z1322" s="5">
        <v>-350</v>
      </c>
      <c r="AD1322">
        <v>1</v>
      </c>
      <c r="AE1322">
        <v>460</v>
      </c>
      <c r="AF1322">
        <v>1</v>
      </c>
      <c r="AG1322" s="9">
        <v>0.01</v>
      </c>
      <c r="AH1322" s="9">
        <v>0.73</v>
      </c>
      <c r="AI1322" s="9">
        <v>0.49</v>
      </c>
      <c r="AK1322" s="9">
        <v>1E-3</v>
      </c>
      <c r="AL1322" s="9">
        <v>16.89</v>
      </c>
      <c r="AM1322" s="9">
        <v>11.08</v>
      </c>
      <c r="AN1322" s="9">
        <v>2.17</v>
      </c>
      <c r="AO1322" s="9">
        <v>0.03</v>
      </c>
    </row>
    <row r="1323" spans="1:41" x14ac:dyDescent="0.3">
      <c r="A1323" t="s">
        <v>1013</v>
      </c>
      <c r="B1323" t="s">
        <v>1619</v>
      </c>
      <c r="C1323">
        <v>66</v>
      </c>
      <c r="D1323" s="8" t="s">
        <v>1631</v>
      </c>
      <c r="E1323">
        <v>1200</v>
      </c>
      <c r="G1323" t="s">
        <v>29</v>
      </c>
      <c r="K1323" s="4">
        <v>1</v>
      </c>
      <c r="L1323" t="s">
        <v>139</v>
      </c>
      <c r="N1323" s="3">
        <v>0.6</v>
      </c>
      <c r="O1323" s="3">
        <v>0</v>
      </c>
      <c r="P1323">
        <v>25</v>
      </c>
      <c r="Q1323">
        <v>0.6</v>
      </c>
      <c r="R1323" t="s">
        <v>102</v>
      </c>
      <c r="S1323">
        <v>0</v>
      </c>
      <c r="T1323" s="6">
        <f>10^-(14-Q1323)</f>
        <v>3.9810717055349592E-14</v>
      </c>
      <c r="U1323" s="6">
        <v>0</v>
      </c>
      <c r="V1323" s="6">
        <v>0</v>
      </c>
      <c r="W1323" s="6">
        <v>0</v>
      </c>
      <c r="X1323" s="6">
        <v>0</v>
      </c>
      <c r="Y1323" t="s">
        <v>171</v>
      </c>
      <c r="Z1323" s="5">
        <v>-400</v>
      </c>
      <c r="AD1323">
        <v>1</v>
      </c>
      <c r="AE1323">
        <v>-300</v>
      </c>
      <c r="AF1323">
        <v>1</v>
      </c>
      <c r="AG1323" s="9">
        <v>0.02</v>
      </c>
      <c r="AH1323" s="9">
        <v>0.6</v>
      </c>
      <c r="AI1323" s="9">
        <v>0.49</v>
      </c>
      <c r="AK1323" s="9">
        <v>8.9999999999999998E-4</v>
      </c>
      <c r="AL1323" s="9">
        <v>18.29</v>
      </c>
      <c r="AM1323" s="9">
        <v>11.12</v>
      </c>
      <c r="AN1323" s="9">
        <v>0.21</v>
      </c>
      <c r="AO1323" s="9">
        <v>0.03</v>
      </c>
    </row>
    <row r="1324" spans="1:41" x14ac:dyDescent="0.3">
      <c r="A1324" t="s">
        <v>1015</v>
      </c>
      <c r="B1324" t="s">
        <v>1619</v>
      </c>
      <c r="C1324">
        <v>66</v>
      </c>
      <c r="D1324" s="8" t="s">
        <v>1631</v>
      </c>
      <c r="E1324">
        <v>1200</v>
      </c>
      <c r="G1324" t="s">
        <v>29</v>
      </c>
      <c r="K1324" s="4">
        <v>1</v>
      </c>
      <c r="L1324" t="s">
        <v>139</v>
      </c>
      <c r="N1324" s="3">
        <v>0.6</v>
      </c>
      <c r="O1324" s="3">
        <v>0</v>
      </c>
      <c r="P1324">
        <v>25</v>
      </c>
      <c r="Q1324">
        <v>10</v>
      </c>
      <c r="R1324" t="s">
        <v>1014</v>
      </c>
      <c r="S1324">
        <v>0.05</v>
      </c>
      <c r="T1324" s="6">
        <f>10^-(14-Q1324)</f>
        <v>1E-4</v>
      </c>
      <c r="U1324" s="6">
        <v>0</v>
      </c>
      <c r="V1324" s="6">
        <v>0.05</v>
      </c>
      <c r="W1324" s="6">
        <v>0</v>
      </c>
      <c r="X1324" s="6">
        <v>0</v>
      </c>
      <c r="Y1324" t="s">
        <v>171</v>
      </c>
      <c r="Z1324" s="5">
        <v>-300</v>
      </c>
      <c r="AD1324">
        <v>1</v>
      </c>
      <c r="AE1324">
        <v>450</v>
      </c>
      <c r="AF1324">
        <v>1</v>
      </c>
      <c r="AG1324" s="9">
        <v>0.02</v>
      </c>
      <c r="AH1324" s="9">
        <v>0.6</v>
      </c>
      <c r="AI1324" s="9">
        <v>0.49</v>
      </c>
      <c r="AK1324" s="9">
        <v>8.9999999999999998E-4</v>
      </c>
      <c r="AL1324" s="9">
        <v>18.29</v>
      </c>
      <c r="AM1324" s="9">
        <v>11.12</v>
      </c>
      <c r="AN1324" s="9">
        <v>0.21</v>
      </c>
      <c r="AO1324" s="9">
        <v>0.03</v>
      </c>
    </row>
    <row r="1325" spans="1:41" x14ac:dyDescent="0.3">
      <c r="A1325" t="s">
        <v>1016</v>
      </c>
      <c r="B1325" t="s">
        <v>1619</v>
      </c>
      <c r="C1325">
        <v>66</v>
      </c>
      <c r="D1325" s="8" t="s">
        <v>1631</v>
      </c>
      <c r="E1325">
        <v>1200</v>
      </c>
      <c r="G1325" t="s">
        <v>29</v>
      </c>
      <c r="K1325" s="4">
        <v>1</v>
      </c>
      <c r="L1325" t="s">
        <v>139</v>
      </c>
      <c r="N1325" s="3">
        <v>0.6</v>
      </c>
      <c r="O1325" s="3">
        <v>0</v>
      </c>
      <c r="P1325">
        <v>50</v>
      </c>
      <c r="Q1325">
        <v>10</v>
      </c>
      <c r="R1325" t="s">
        <v>1014</v>
      </c>
      <c r="S1325">
        <v>0.05</v>
      </c>
      <c r="T1325" s="6">
        <f>10^-(14-Q1325)</f>
        <v>1E-4</v>
      </c>
      <c r="U1325" s="6">
        <v>0</v>
      </c>
      <c r="V1325" s="6">
        <v>0.05</v>
      </c>
      <c r="W1325" s="6">
        <v>0</v>
      </c>
      <c r="X1325" s="6">
        <v>0</v>
      </c>
      <c r="Y1325" t="s">
        <v>171</v>
      </c>
      <c r="Z1325" s="5">
        <v>-300</v>
      </c>
      <c r="AD1325">
        <v>1</v>
      </c>
      <c r="AE1325">
        <v>250</v>
      </c>
      <c r="AF1325">
        <v>1</v>
      </c>
      <c r="AG1325" s="9">
        <v>0.02</v>
      </c>
      <c r="AH1325" s="9">
        <v>0.6</v>
      </c>
      <c r="AI1325" s="9">
        <v>0.49</v>
      </c>
      <c r="AK1325" s="9">
        <v>8.9999999999999998E-4</v>
      </c>
      <c r="AL1325" s="9">
        <v>18.29</v>
      </c>
      <c r="AM1325" s="9">
        <v>11.12</v>
      </c>
      <c r="AN1325" s="9">
        <v>0.21</v>
      </c>
      <c r="AO1325" s="9">
        <v>0.03</v>
      </c>
    </row>
    <row r="1326" spans="1:41" x14ac:dyDescent="0.3">
      <c r="A1326" t="s">
        <v>1017</v>
      </c>
      <c r="B1326" t="s">
        <v>1619</v>
      </c>
      <c r="C1326">
        <v>66</v>
      </c>
      <c r="D1326" s="8" t="s">
        <v>1631</v>
      </c>
      <c r="E1326">
        <v>1200</v>
      </c>
      <c r="G1326" t="s">
        <v>29</v>
      </c>
      <c r="K1326" s="4">
        <v>1</v>
      </c>
      <c r="L1326" t="s">
        <v>139</v>
      </c>
      <c r="N1326" s="3">
        <v>0.6</v>
      </c>
      <c r="O1326" s="3">
        <v>0</v>
      </c>
      <c r="P1326">
        <v>75</v>
      </c>
      <c r="Q1326">
        <v>10</v>
      </c>
      <c r="R1326" t="s">
        <v>1014</v>
      </c>
      <c r="S1326">
        <v>0.05</v>
      </c>
      <c r="T1326" s="6">
        <f>10^-(14-Q1326)</f>
        <v>1E-4</v>
      </c>
      <c r="U1326" s="6">
        <v>0</v>
      </c>
      <c r="V1326" s="6">
        <v>0.05</v>
      </c>
      <c r="W1326" s="6">
        <v>0</v>
      </c>
      <c r="X1326" s="6">
        <v>0</v>
      </c>
      <c r="Y1326" t="s">
        <v>171</v>
      </c>
      <c r="Z1326" s="5">
        <v>-300</v>
      </c>
      <c r="AD1326">
        <v>1</v>
      </c>
      <c r="AE1326">
        <v>250</v>
      </c>
      <c r="AF1326">
        <v>1</v>
      </c>
      <c r="AG1326" s="9">
        <v>0.02</v>
      </c>
      <c r="AH1326" s="9">
        <v>0.6</v>
      </c>
      <c r="AI1326" s="9">
        <v>0.49</v>
      </c>
      <c r="AK1326" s="9">
        <v>8.9999999999999998E-4</v>
      </c>
      <c r="AL1326" s="9">
        <v>18.29</v>
      </c>
      <c r="AM1326" s="9">
        <v>11.12</v>
      </c>
      <c r="AN1326" s="9">
        <v>0.21</v>
      </c>
      <c r="AO1326" s="9">
        <v>0.03</v>
      </c>
    </row>
    <row r="1327" spans="1:41" x14ac:dyDescent="0.3">
      <c r="A1327" t="s">
        <v>1018</v>
      </c>
      <c r="B1327" t="s">
        <v>1619</v>
      </c>
      <c r="C1327">
        <v>66</v>
      </c>
      <c r="D1327" s="8" t="s">
        <v>1631</v>
      </c>
      <c r="E1327">
        <v>1200</v>
      </c>
      <c r="G1327" t="s">
        <v>29</v>
      </c>
      <c r="K1327" s="4">
        <v>1</v>
      </c>
      <c r="L1327" t="s">
        <v>139</v>
      </c>
      <c r="N1327" s="3">
        <v>0.6</v>
      </c>
      <c r="O1327" s="3">
        <v>0</v>
      </c>
      <c r="P1327">
        <v>25</v>
      </c>
      <c r="Q1327">
        <v>12.5</v>
      </c>
      <c r="R1327" t="s">
        <v>1014</v>
      </c>
      <c r="S1327">
        <v>0.05</v>
      </c>
      <c r="T1327" s="6">
        <f>10^-(14-Q1327)</f>
        <v>3.1622776601683784E-2</v>
      </c>
      <c r="U1327" s="6">
        <v>0</v>
      </c>
      <c r="V1327" s="6">
        <v>0.05</v>
      </c>
      <c r="W1327" s="6">
        <v>0</v>
      </c>
      <c r="X1327" s="6">
        <v>0</v>
      </c>
      <c r="Y1327" t="s">
        <v>171</v>
      </c>
      <c r="Z1327" s="5">
        <v>-350</v>
      </c>
      <c r="AD1327">
        <v>1</v>
      </c>
      <c r="AE1327">
        <v>620</v>
      </c>
      <c r="AF1327">
        <v>1</v>
      </c>
      <c r="AG1327" s="9">
        <v>0.02</v>
      </c>
      <c r="AH1327" s="9">
        <v>0.6</v>
      </c>
      <c r="AI1327" s="9">
        <v>0.49</v>
      </c>
      <c r="AK1327" s="9">
        <v>8.9999999999999998E-4</v>
      </c>
      <c r="AL1327" s="9">
        <v>18.29</v>
      </c>
      <c r="AM1327" s="9">
        <v>11.12</v>
      </c>
      <c r="AN1327" s="9">
        <v>0.21</v>
      </c>
      <c r="AO1327" s="9">
        <v>0.03</v>
      </c>
    </row>
    <row r="1328" spans="1:41" x14ac:dyDescent="0.3">
      <c r="A1328" t="s">
        <v>1034</v>
      </c>
      <c r="B1328" t="s">
        <v>1619</v>
      </c>
      <c r="C1328">
        <v>66</v>
      </c>
      <c r="D1328" s="8">
        <v>1.4361999999999999</v>
      </c>
      <c r="E1328">
        <v>1200</v>
      </c>
      <c r="G1328" t="s">
        <v>29</v>
      </c>
      <c r="K1328" s="4">
        <v>1</v>
      </c>
      <c r="L1328" t="s">
        <v>139</v>
      </c>
      <c r="N1328" s="3">
        <v>0.6</v>
      </c>
      <c r="O1328" s="3">
        <v>0</v>
      </c>
      <c r="P1328">
        <v>25</v>
      </c>
      <c r="Q1328">
        <v>4</v>
      </c>
      <c r="R1328" t="s">
        <v>102</v>
      </c>
      <c r="S1328">
        <v>0</v>
      </c>
      <c r="T1328" s="6">
        <f>10^-(14-Q1328)</f>
        <v>1E-10</v>
      </c>
      <c r="U1328" s="6">
        <v>0</v>
      </c>
      <c r="V1328" s="6">
        <v>0</v>
      </c>
      <c r="W1328" s="6">
        <v>0</v>
      </c>
      <c r="X1328" s="6">
        <v>0</v>
      </c>
      <c r="Y1328" t="s">
        <v>171</v>
      </c>
      <c r="Z1328" s="5">
        <v>-200</v>
      </c>
      <c r="AD1328">
        <v>1</v>
      </c>
      <c r="AE1328">
        <v>600</v>
      </c>
      <c r="AF1328">
        <v>1</v>
      </c>
      <c r="AG1328" s="9">
        <v>0.02</v>
      </c>
      <c r="AH1328" s="9">
        <v>1.0900000000000001</v>
      </c>
      <c r="AI1328" s="9">
        <v>0.41</v>
      </c>
      <c r="AK1328" s="9">
        <v>4.0000000000000002E-4</v>
      </c>
      <c r="AL1328" s="9">
        <v>22.3</v>
      </c>
      <c r="AM1328" s="9">
        <v>4.0199999999999996</v>
      </c>
      <c r="AN1328" s="9">
        <v>0.28000000000000003</v>
      </c>
      <c r="AO1328" s="9">
        <v>0.15</v>
      </c>
    </row>
    <row r="1329" spans="1:42" x14ac:dyDescent="0.3">
      <c r="A1329" t="s">
        <v>1035</v>
      </c>
      <c r="B1329" t="s">
        <v>1619</v>
      </c>
      <c r="C1329">
        <v>66</v>
      </c>
      <c r="D1329" s="8">
        <v>1.4361999999999999</v>
      </c>
      <c r="E1329">
        <v>1200</v>
      </c>
      <c r="G1329" t="s">
        <v>29</v>
      </c>
      <c r="K1329" s="4">
        <v>1</v>
      </c>
      <c r="L1329" t="s">
        <v>139</v>
      </c>
      <c r="N1329" s="3">
        <v>0.6</v>
      </c>
      <c r="O1329" s="3">
        <v>0</v>
      </c>
      <c r="P1329">
        <v>25</v>
      </c>
      <c r="Q1329">
        <v>7</v>
      </c>
      <c r="R1329" t="s">
        <v>1014</v>
      </c>
      <c r="S1329">
        <v>0.05</v>
      </c>
      <c r="T1329" s="6">
        <f>10^-(14-Q1329)</f>
        <v>9.9999999999999995E-8</v>
      </c>
      <c r="U1329" s="6">
        <v>0</v>
      </c>
      <c r="V1329" s="6">
        <v>0.05</v>
      </c>
      <c r="W1329" s="6">
        <v>0</v>
      </c>
      <c r="X1329" s="6">
        <v>0</v>
      </c>
      <c r="Y1329" t="s">
        <v>171</v>
      </c>
      <c r="Z1329" s="5">
        <v>-200</v>
      </c>
      <c r="AD1329">
        <v>1</v>
      </c>
      <c r="AE1329">
        <v>650</v>
      </c>
      <c r="AF1329">
        <v>1</v>
      </c>
      <c r="AG1329" s="9">
        <v>0.02</v>
      </c>
      <c r="AH1329" s="9">
        <v>1.0900000000000001</v>
      </c>
      <c r="AI1329" s="9">
        <v>0.41</v>
      </c>
      <c r="AK1329" s="9">
        <v>4.0000000000000002E-4</v>
      </c>
      <c r="AL1329" s="9">
        <v>22.3</v>
      </c>
      <c r="AM1329" s="9">
        <v>4.0199999999999996</v>
      </c>
      <c r="AN1329" s="9">
        <v>0.28000000000000003</v>
      </c>
      <c r="AO1329" s="9">
        <v>0.15</v>
      </c>
    </row>
    <row r="1330" spans="1:42" x14ac:dyDescent="0.3">
      <c r="A1330" t="s">
        <v>1036</v>
      </c>
      <c r="B1330" t="s">
        <v>1619</v>
      </c>
      <c r="C1330">
        <v>66</v>
      </c>
      <c r="D1330" s="8">
        <v>1.4361999999999999</v>
      </c>
      <c r="E1330">
        <v>1200</v>
      </c>
      <c r="G1330" t="s">
        <v>29</v>
      </c>
      <c r="K1330" s="4">
        <v>1</v>
      </c>
      <c r="L1330" t="s">
        <v>139</v>
      </c>
      <c r="N1330" s="3">
        <v>0.6</v>
      </c>
      <c r="O1330" s="3">
        <v>0</v>
      </c>
      <c r="P1330">
        <v>25</v>
      </c>
      <c r="Q1330">
        <v>10</v>
      </c>
      <c r="R1330" t="s">
        <v>1014</v>
      </c>
      <c r="S1330">
        <v>0.05</v>
      </c>
      <c r="T1330" s="6">
        <f>10^-(14-Q1330)</f>
        <v>1E-4</v>
      </c>
      <c r="U1330" s="6">
        <v>0</v>
      </c>
      <c r="V1330" s="6">
        <v>0.05</v>
      </c>
      <c r="W1330" s="6">
        <v>0</v>
      </c>
      <c r="X1330" s="6">
        <v>0</v>
      </c>
      <c r="Y1330" t="s">
        <v>171</v>
      </c>
      <c r="Z1330" s="5">
        <v>-200</v>
      </c>
      <c r="AD1330">
        <v>1</v>
      </c>
      <c r="AE1330">
        <v>700</v>
      </c>
      <c r="AF1330">
        <v>1</v>
      </c>
      <c r="AG1330" s="9">
        <v>0.02</v>
      </c>
      <c r="AH1330" s="9">
        <v>1.0900000000000001</v>
      </c>
      <c r="AI1330" s="9">
        <v>0.41</v>
      </c>
      <c r="AK1330" s="9">
        <v>4.0000000000000002E-4</v>
      </c>
      <c r="AL1330" s="9">
        <v>22.3</v>
      </c>
      <c r="AM1330" s="9">
        <v>4.0199999999999996</v>
      </c>
      <c r="AN1330" s="9">
        <v>0.28000000000000003</v>
      </c>
      <c r="AO1330" s="9">
        <v>0.15</v>
      </c>
    </row>
    <row r="1331" spans="1:42" x14ac:dyDescent="0.3">
      <c r="A1331" t="s">
        <v>1037</v>
      </c>
      <c r="B1331" t="s">
        <v>1619</v>
      </c>
      <c r="C1331">
        <v>66</v>
      </c>
      <c r="D1331" s="8">
        <v>1.4361999999999999</v>
      </c>
      <c r="E1331">
        <v>1200</v>
      </c>
      <c r="G1331" t="s">
        <v>29</v>
      </c>
      <c r="K1331" s="4">
        <v>1</v>
      </c>
      <c r="L1331" t="s">
        <v>139</v>
      </c>
      <c r="N1331" s="3">
        <v>0.6</v>
      </c>
      <c r="O1331" s="3">
        <v>0</v>
      </c>
      <c r="P1331">
        <v>50</v>
      </c>
      <c r="Q1331">
        <v>10</v>
      </c>
      <c r="R1331" t="s">
        <v>1014</v>
      </c>
      <c r="S1331">
        <v>0.05</v>
      </c>
      <c r="T1331" s="6">
        <f>10^-(14-Q1331)</f>
        <v>1E-4</v>
      </c>
      <c r="U1331" s="6">
        <v>0</v>
      </c>
      <c r="V1331" s="6">
        <v>0.05</v>
      </c>
      <c r="W1331" s="6">
        <v>0</v>
      </c>
      <c r="X1331" s="6">
        <v>0</v>
      </c>
      <c r="Y1331" t="s">
        <v>171</v>
      </c>
      <c r="Z1331" s="5">
        <v>-200</v>
      </c>
      <c r="AD1331">
        <v>1</v>
      </c>
      <c r="AE1331">
        <v>320</v>
      </c>
      <c r="AF1331">
        <v>1</v>
      </c>
      <c r="AG1331" s="9">
        <v>0.02</v>
      </c>
      <c r="AH1331" s="9">
        <v>1.0900000000000001</v>
      </c>
      <c r="AI1331" s="9">
        <v>0.41</v>
      </c>
      <c r="AK1331" s="9">
        <v>4.0000000000000002E-4</v>
      </c>
      <c r="AL1331" s="9">
        <v>22.3</v>
      </c>
      <c r="AM1331" s="9">
        <v>4.0199999999999996</v>
      </c>
      <c r="AN1331" s="9">
        <v>0.28000000000000003</v>
      </c>
      <c r="AO1331" s="9">
        <v>0.15</v>
      </c>
    </row>
    <row r="1332" spans="1:42" x14ac:dyDescent="0.3">
      <c r="A1332" t="s">
        <v>1038</v>
      </c>
      <c r="B1332" t="s">
        <v>1619</v>
      </c>
      <c r="C1332">
        <v>66</v>
      </c>
      <c r="D1332" s="8">
        <v>1.4361999999999999</v>
      </c>
      <c r="E1332">
        <v>1200</v>
      </c>
      <c r="G1332" t="s">
        <v>29</v>
      </c>
      <c r="K1332" s="4">
        <v>1</v>
      </c>
      <c r="L1332" t="s">
        <v>139</v>
      </c>
      <c r="N1332" s="3">
        <v>0.6</v>
      </c>
      <c r="O1332" s="3">
        <v>0</v>
      </c>
      <c r="P1332">
        <v>75</v>
      </c>
      <c r="Q1332">
        <v>10</v>
      </c>
      <c r="R1332" t="s">
        <v>1014</v>
      </c>
      <c r="S1332">
        <v>0.05</v>
      </c>
      <c r="T1332" s="6">
        <f>10^-(14-Q1332)</f>
        <v>1E-4</v>
      </c>
      <c r="U1332" s="6">
        <v>0</v>
      </c>
      <c r="V1332" s="6">
        <v>0.05</v>
      </c>
      <c r="W1332" s="6">
        <v>0</v>
      </c>
      <c r="X1332" s="6">
        <v>0</v>
      </c>
      <c r="Y1332" t="s">
        <v>171</v>
      </c>
      <c r="Z1332" s="5">
        <v>-200</v>
      </c>
      <c r="AD1332">
        <v>1</v>
      </c>
      <c r="AE1332">
        <v>180</v>
      </c>
      <c r="AF1332">
        <v>1</v>
      </c>
      <c r="AG1332" s="9">
        <v>0.02</v>
      </c>
      <c r="AH1332" s="9">
        <v>1.0900000000000001</v>
      </c>
      <c r="AI1332" s="9">
        <v>0.41</v>
      </c>
      <c r="AK1332" s="9">
        <v>4.0000000000000002E-4</v>
      </c>
      <c r="AL1332" s="9">
        <v>22.3</v>
      </c>
      <c r="AM1332" s="9">
        <v>4.0199999999999996</v>
      </c>
      <c r="AN1332" s="9">
        <v>0.28000000000000003</v>
      </c>
      <c r="AO1332" s="9">
        <v>0.15</v>
      </c>
    </row>
    <row r="1333" spans="1:42" x14ac:dyDescent="0.3">
      <c r="A1333" t="s">
        <v>1039</v>
      </c>
      <c r="B1333" t="s">
        <v>1619</v>
      </c>
      <c r="C1333">
        <v>66</v>
      </c>
      <c r="D1333" s="8">
        <v>1.4461999999999999</v>
      </c>
      <c r="E1333">
        <v>1200</v>
      </c>
      <c r="G1333" t="s">
        <v>29</v>
      </c>
      <c r="K1333" s="4">
        <v>1</v>
      </c>
      <c r="L1333" t="s">
        <v>139</v>
      </c>
      <c r="N1333" s="3">
        <v>0.6</v>
      </c>
      <c r="O1333" s="3">
        <v>0</v>
      </c>
      <c r="P1333">
        <v>25</v>
      </c>
      <c r="Q1333">
        <v>4</v>
      </c>
      <c r="R1333" t="s">
        <v>102</v>
      </c>
      <c r="S1333">
        <v>0</v>
      </c>
      <c r="T1333" s="6">
        <f>10^-(14-Q1333)</f>
        <v>1E-10</v>
      </c>
      <c r="U1333" s="6">
        <v>0</v>
      </c>
      <c r="V1333" s="6">
        <v>0</v>
      </c>
      <c r="W1333" s="6">
        <v>0</v>
      </c>
      <c r="X1333" s="6">
        <v>0</v>
      </c>
      <c r="Y1333" t="s">
        <v>171</v>
      </c>
      <c r="Z1333" s="5">
        <v>-200</v>
      </c>
      <c r="AD1333">
        <v>1</v>
      </c>
      <c r="AE1333">
        <v>900</v>
      </c>
      <c r="AF1333">
        <v>2</v>
      </c>
      <c r="AG1333" s="9">
        <v>0.02</v>
      </c>
      <c r="AH1333" s="9">
        <v>1.61</v>
      </c>
      <c r="AI1333" s="9">
        <v>0.4</v>
      </c>
      <c r="AK1333" s="9">
        <v>2.9999999999999997E-4</v>
      </c>
      <c r="AL1333" s="9">
        <v>22.91</v>
      </c>
      <c r="AM1333" s="9">
        <v>5.45</v>
      </c>
      <c r="AN1333" s="9">
        <v>2.78</v>
      </c>
      <c r="AO1333" s="9">
        <v>0.15</v>
      </c>
    </row>
    <row r="1334" spans="1:42" x14ac:dyDescent="0.3">
      <c r="A1334" t="s">
        <v>1040</v>
      </c>
      <c r="B1334" t="s">
        <v>1619</v>
      </c>
      <c r="C1334">
        <v>66</v>
      </c>
      <c r="D1334" s="8">
        <v>1.4461999999999999</v>
      </c>
      <c r="E1334">
        <v>1200</v>
      </c>
      <c r="G1334" t="s">
        <v>29</v>
      </c>
      <c r="K1334" s="4">
        <v>1</v>
      </c>
      <c r="L1334" t="s">
        <v>139</v>
      </c>
      <c r="N1334" s="3">
        <v>0.6</v>
      </c>
      <c r="O1334" s="3">
        <v>0</v>
      </c>
      <c r="P1334">
        <v>25</v>
      </c>
      <c r="Q1334">
        <v>7</v>
      </c>
      <c r="R1334" t="s">
        <v>1014</v>
      </c>
      <c r="S1334">
        <v>0.05</v>
      </c>
      <c r="T1334" s="6">
        <f>10^-(14-Q1334)</f>
        <v>9.9999999999999995E-8</v>
      </c>
      <c r="U1334" s="6">
        <v>0</v>
      </c>
      <c r="V1334" s="6">
        <v>0.05</v>
      </c>
      <c r="W1334" s="6">
        <v>0</v>
      </c>
      <c r="X1334" s="6">
        <v>0</v>
      </c>
      <c r="Y1334" t="s">
        <v>171</v>
      </c>
      <c r="Z1334" s="5">
        <v>-200</v>
      </c>
      <c r="AD1334">
        <v>1</v>
      </c>
      <c r="AE1334">
        <v>900</v>
      </c>
      <c r="AF1334">
        <v>2</v>
      </c>
      <c r="AG1334" s="9">
        <v>0.02</v>
      </c>
      <c r="AH1334" s="9">
        <v>1.61</v>
      </c>
      <c r="AI1334" s="9">
        <v>0.4</v>
      </c>
      <c r="AK1334" s="9">
        <v>2.9999999999999997E-4</v>
      </c>
      <c r="AL1334" s="9">
        <v>22.91</v>
      </c>
      <c r="AM1334" s="9">
        <v>5.45</v>
      </c>
      <c r="AN1334" s="9">
        <v>2.78</v>
      </c>
      <c r="AO1334" s="9">
        <v>0.15</v>
      </c>
    </row>
    <row r="1335" spans="1:42" x14ac:dyDescent="0.3">
      <c r="A1335" t="s">
        <v>1041</v>
      </c>
      <c r="B1335" t="s">
        <v>1619</v>
      </c>
      <c r="C1335">
        <v>66</v>
      </c>
      <c r="D1335" s="8">
        <v>1.4461999999999999</v>
      </c>
      <c r="E1335">
        <v>1200</v>
      </c>
      <c r="G1335" t="s">
        <v>29</v>
      </c>
      <c r="K1335" s="4">
        <v>1</v>
      </c>
      <c r="L1335" t="s">
        <v>139</v>
      </c>
      <c r="N1335" s="3">
        <v>0.6</v>
      </c>
      <c r="O1335" s="3">
        <v>0</v>
      </c>
      <c r="P1335">
        <v>25</v>
      </c>
      <c r="Q1335">
        <v>10</v>
      </c>
      <c r="R1335" t="s">
        <v>1014</v>
      </c>
      <c r="S1335">
        <v>0.05</v>
      </c>
      <c r="T1335" s="6">
        <f>10^-(14-Q1335)</f>
        <v>1E-4</v>
      </c>
      <c r="U1335" s="6">
        <v>0</v>
      </c>
      <c r="V1335" s="6">
        <v>0.05</v>
      </c>
      <c r="W1335" s="6">
        <v>0</v>
      </c>
      <c r="X1335" s="6">
        <v>0</v>
      </c>
      <c r="Y1335" t="s">
        <v>171</v>
      </c>
      <c r="Z1335" s="5">
        <v>-200</v>
      </c>
      <c r="AD1335">
        <v>1</v>
      </c>
      <c r="AE1335">
        <v>900</v>
      </c>
      <c r="AF1335">
        <v>2</v>
      </c>
      <c r="AG1335" s="9">
        <v>0.02</v>
      </c>
      <c r="AH1335" s="9">
        <v>1.61</v>
      </c>
      <c r="AI1335" s="9">
        <v>0.4</v>
      </c>
      <c r="AK1335" s="9">
        <v>2.9999999999999997E-4</v>
      </c>
      <c r="AL1335" s="9">
        <v>22.91</v>
      </c>
      <c r="AM1335" s="9">
        <v>5.45</v>
      </c>
      <c r="AN1335" s="9">
        <v>2.78</v>
      </c>
      <c r="AO1335" s="9">
        <v>0.15</v>
      </c>
    </row>
    <row r="1336" spans="1:42" x14ac:dyDescent="0.3">
      <c r="A1336" t="s">
        <v>1042</v>
      </c>
      <c r="B1336" t="s">
        <v>1619</v>
      </c>
      <c r="C1336">
        <v>66</v>
      </c>
      <c r="D1336" s="8">
        <v>1.4461999999999999</v>
      </c>
      <c r="E1336">
        <v>1200</v>
      </c>
      <c r="G1336" t="s">
        <v>29</v>
      </c>
      <c r="K1336" s="4">
        <v>1</v>
      </c>
      <c r="L1336" t="s">
        <v>139</v>
      </c>
      <c r="N1336" s="3">
        <v>0.6</v>
      </c>
      <c r="O1336" s="3">
        <v>0</v>
      </c>
      <c r="P1336">
        <v>50</v>
      </c>
      <c r="Q1336">
        <v>10</v>
      </c>
      <c r="R1336" t="s">
        <v>1014</v>
      </c>
      <c r="S1336">
        <v>0.05</v>
      </c>
      <c r="T1336" s="6">
        <f>10^-(14-Q1336)</f>
        <v>1E-4</v>
      </c>
      <c r="U1336" s="6">
        <v>0</v>
      </c>
      <c r="V1336" s="6">
        <v>0.05</v>
      </c>
      <c r="W1336" s="6">
        <v>0</v>
      </c>
      <c r="X1336" s="6">
        <v>0</v>
      </c>
      <c r="Y1336" t="s">
        <v>171</v>
      </c>
      <c r="Z1336" s="5">
        <v>-200</v>
      </c>
      <c r="AD1336">
        <v>1</v>
      </c>
      <c r="AE1336">
        <v>900</v>
      </c>
      <c r="AF1336">
        <v>2</v>
      </c>
      <c r="AG1336" s="9">
        <v>0.02</v>
      </c>
      <c r="AH1336" s="9">
        <v>1.61</v>
      </c>
      <c r="AI1336" s="9">
        <v>0.4</v>
      </c>
      <c r="AK1336" s="9">
        <v>2.9999999999999997E-4</v>
      </c>
      <c r="AL1336" s="9">
        <v>22.91</v>
      </c>
      <c r="AM1336" s="9">
        <v>5.45</v>
      </c>
      <c r="AN1336" s="9">
        <v>2.78</v>
      </c>
      <c r="AO1336" s="9">
        <v>0.15</v>
      </c>
    </row>
    <row r="1337" spans="1:42" x14ac:dyDescent="0.3">
      <c r="A1337" t="s">
        <v>1043</v>
      </c>
      <c r="B1337" t="s">
        <v>1619</v>
      </c>
      <c r="C1337">
        <v>66</v>
      </c>
      <c r="D1337" s="8">
        <v>1.4461999999999999</v>
      </c>
      <c r="E1337">
        <v>1200</v>
      </c>
      <c r="G1337" t="s">
        <v>29</v>
      </c>
      <c r="K1337" s="4">
        <v>1</v>
      </c>
      <c r="L1337" t="s">
        <v>139</v>
      </c>
      <c r="N1337" s="3">
        <v>0.6</v>
      </c>
      <c r="O1337" s="3">
        <v>0</v>
      </c>
      <c r="P1337">
        <v>75</v>
      </c>
      <c r="Q1337">
        <v>10</v>
      </c>
      <c r="R1337" t="s">
        <v>1014</v>
      </c>
      <c r="S1337">
        <v>0.05</v>
      </c>
      <c r="T1337" s="6">
        <f>10^-(14-Q1337)</f>
        <v>1E-4</v>
      </c>
      <c r="U1337" s="6">
        <v>0</v>
      </c>
      <c r="V1337" s="6">
        <v>0.05</v>
      </c>
      <c r="W1337" s="6">
        <v>0</v>
      </c>
      <c r="X1337" s="6">
        <v>0</v>
      </c>
      <c r="Y1337" t="s">
        <v>171</v>
      </c>
      <c r="Z1337" s="5">
        <v>-200</v>
      </c>
      <c r="AD1337">
        <v>1</v>
      </c>
      <c r="AE1337">
        <v>320</v>
      </c>
      <c r="AF1337">
        <v>1</v>
      </c>
      <c r="AG1337" s="9">
        <v>0.02</v>
      </c>
      <c r="AH1337" s="9">
        <v>1.61</v>
      </c>
      <c r="AI1337" s="9">
        <v>0.4</v>
      </c>
      <c r="AK1337" s="9">
        <v>2.9999999999999997E-4</v>
      </c>
      <c r="AL1337" s="9">
        <v>22.91</v>
      </c>
      <c r="AM1337" s="9">
        <v>5.45</v>
      </c>
      <c r="AN1337" s="9">
        <v>2.78</v>
      </c>
      <c r="AO1337" s="9">
        <v>0.15</v>
      </c>
    </row>
    <row r="1338" spans="1:42" x14ac:dyDescent="0.3">
      <c r="A1338" t="s">
        <v>988</v>
      </c>
      <c r="B1338" t="s">
        <v>1964</v>
      </c>
      <c r="C1338">
        <v>88</v>
      </c>
      <c r="D1338" s="8">
        <v>1.4300999999999999</v>
      </c>
      <c r="N1338" s="3">
        <v>1.9746121297602257E-3</v>
      </c>
      <c r="O1338" s="3">
        <v>0</v>
      </c>
      <c r="P1338">
        <v>40</v>
      </c>
      <c r="Q1338">
        <v>5.9</v>
      </c>
      <c r="R1338" t="s">
        <v>1000</v>
      </c>
      <c r="S1338">
        <v>1.1999999999999999E-3</v>
      </c>
      <c r="T1338" s="6">
        <f>10^-(14-Q1338)</f>
        <v>7.9432823472428087E-9</v>
      </c>
      <c r="U1338" s="6">
        <v>1.1999999999999999E-3</v>
      </c>
      <c r="V1338" s="6">
        <v>0</v>
      </c>
      <c r="W1338" s="6">
        <v>0</v>
      </c>
      <c r="X1338" s="6">
        <v>0</v>
      </c>
      <c r="Y1338" t="s">
        <v>171</v>
      </c>
      <c r="AD1338">
        <v>0.5</v>
      </c>
      <c r="AE1338">
        <v>450</v>
      </c>
      <c r="AF1338">
        <v>1</v>
      </c>
      <c r="AG1338" s="9">
        <v>0.02</v>
      </c>
      <c r="AH1338" s="9">
        <v>1.68</v>
      </c>
      <c r="AI1338" s="9">
        <v>0.34</v>
      </c>
      <c r="AJ1338" s="9">
        <v>2.7E-2</v>
      </c>
      <c r="AK1338" s="9">
        <v>1E-3</v>
      </c>
      <c r="AL1338" s="9">
        <v>18.170000000000002</v>
      </c>
      <c r="AM1338" s="9">
        <v>8.0299999999999994</v>
      </c>
      <c r="AN1338" s="9" t="s">
        <v>987</v>
      </c>
      <c r="AO1338" s="9">
        <v>6.2E-2</v>
      </c>
      <c r="AP1338"/>
    </row>
    <row r="1339" spans="1:42" x14ac:dyDescent="0.3">
      <c r="A1339" t="s">
        <v>989</v>
      </c>
      <c r="B1339" t="s">
        <v>1964</v>
      </c>
      <c r="C1339">
        <v>88</v>
      </c>
      <c r="D1339" s="8">
        <v>1.4300999999999999</v>
      </c>
      <c r="N1339" s="3">
        <v>1.9746121297602257E-3</v>
      </c>
      <c r="O1339" s="3">
        <v>0</v>
      </c>
      <c r="P1339">
        <v>55</v>
      </c>
      <c r="Q1339">
        <v>5.9</v>
      </c>
      <c r="R1339" t="s">
        <v>1000</v>
      </c>
      <c r="S1339">
        <v>1.1999999999999999E-3</v>
      </c>
      <c r="T1339" s="6">
        <f>10^-(14-Q1339)</f>
        <v>7.9432823472428087E-9</v>
      </c>
      <c r="U1339" s="6">
        <v>1.1999999999999999E-3</v>
      </c>
      <c r="V1339" s="6">
        <v>0</v>
      </c>
      <c r="W1339" s="6">
        <v>0</v>
      </c>
      <c r="X1339" s="6">
        <v>0</v>
      </c>
      <c r="Y1339" t="s">
        <v>171</v>
      </c>
      <c r="AD1339">
        <v>0.5</v>
      </c>
      <c r="AE1339">
        <v>550</v>
      </c>
      <c r="AF1339">
        <v>1</v>
      </c>
      <c r="AG1339" s="9">
        <v>0.02</v>
      </c>
      <c r="AH1339" s="9">
        <v>1.68</v>
      </c>
      <c r="AI1339" s="9">
        <v>0.34</v>
      </c>
      <c r="AJ1339" s="9">
        <v>2.7E-2</v>
      </c>
      <c r="AK1339" s="9">
        <v>1E-3</v>
      </c>
      <c r="AL1339" s="9">
        <v>18.170000000000002</v>
      </c>
      <c r="AM1339" s="9">
        <v>8.0299999999999994</v>
      </c>
      <c r="AN1339" s="9" t="s">
        <v>987</v>
      </c>
      <c r="AO1339" s="9">
        <v>6.2E-2</v>
      </c>
      <c r="AP1339"/>
    </row>
    <row r="1340" spans="1:42" x14ac:dyDescent="0.3">
      <c r="A1340" t="s">
        <v>990</v>
      </c>
      <c r="B1340" t="s">
        <v>1964</v>
      </c>
      <c r="C1340">
        <v>88</v>
      </c>
      <c r="D1340" s="8">
        <v>1.4300999999999999</v>
      </c>
      <c r="N1340" s="3">
        <v>1.9746121297602257E-3</v>
      </c>
      <c r="O1340" s="3">
        <v>0</v>
      </c>
      <c r="P1340">
        <v>65</v>
      </c>
      <c r="Q1340">
        <v>5.9</v>
      </c>
      <c r="R1340" t="s">
        <v>1000</v>
      </c>
      <c r="S1340">
        <v>1.1999999999999999E-3</v>
      </c>
      <c r="T1340" s="6">
        <f>10^-(14-Q1340)</f>
        <v>7.9432823472428087E-9</v>
      </c>
      <c r="U1340" s="6">
        <v>1.1999999999999999E-3</v>
      </c>
      <c r="V1340" s="6">
        <v>0</v>
      </c>
      <c r="W1340" s="6">
        <v>0</v>
      </c>
      <c r="X1340" s="6">
        <v>0</v>
      </c>
      <c r="Y1340" t="s">
        <v>171</v>
      </c>
      <c r="AD1340">
        <v>0.5</v>
      </c>
      <c r="AE1340">
        <v>300</v>
      </c>
      <c r="AF1340">
        <v>1</v>
      </c>
      <c r="AG1340" s="9">
        <v>0.02</v>
      </c>
      <c r="AH1340" s="9">
        <v>1.68</v>
      </c>
      <c r="AI1340" s="9">
        <v>0.34</v>
      </c>
      <c r="AJ1340" s="9">
        <v>2.7E-2</v>
      </c>
      <c r="AK1340" s="9">
        <v>1E-3</v>
      </c>
      <c r="AL1340" s="9">
        <v>18.170000000000002</v>
      </c>
      <c r="AM1340" s="9">
        <v>8.0299999999999994</v>
      </c>
      <c r="AN1340" s="9" t="s">
        <v>987</v>
      </c>
      <c r="AO1340" s="9">
        <v>6.2E-2</v>
      </c>
      <c r="AP1340"/>
    </row>
    <row r="1341" spans="1:42" x14ac:dyDescent="0.3">
      <c r="A1341" t="s">
        <v>991</v>
      </c>
      <c r="B1341" t="s">
        <v>1964</v>
      </c>
      <c r="C1341">
        <v>88</v>
      </c>
      <c r="D1341" s="8">
        <v>1.4300999999999999</v>
      </c>
      <c r="N1341" s="3">
        <v>1.9746121297602257E-3</v>
      </c>
      <c r="O1341" s="3">
        <v>0</v>
      </c>
      <c r="P1341">
        <v>75</v>
      </c>
      <c r="Q1341">
        <v>5.9</v>
      </c>
      <c r="R1341" t="s">
        <v>1000</v>
      </c>
      <c r="S1341">
        <v>1.1999999999999999E-3</v>
      </c>
      <c r="T1341" s="6">
        <f>10^-(14-Q1341)</f>
        <v>7.9432823472428087E-9</v>
      </c>
      <c r="U1341" s="6">
        <v>1.1999999999999999E-3</v>
      </c>
      <c r="V1341" s="6">
        <v>0</v>
      </c>
      <c r="W1341" s="6">
        <v>0</v>
      </c>
      <c r="X1341" s="6">
        <v>0</v>
      </c>
      <c r="Y1341" t="s">
        <v>171</v>
      </c>
      <c r="AD1341">
        <v>0.5</v>
      </c>
      <c r="AE1341">
        <v>300</v>
      </c>
      <c r="AF1341">
        <v>1</v>
      </c>
      <c r="AG1341" s="9">
        <v>0.02</v>
      </c>
      <c r="AH1341" s="9">
        <v>1.68</v>
      </c>
      <c r="AI1341" s="9">
        <v>0.34</v>
      </c>
      <c r="AJ1341" s="9">
        <v>2.7E-2</v>
      </c>
      <c r="AK1341" s="9">
        <v>1E-3</v>
      </c>
      <c r="AL1341" s="9">
        <v>18.170000000000002</v>
      </c>
      <c r="AM1341" s="9">
        <v>8.0299999999999994</v>
      </c>
      <c r="AN1341" s="9" t="s">
        <v>987</v>
      </c>
      <c r="AO1341" s="9">
        <v>6.2E-2</v>
      </c>
      <c r="AP1341"/>
    </row>
    <row r="1342" spans="1:42" x14ac:dyDescent="0.3">
      <c r="A1342" t="s">
        <v>991</v>
      </c>
      <c r="B1342" t="s">
        <v>1964</v>
      </c>
      <c r="C1342">
        <v>88</v>
      </c>
      <c r="D1342" s="8">
        <v>1.4300999999999999</v>
      </c>
      <c r="N1342" s="3">
        <v>3.3850493653032437E-4</v>
      </c>
      <c r="O1342" s="3">
        <v>0</v>
      </c>
      <c r="P1342">
        <v>75</v>
      </c>
      <c r="Q1342">
        <v>7.1</v>
      </c>
      <c r="R1342" t="s">
        <v>1001</v>
      </c>
      <c r="S1342">
        <v>1.6000000000000001E-3</v>
      </c>
      <c r="T1342" s="6">
        <f>10^-(14-Q1342)</f>
        <v>1.2589254117941651E-7</v>
      </c>
      <c r="U1342" s="6">
        <v>1.6000000000000001E-3</v>
      </c>
      <c r="V1342" s="6">
        <v>0</v>
      </c>
      <c r="W1342" s="6">
        <v>0</v>
      </c>
      <c r="X1342" s="6">
        <v>0</v>
      </c>
      <c r="Y1342" t="s">
        <v>171</v>
      </c>
      <c r="AD1342">
        <v>0.5</v>
      </c>
      <c r="AE1342">
        <v>1200</v>
      </c>
      <c r="AF1342">
        <v>2</v>
      </c>
      <c r="AG1342" s="9">
        <v>0.02</v>
      </c>
      <c r="AH1342" s="9">
        <v>1.68</v>
      </c>
      <c r="AI1342" s="9">
        <v>0.34</v>
      </c>
      <c r="AJ1342" s="9">
        <v>2.7E-2</v>
      </c>
      <c r="AK1342" s="9">
        <v>1E-3</v>
      </c>
      <c r="AL1342" s="9">
        <v>18.170000000000002</v>
      </c>
      <c r="AM1342" s="9">
        <v>8.0299999999999994</v>
      </c>
      <c r="AN1342" s="9" t="s">
        <v>987</v>
      </c>
      <c r="AO1342" s="9">
        <v>6.2E-2</v>
      </c>
      <c r="AP1342"/>
    </row>
    <row r="1343" spans="1:42" x14ac:dyDescent="0.3">
      <c r="A1343" t="s">
        <v>992</v>
      </c>
      <c r="B1343" t="s">
        <v>1964</v>
      </c>
      <c r="C1343">
        <v>88</v>
      </c>
      <c r="D1343" s="8">
        <v>1.4436</v>
      </c>
      <c r="N1343" s="3">
        <v>1.9746121297602257E-3</v>
      </c>
      <c r="O1343" s="3">
        <v>0</v>
      </c>
      <c r="P1343">
        <v>40</v>
      </c>
      <c r="Q1343">
        <v>5.9</v>
      </c>
      <c r="R1343" t="s">
        <v>1000</v>
      </c>
      <c r="S1343">
        <v>1.1999999999999999E-3</v>
      </c>
      <c r="T1343" s="6">
        <f>10^-(14-Q1343)</f>
        <v>7.9432823472428087E-9</v>
      </c>
      <c r="U1343" s="6">
        <v>1.1999999999999999E-3</v>
      </c>
      <c r="V1343" s="6">
        <v>0</v>
      </c>
      <c r="W1343" s="6">
        <v>0</v>
      </c>
      <c r="X1343" s="6">
        <v>0</v>
      </c>
      <c r="Y1343" t="s">
        <v>171</v>
      </c>
      <c r="AD1343">
        <v>0.5</v>
      </c>
      <c r="AE1343">
        <v>1200</v>
      </c>
      <c r="AF1343">
        <v>2</v>
      </c>
      <c r="AP1343"/>
    </row>
    <row r="1344" spans="1:42" x14ac:dyDescent="0.3">
      <c r="A1344" t="s">
        <v>993</v>
      </c>
      <c r="B1344" t="s">
        <v>1964</v>
      </c>
      <c r="C1344">
        <v>88</v>
      </c>
      <c r="D1344" s="8">
        <v>1.4436</v>
      </c>
      <c r="N1344" s="3">
        <v>1.9746121297602257E-3</v>
      </c>
      <c r="O1344" s="3">
        <v>0</v>
      </c>
      <c r="P1344">
        <v>55</v>
      </c>
      <c r="Q1344">
        <v>5.9</v>
      </c>
      <c r="R1344" t="s">
        <v>1000</v>
      </c>
      <c r="S1344">
        <v>1.1999999999999999E-3</v>
      </c>
      <c r="T1344" s="6">
        <f>10^-(14-Q1344)</f>
        <v>7.9432823472428087E-9</v>
      </c>
      <c r="U1344" s="6">
        <v>1.1999999999999999E-3</v>
      </c>
      <c r="V1344" s="6">
        <v>0</v>
      </c>
      <c r="W1344" s="6">
        <v>0</v>
      </c>
      <c r="X1344" s="6">
        <v>0</v>
      </c>
      <c r="Y1344" t="s">
        <v>171</v>
      </c>
      <c r="AD1344">
        <v>0.5</v>
      </c>
      <c r="AE1344">
        <v>850</v>
      </c>
      <c r="AF1344">
        <v>1</v>
      </c>
      <c r="AP1344"/>
    </row>
    <row r="1345" spans="1:42" x14ac:dyDescent="0.3">
      <c r="A1345" t="s">
        <v>994</v>
      </c>
      <c r="B1345" t="s">
        <v>1964</v>
      </c>
      <c r="C1345">
        <v>88</v>
      </c>
      <c r="D1345" s="8">
        <v>1.4436</v>
      </c>
      <c r="N1345" s="3">
        <v>1.9746121297602257E-3</v>
      </c>
      <c r="O1345" s="3">
        <v>0</v>
      </c>
      <c r="P1345">
        <v>65</v>
      </c>
      <c r="Q1345">
        <v>5.9</v>
      </c>
      <c r="R1345" t="s">
        <v>1000</v>
      </c>
      <c r="S1345">
        <v>1.1999999999999999E-3</v>
      </c>
      <c r="T1345" s="6">
        <f>10^-(14-Q1345)</f>
        <v>7.9432823472428087E-9</v>
      </c>
      <c r="U1345" s="6">
        <v>1.1999999999999999E-3</v>
      </c>
      <c r="V1345" s="6">
        <v>0</v>
      </c>
      <c r="W1345" s="6">
        <v>0</v>
      </c>
      <c r="X1345" s="6">
        <v>0</v>
      </c>
      <c r="Y1345" t="s">
        <v>171</v>
      </c>
      <c r="AD1345">
        <v>0.5</v>
      </c>
      <c r="AE1345">
        <v>700</v>
      </c>
      <c r="AF1345">
        <v>1</v>
      </c>
      <c r="AP1345"/>
    </row>
    <row r="1346" spans="1:42" x14ac:dyDescent="0.3">
      <c r="A1346" t="s">
        <v>995</v>
      </c>
      <c r="B1346" t="s">
        <v>1964</v>
      </c>
      <c r="C1346">
        <v>88</v>
      </c>
      <c r="D1346" s="8">
        <v>1.4436</v>
      </c>
      <c r="N1346" s="3">
        <v>1.9746121297602257E-3</v>
      </c>
      <c r="O1346" s="3">
        <v>0</v>
      </c>
      <c r="P1346">
        <v>75</v>
      </c>
      <c r="Q1346">
        <v>5.9</v>
      </c>
      <c r="R1346" t="s">
        <v>1000</v>
      </c>
      <c r="S1346">
        <v>1.1999999999999999E-3</v>
      </c>
      <c r="T1346" s="6">
        <f>10^-(14-Q1346)</f>
        <v>7.9432823472428087E-9</v>
      </c>
      <c r="U1346" s="6">
        <v>1.1999999999999999E-3</v>
      </c>
      <c r="V1346" s="6">
        <v>0</v>
      </c>
      <c r="W1346" s="6">
        <v>0</v>
      </c>
      <c r="X1346" s="6">
        <v>0</v>
      </c>
      <c r="Y1346" t="s">
        <v>171</v>
      </c>
      <c r="AD1346">
        <v>0.5</v>
      </c>
      <c r="AE1346">
        <v>430</v>
      </c>
      <c r="AF1346">
        <v>1</v>
      </c>
      <c r="AP1346"/>
    </row>
    <row r="1347" spans="1:42" x14ac:dyDescent="0.3">
      <c r="A1347" t="s">
        <v>995</v>
      </c>
      <c r="B1347" t="s">
        <v>1964</v>
      </c>
      <c r="C1347">
        <v>88</v>
      </c>
      <c r="D1347" s="8">
        <v>1.4436</v>
      </c>
      <c r="N1347" s="3">
        <v>3.3850493653032437E-4</v>
      </c>
      <c r="O1347" s="3">
        <v>0</v>
      </c>
      <c r="P1347">
        <v>75</v>
      </c>
      <c r="Q1347">
        <v>7.1</v>
      </c>
      <c r="R1347" t="s">
        <v>1001</v>
      </c>
      <c r="S1347">
        <v>1.6000000000000001E-3</v>
      </c>
      <c r="T1347" s="6">
        <f>10^-(14-Q1347)</f>
        <v>1.2589254117941651E-7</v>
      </c>
      <c r="U1347" s="6">
        <v>1.6000000000000001E-3</v>
      </c>
      <c r="V1347" s="6">
        <v>0</v>
      </c>
      <c r="W1347" s="6">
        <v>0</v>
      </c>
      <c r="X1347" s="6">
        <v>0</v>
      </c>
      <c r="Y1347" t="s">
        <v>171</v>
      </c>
      <c r="AD1347">
        <v>0.5</v>
      </c>
      <c r="AE1347">
        <v>1200</v>
      </c>
      <c r="AF1347">
        <v>1</v>
      </c>
      <c r="AP1347"/>
    </row>
    <row r="1348" spans="1:42" x14ac:dyDescent="0.3">
      <c r="A1348" t="s">
        <v>996</v>
      </c>
      <c r="B1348" t="s">
        <v>1964</v>
      </c>
      <c r="C1348">
        <v>88</v>
      </c>
      <c r="D1348" s="8">
        <v>1.4461999999999999</v>
      </c>
      <c r="N1348" s="3">
        <v>1.9746121297602257E-3</v>
      </c>
      <c r="O1348" s="3">
        <v>0</v>
      </c>
      <c r="P1348">
        <v>40</v>
      </c>
      <c r="Q1348">
        <v>5.9</v>
      </c>
      <c r="R1348" t="s">
        <v>1000</v>
      </c>
      <c r="S1348">
        <v>1.1999999999999999E-3</v>
      </c>
      <c r="T1348" s="6">
        <f>10^-(14-Q1348)</f>
        <v>7.9432823472428087E-9</v>
      </c>
      <c r="U1348" s="6">
        <v>1.1999999999999999E-3</v>
      </c>
      <c r="V1348" s="6">
        <v>0</v>
      </c>
      <c r="W1348" s="6">
        <v>0</v>
      </c>
      <c r="X1348" s="6">
        <v>0</v>
      </c>
      <c r="Y1348" t="s">
        <v>171</v>
      </c>
      <c r="AD1348">
        <v>0.5</v>
      </c>
      <c r="AE1348">
        <v>1200</v>
      </c>
      <c r="AF1348">
        <v>2</v>
      </c>
      <c r="AP1348"/>
    </row>
    <row r="1349" spans="1:42" x14ac:dyDescent="0.3">
      <c r="A1349" t="s">
        <v>997</v>
      </c>
      <c r="B1349" t="s">
        <v>1964</v>
      </c>
      <c r="C1349">
        <v>88</v>
      </c>
      <c r="D1349" s="8">
        <v>1.4461999999999999</v>
      </c>
      <c r="N1349" s="3">
        <v>1.9746121297602257E-3</v>
      </c>
      <c r="O1349" s="3">
        <v>0</v>
      </c>
      <c r="P1349">
        <v>55</v>
      </c>
      <c r="Q1349">
        <v>5.9</v>
      </c>
      <c r="R1349" t="s">
        <v>1000</v>
      </c>
      <c r="S1349">
        <v>1.1999999999999999E-3</v>
      </c>
      <c r="T1349" s="6">
        <f>10^-(14-Q1349)</f>
        <v>7.9432823472428087E-9</v>
      </c>
      <c r="U1349" s="6">
        <v>1.1999999999999999E-3</v>
      </c>
      <c r="V1349" s="6">
        <v>0</v>
      </c>
      <c r="W1349" s="6">
        <v>0</v>
      </c>
      <c r="X1349" s="6">
        <v>0</v>
      </c>
      <c r="Y1349" t="s">
        <v>171</v>
      </c>
      <c r="AD1349">
        <v>0.5</v>
      </c>
      <c r="AE1349">
        <v>1200</v>
      </c>
      <c r="AF1349">
        <v>2</v>
      </c>
      <c r="AP1349"/>
    </row>
    <row r="1350" spans="1:42" x14ac:dyDescent="0.3">
      <c r="A1350" t="s">
        <v>998</v>
      </c>
      <c r="B1350" t="s">
        <v>1964</v>
      </c>
      <c r="C1350">
        <v>88</v>
      </c>
      <c r="D1350" s="8">
        <v>1.4461999999999999</v>
      </c>
      <c r="N1350" s="3">
        <v>1.9746121297602257E-3</v>
      </c>
      <c r="O1350" s="3">
        <v>0</v>
      </c>
      <c r="P1350">
        <v>65</v>
      </c>
      <c r="Q1350">
        <v>5.9</v>
      </c>
      <c r="R1350" t="s">
        <v>1000</v>
      </c>
      <c r="S1350">
        <v>1.1999999999999999E-3</v>
      </c>
      <c r="T1350" s="6">
        <f>10^-(14-Q1350)</f>
        <v>7.9432823472428087E-9</v>
      </c>
      <c r="U1350" s="6">
        <v>1.1999999999999999E-3</v>
      </c>
      <c r="V1350" s="6">
        <v>0</v>
      </c>
      <c r="W1350" s="6">
        <v>0</v>
      </c>
      <c r="X1350" s="6">
        <v>0</v>
      </c>
      <c r="Y1350" t="s">
        <v>171</v>
      </c>
      <c r="AD1350">
        <v>0.5</v>
      </c>
      <c r="AE1350">
        <v>1200</v>
      </c>
      <c r="AF1350">
        <v>2</v>
      </c>
      <c r="AP1350"/>
    </row>
    <row r="1351" spans="1:42" x14ac:dyDescent="0.3">
      <c r="A1351" t="s">
        <v>999</v>
      </c>
      <c r="B1351" t="s">
        <v>1964</v>
      </c>
      <c r="C1351">
        <v>88</v>
      </c>
      <c r="D1351" s="8">
        <v>1.4461999999999999</v>
      </c>
      <c r="N1351" s="3">
        <v>1.9746121297602257E-3</v>
      </c>
      <c r="O1351" s="3">
        <v>0</v>
      </c>
      <c r="P1351">
        <v>75</v>
      </c>
      <c r="Q1351">
        <v>5.9</v>
      </c>
      <c r="R1351" t="s">
        <v>1000</v>
      </c>
      <c r="S1351">
        <v>1.1999999999999999E-3</v>
      </c>
      <c r="T1351" s="6">
        <f>10^-(14-Q1351)</f>
        <v>7.9432823472428087E-9</v>
      </c>
      <c r="U1351" s="6">
        <v>1.1999999999999999E-3</v>
      </c>
      <c r="V1351" s="6">
        <v>0</v>
      </c>
      <c r="W1351" s="6">
        <v>0</v>
      </c>
      <c r="X1351" s="6">
        <v>0</v>
      </c>
      <c r="Y1351" t="s">
        <v>171</v>
      </c>
      <c r="AD1351">
        <v>0.5</v>
      </c>
      <c r="AE1351">
        <v>1200</v>
      </c>
      <c r="AF1351">
        <v>2</v>
      </c>
      <c r="AP1351"/>
    </row>
    <row r="1352" spans="1:42" x14ac:dyDescent="0.3">
      <c r="A1352" t="s">
        <v>999</v>
      </c>
      <c r="B1352" t="s">
        <v>1964</v>
      </c>
      <c r="C1352">
        <v>88</v>
      </c>
      <c r="D1352" s="8">
        <v>1.4461999999999999</v>
      </c>
      <c r="N1352" s="3">
        <v>3.3850493653032437E-4</v>
      </c>
      <c r="O1352" s="3">
        <v>0</v>
      </c>
      <c r="P1352">
        <v>75</v>
      </c>
      <c r="Q1352">
        <v>7.1</v>
      </c>
      <c r="R1352" t="s">
        <v>1001</v>
      </c>
      <c r="S1352">
        <v>1.6000000000000001E-3</v>
      </c>
      <c r="T1352" s="6">
        <f>10^-(14-Q1352)</f>
        <v>1.2589254117941651E-7</v>
      </c>
      <c r="U1352" s="6">
        <v>1.6000000000000001E-3</v>
      </c>
      <c r="V1352" s="6">
        <v>0</v>
      </c>
      <c r="W1352" s="6">
        <v>0</v>
      </c>
      <c r="X1352" s="6">
        <v>0</v>
      </c>
      <c r="Y1352" t="s">
        <v>171</v>
      </c>
      <c r="AD1352">
        <v>0.5</v>
      </c>
      <c r="AE1352">
        <v>1200</v>
      </c>
      <c r="AF1352">
        <v>2</v>
      </c>
      <c r="AP1352"/>
    </row>
    <row r="1353" spans="1:42" x14ac:dyDescent="0.3">
      <c r="A1353" t="s">
        <v>679</v>
      </c>
      <c r="B1353" s="1" t="s">
        <v>1615</v>
      </c>
      <c r="C1353">
        <v>67</v>
      </c>
      <c r="D1353" s="8" t="s">
        <v>1630</v>
      </c>
      <c r="E1353">
        <v>14000</v>
      </c>
      <c r="G1353" t="s">
        <v>29</v>
      </c>
      <c r="H1353" t="s">
        <v>987</v>
      </c>
      <c r="J1353" s="3">
        <v>12</v>
      </c>
      <c r="N1353" s="3">
        <v>0.5</v>
      </c>
      <c r="O1353" s="3">
        <v>0</v>
      </c>
      <c r="P1353">
        <v>28</v>
      </c>
      <c r="Q1353">
        <v>6.5</v>
      </c>
      <c r="R1353" t="s">
        <v>102</v>
      </c>
      <c r="S1353">
        <v>0</v>
      </c>
      <c r="T1353" s="6">
        <f>10^-(14-Q1353)</f>
        <v>3.1622776601683699E-8</v>
      </c>
      <c r="U1353" s="6">
        <v>0</v>
      </c>
      <c r="V1353" s="6">
        <v>0</v>
      </c>
      <c r="W1353" s="6">
        <v>0</v>
      </c>
      <c r="X1353" s="6">
        <v>0</v>
      </c>
      <c r="Y1353" t="s">
        <v>171</v>
      </c>
      <c r="Z1353" s="5">
        <v>-150</v>
      </c>
      <c r="AD1353">
        <v>1</v>
      </c>
      <c r="AE1353">
        <v>210</v>
      </c>
      <c r="AF1353">
        <v>1</v>
      </c>
      <c r="AK1353" s="9">
        <v>0.16</v>
      </c>
    </row>
    <row r="1354" spans="1:42" x14ac:dyDescent="0.3">
      <c r="A1354" t="s">
        <v>680</v>
      </c>
      <c r="B1354" s="1" t="s">
        <v>1615</v>
      </c>
      <c r="C1354">
        <v>67</v>
      </c>
      <c r="D1354" s="8" t="s">
        <v>1630</v>
      </c>
      <c r="E1354">
        <v>14000</v>
      </c>
      <c r="G1354" t="s">
        <v>683</v>
      </c>
      <c r="H1354" t="s">
        <v>987</v>
      </c>
      <c r="I1354" s="4">
        <v>0.33</v>
      </c>
      <c r="J1354" s="3">
        <v>0.16666666666666666</v>
      </c>
      <c r="N1354" s="3">
        <v>0.5</v>
      </c>
      <c r="O1354" s="3">
        <v>0</v>
      </c>
      <c r="P1354">
        <v>28</v>
      </c>
      <c r="Q1354">
        <v>6.5</v>
      </c>
      <c r="R1354" t="s">
        <v>102</v>
      </c>
      <c r="S1354">
        <v>0</v>
      </c>
      <c r="T1354" s="6">
        <f>10^-(14-Q1354)</f>
        <v>3.1622776601683699E-8</v>
      </c>
      <c r="U1354" s="6">
        <v>0</v>
      </c>
      <c r="V1354" s="6">
        <v>0</v>
      </c>
      <c r="W1354" s="6">
        <v>0</v>
      </c>
      <c r="X1354" s="6">
        <v>0</v>
      </c>
      <c r="Y1354" t="s">
        <v>171</v>
      </c>
      <c r="Z1354" s="5">
        <v>-50</v>
      </c>
      <c r="AD1354">
        <v>1</v>
      </c>
      <c r="AE1354">
        <v>280</v>
      </c>
      <c r="AF1354">
        <v>1</v>
      </c>
      <c r="AK1354" s="9">
        <v>0.16</v>
      </c>
    </row>
    <row r="1355" spans="1:42" x14ac:dyDescent="0.3">
      <c r="A1355" t="s">
        <v>681</v>
      </c>
      <c r="B1355" s="1" t="s">
        <v>1615</v>
      </c>
      <c r="C1355">
        <v>67</v>
      </c>
      <c r="D1355" s="8" t="s">
        <v>1630</v>
      </c>
      <c r="E1355">
        <v>14000</v>
      </c>
      <c r="G1355" t="s">
        <v>683</v>
      </c>
      <c r="H1355" t="s">
        <v>987</v>
      </c>
      <c r="I1355" s="4">
        <v>0.33</v>
      </c>
      <c r="J1355" s="3">
        <v>0.5</v>
      </c>
      <c r="N1355" s="3">
        <v>0.5</v>
      </c>
      <c r="O1355" s="3">
        <v>0</v>
      </c>
      <c r="P1355">
        <v>28</v>
      </c>
      <c r="Q1355">
        <v>6.5</v>
      </c>
      <c r="R1355" t="s">
        <v>102</v>
      </c>
      <c r="S1355">
        <v>0</v>
      </c>
      <c r="T1355" s="6">
        <f>10^-(14-Q1355)</f>
        <v>3.1622776601683699E-8</v>
      </c>
      <c r="U1355" s="6">
        <v>0</v>
      </c>
      <c r="V1355" s="6">
        <v>0</v>
      </c>
      <c r="W1355" s="6">
        <v>0</v>
      </c>
      <c r="X1355" s="6">
        <v>0</v>
      </c>
      <c r="Y1355" t="s">
        <v>171</v>
      </c>
      <c r="Z1355" s="5">
        <v>-60</v>
      </c>
      <c r="AD1355">
        <v>1</v>
      </c>
      <c r="AE1355">
        <v>320</v>
      </c>
      <c r="AF1355">
        <v>1</v>
      </c>
      <c r="AK1355" s="9">
        <v>0.16</v>
      </c>
    </row>
    <row r="1356" spans="1:42" x14ac:dyDescent="0.3">
      <c r="A1356" t="s">
        <v>682</v>
      </c>
      <c r="B1356" s="1" t="s">
        <v>1615</v>
      </c>
      <c r="C1356">
        <v>67</v>
      </c>
      <c r="D1356" s="8" t="s">
        <v>1630</v>
      </c>
      <c r="E1356">
        <v>14000</v>
      </c>
      <c r="G1356" t="s">
        <v>683</v>
      </c>
      <c r="H1356" t="s">
        <v>987</v>
      </c>
      <c r="I1356" s="4">
        <v>0.33</v>
      </c>
      <c r="J1356" s="3">
        <v>1</v>
      </c>
      <c r="N1356" s="3">
        <v>0.5</v>
      </c>
      <c r="O1356" s="3">
        <v>0</v>
      </c>
      <c r="P1356">
        <v>28</v>
      </c>
      <c r="Q1356">
        <v>6.5</v>
      </c>
      <c r="R1356" t="s">
        <v>102</v>
      </c>
      <c r="S1356">
        <v>0</v>
      </c>
      <c r="T1356" s="6">
        <f>10^-(14-Q1356)</f>
        <v>3.1622776601683699E-8</v>
      </c>
      <c r="U1356" s="6">
        <v>0</v>
      </c>
      <c r="V1356" s="6">
        <v>0</v>
      </c>
      <c r="W1356" s="6">
        <v>0</v>
      </c>
      <c r="X1356" s="6">
        <v>0</v>
      </c>
      <c r="Y1356" t="s">
        <v>171</v>
      </c>
      <c r="Z1356" s="5">
        <v>-30</v>
      </c>
      <c r="AD1356">
        <v>1</v>
      </c>
      <c r="AE1356">
        <v>330</v>
      </c>
      <c r="AF1356">
        <v>1</v>
      </c>
      <c r="AK1356" s="9">
        <v>0.16</v>
      </c>
    </row>
    <row r="1357" spans="1:42" x14ac:dyDescent="0.3">
      <c r="A1357" t="s">
        <v>688</v>
      </c>
      <c r="B1357" s="1" t="s">
        <v>1615</v>
      </c>
      <c r="C1357">
        <v>67</v>
      </c>
      <c r="D1357" s="8" t="s">
        <v>1630</v>
      </c>
      <c r="E1357">
        <v>14000</v>
      </c>
      <c r="G1357" t="s">
        <v>683</v>
      </c>
      <c r="H1357" t="s">
        <v>987</v>
      </c>
      <c r="I1357" s="4">
        <v>0.33</v>
      </c>
      <c r="J1357" s="3">
        <v>10</v>
      </c>
      <c r="N1357" s="3">
        <v>0.5</v>
      </c>
      <c r="O1357" s="3">
        <v>0</v>
      </c>
      <c r="P1357">
        <v>28</v>
      </c>
      <c r="Q1357">
        <v>6.5</v>
      </c>
      <c r="R1357" t="s">
        <v>102</v>
      </c>
      <c r="S1357">
        <v>0</v>
      </c>
      <c r="T1357" s="6">
        <f>10^-(14-Q1357)</f>
        <v>3.1622776601683699E-8</v>
      </c>
      <c r="U1357" s="6">
        <v>0</v>
      </c>
      <c r="V1357" s="6">
        <v>0</v>
      </c>
      <c r="W1357" s="6">
        <v>0</v>
      </c>
      <c r="X1357" s="6">
        <v>0</v>
      </c>
      <c r="Y1357" t="s">
        <v>171</v>
      </c>
      <c r="Z1357" s="5">
        <v>20</v>
      </c>
      <c r="AD1357">
        <v>1</v>
      </c>
      <c r="AE1357">
        <v>340</v>
      </c>
      <c r="AF1357">
        <v>1</v>
      </c>
      <c r="AK1357" s="9">
        <v>0.16</v>
      </c>
    </row>
    <row r="1358" spans="1:42" x14ac:dyDescent="0.3">
      <c r="A1358" t="s">
        <v>689</v>
      </c>
      <c r="B1358" s="1" t="s">
        <v>1615</v>
      </c>
      <c r="C1358">
        <v>67</v>
      </c>
      <c r="D1358" s="8" t="s">
        <v>1630</v>
      </c>
      <c r="E1358">
        <v>14000</v>
      </c>
      <c r="G1358" t="s">
        <v>684</v>
      </c>
      <c r="H1358" t="s">
        <v>987</v>
      </c>
      <c r="I1358" s="4">
        <v>0.33</v>
      </c>
      <c r="J1358" s="3">
        <v>1</v>
      </c>
      <c r="N1358" s="3">
        <v>0.5</v>
      </c>
      <c r="O1358" s="3">
        <v>0</v>
      </c>
      <c r="P1358">
        <v>28</v>
      </c>
      <c r="Q1358">
        <v>6.5</v>
      </c>
      <c r="R1358" t="s">
        <v>102</v>
      </c>
      <c r="S1358">
        <v>0</v>
      </c>
      <c r="T1358" s="6">
        <f>10^-(14-Q1358)</f>
        <v>3.1622776601683699E-8</v>
      </c>
      <c r="U1358" s="6">
        <v>0</v>
      </c>
      <c r="V1358" s="6">
        <v>0</v>
      </c>
      <c r="W1358" s="6">
        <v>0</v>
      </c>
      <c r="X1358" s="6">
        <v>0</v>
      </c>
      <c r="Y1358" t="s">
        <v>171</v>
      </c>
      <c r="AD1358">
        <v>1</v>
      </c>
      <c r="AE1358">
        <v>325</v>
      </c>
      <c r="AF1358">
        <v>1</v>
      </c>
      <c r="AK1358" s="9">
        <v>0.16</v>
      </c>
    </row>
    <row r="1359" spans="1:42" x14ac:dyDescent="0.3">
      <c r="A1359" t="s">
        <v>690</v>
      </c>
      <c r="B1359" s="1" t="s">
        <v>1615</v>
      </c>
      <c r="C1359">
        <v>67</v>
      </c>
      <c r="D1359" s="8" t="s">
        <v>1630</v>
      </c>
      <c r="E1359">
        <v>14000</v>
      </c>
      <c r="G1359" t="s">
        <v>685</v>
      </c>
      <c r="H1359" t="s">
        <v>987</v>
      </c>
      <c r="I1359" s="4">
        <v>0.33</v>
      </c>
      <c r="J1359" s="3">
        <v>1</v>
      </c>
      <c r="N1359" s="3">
        <v>0.5</v>
      </c>
      <c r="O1359" s="3">
        <v>0</v>
      </c>
      <c r="P1359">
        <v>28</v>
      </c>
      <c r="Q1359">
        <v>6.5</v>
      </c>
      <c r="R1359" t="s">
        <v>102</v>
      </c>
      <c r="S1359">
        <v>0</v>
      </c>
      <c r="T1359" s="6">
        <f>10^-(14-Q1359)</f>
        <v>3.1622776601683699E-8</v>
      </c>
      <c r="U1359" s="6">
        <v>0</v>
      </c>
      <c r="V1359" s="6">
        <v>0</v>
      </c>
      <c r="W1359" s="6">
        <v>0</v>
      </c>
      <c r="X1359" s="6">
        <v>0</v>
      </c>
      <c r="Y1359" t="s">
        <v>171</v>
      </c>
      <c r="AD1359">
        <v>1</v>
      </c>
      <c r="AE1359">
        <v>310</v>
      </c>
      <c r="AF1359">
        <v>1</v>
      </c>
      <c r="AK1359" s="9">
        <v>0.16</v>
      </c>
    </row>
    <row r="1360" spans="1:42" x14ac:dyDescent="0.3">
      <c r="A1360" t="s">
        <v>691</v>
      </c>
      <c r="B1360" s="1" t="s">
        <v>1615</v>
      </c>
      <c r="C1360">
        <v>67</v>
      </c>
      <c r="D1360" s="8" t="s">
        <v>1630</v>
      </c>
      <c r="E1360">
        <v>14000</v>
      </c>
      <c r="G1360" t="s">
        <v>678</v>
      </c>
      <c r="H1360" t="s">
        <v>987</v>
      </c>
      <c r="I1360" s="4">
        <v>0.33</v>
      </c>
      <c r="J1360" s="3">
        <v>1</v>
      </c>
      <c r="N1360" s="3">
        <v>0.5</v>
      </c>
      <c r="O1360" s="3">
        <v>0</v>
      </c>
      <c r="P1360">
        <v>28</v>
      </c>
      <c r="Q1360">
        <v>6.5</v>
      </c>
      <c r="R1360" t="s">
        <v>102</v>
      </c>
      <c r="S1360">
        <v>0</v>
      </c>
      <c r="T1360" s="6">
        <f>10^-(14-Q1360)</f>
        <v>3.1622776601683699E-8</v>
      </c>
      <c r="U1360" s="6">
        <v>0</v>
      </c>
      <c r="V1360" s="6">
        <v>0</v>
      </c>
      <c r="W1360" s="6">
        <v>0</v>
      </c>
      <c r="X1360" s="6">
        <v>0</v>
      </c>
      <c r="Y1360" t="s">
        <v>171</v>
      </c>
      <c r="AD1360">
        <v>1</v>
      </c>
      <c r="AE1360">
        <v>315</v>
      </c>
      <c r="AF1360">
        <v>1</v>
      </c>
      <c r="AK1360" s="9">
        <v>0.16</v>
      </c>
    </row>
    <row r="1361" spans="1:37" x14ac:dyDescent="0.3">
      <c r="A1361" t="s">
        <v>692</v>
      </c>
      <c r="B1361" s="1" t="s">
        <v>1615</v>
      </c>
      <c r="C1361">
        <v>67</v>
      </c>
      <c r="D1361" s="8" t="s">
        <v>1630</v>
      </c>
      <c r="E1361">
        <v>14000</v>
      </c>
      <c r="G1361" t="s">
        <v>686</v>
      </c>
      <c r="H1361" t="s">
        <v>987</v>
      </c>
      <c r="I1361" s="4">
        <v>0.33</v>
      </c>
      <c r="J1361" s="3">
        <v>1</v>
      </c>
      <c r="N1361" s="3">
        <v>0.5</v>
      </c>
      <c r="O1361" s="3">
        <v>0</v>
      </c>
      <c r="P1361">
        <v>28</v>
      </c>
      <c r="Q1361">
        <v>6.5</v>
      </c>
      <c r="R1361" t="s">
        <v>102</v>
      </c>
      <c r="S1361">
        <v>0</v>
      </c>
      <c r="T1361" s="6">
        <f>10^-(14-Q1361)</f>
        <v>3.1622776601683699E-8</v>
      </c>
      <c r="U1361" s="6">
        <v>0</v>
      </c>
      <c r="V1361" s="6">
        <v>0</v>
      </c>
      <c r="W1361" s="6">
        <v>0</v>
      </c>
      <c r="X1361" s="6">
        <v>0</v>
      </c>
      <c r="Y1361" t="s">
        <v>171</v>
      </c>
      <c r="AD1361">
        <v>1</v>
      </c>
      <c r="AE1361">
        <v>340</v>
      </c>
      <c r="AF1361">
        <v>1</v>
      </c>
      <c r="AK1361" s="9">
        <v>0.16</v>
      </c>
    </row>
    <row r="1362" spans="1:37" x14ac:dyDescent="0.3">
      <c r="A1362" t="s">
        <v>693</v>
      </c>
      <c r="B1362" s="1" t="s">
        <v>1615</v>
      </c>
      <c r="C1362">
        <v>67</v>
      </c>
      <c r="D1362" s="8" t="s">
        <v>1629</v>
      </c>
      <c r="E1362">
        <v>14000</v>
      </c>
      <c r="G1362" t="s">
        <v>29</v>
      </c>
      <c r="H1362" t="s">
        <v>987</v>
      </c>
      <c r="J1362" s="3">
        <v>12</v>
      </c>
      <c r="N1362" s="3">
        <v>0.5</v>
      </c>
      <c r="O1362" s="3">
        <v>0</v>
      </c>
      <c r="P1362">
        <v>28</v>
      </c>
      <c r="Q1362">
        <v>6.5</v>
      </c>
      <c r="R1362" t="s">
        <v>102</v>
      </c>
      <c r="S1362">
        <v>0</v>
      </c>
      <c r="T1362" s="6">
        <f>10^-(14-Q1362)</f>
        <v>3.1622776601683699E-8</v>
      </c>
      <c r="U1362" s="6">
        <v>0</v>
      </c>
      <c r="V1362" s="6">
        <v>0</v>
      </c>
      <c r="W1362" s="6">
        <v>0</v>
      </c>
      <c r="X1362" s="6">
        <v>0</v>
      </c>
      <c r="Y1362" t="s">
        <v>171</v>
      </c>
      <c r="Z1362" s="5">
        <v>-310</v>
      </c>
      <c r="AD1362">
        <v>1</v>
      </c>
      <c r="AE1362">
        <v>310</v>
      </c>
      <c r="AF1362">
        <v>1</v>
      </c>
      <c r="AK1362" s="9">
        <v>0.01</v>
      </c>
    </row>
    <row r="1363" spans="1:37" x14ac:dyDescent="0.3">
      <c r="A1363" t="s">
        <v>694</v>
      </c>
      <c r="B1363" s="1" t="s">
        <v>1615</v>
      </c>
      <c r="C1363">
        <v>67</v>
      </c>
      <c r="D1363" s="8" t="s">
        <v>1629</v>
      </c>
      <c r="E1363">
        <v>14000</v>
      </c>
      <c r="G1363" t="s">
        <v>683</v>
      </c>
      <c r="H1363" t="s">
        <v>987</v>
      </c>
      <c r="I1363" s="4">
        <v>0.33</v>
      </c>
      <c r="J1363" s="3">
        <v>1</v>
      </c>
      <c r="N1363" s="3">
        <v>0.5</v>
      </c>
      <c r="O1363" s="3">
        <v>0</v>
      </c>
      <c r="P1363">
        <v>28</v>
      </c>
      <c r="Q1363">
        <v>6.5</v>
      </c>
      <c r="R1363" t="s">
        <v>102</v>
      </c>
      <c r="S1363">
        <v>0</v>
      </c>
      <c r="T1363" s="6">
        <f>10^-(14-Q1363)</f>
        <v>3.1622776601683699E-8</v>
      </c>
      <c r="U1363" s="6">
        <v>0</v>
      </c>
      <c r="V1363" s="6">
        <v>0</v>
      </c>
      <c r="W1363" s="6">
        <v>0</v>
      </c>
      <c r="X1363" s="6">
        <v>0</v>
      </c>
      <c r="Y1363" t="s">
        <v>171</v>
      </c>
      <c r="Z1363" s="5">
        <v>-100</v>
      </c>
      <c r="AD1363">
        <v>1</v>
      </c>
      <c r="AE1363">
        <v>400</v>
      </c>
      <c r="AF1363">
        <v>1</v>
      </c>
      <c r="AK1363" s="9">
        <v>0.01</v>
      </c>
    </row>
    <row r="1364" spans="1:37" x14ac:dyDescent="0.3">
      <c r="A1364" t="s">
        <v>695</v>
      </c>
      <c r="B1364" s="1" t="s">
        <v>1615</v>
      </c>
      <c r="C1364">
        <v>67</v>
      </c>
      <c r="D1364" s="8" t="s">
        <v>1629</v>
      </c>
      <c r="E1364">
        <v>14000</v>
      </c>
      <c r="G1364" t="s">
        <v>29</v>
      </c>
      <c r="H1364" t="s">
        <v>987</v>
      </c>
      <c r="J1364" s="3">
        <v>12</v>
      </c>
      <c r="N1364" s="3">
        <v>0.5</v>
      </c>
      <c r="O1364" s="3">
        <v>0</v>
      </c>
      <c r="P1364">
        <v>28</v>
      </c>
      <c r="Q1364">
        <v>6.5</v>
      </c>
      <c r="R1364" t="s">
        <v>102</v>
      </c>
      <c r="S1364">
        <v>0</v>
      </c>
      <c r="T1364" s="6">
        <f>10^-(14-Q1364)</f>
        <v>3.1622776601683699E-8</v>
      </c>
      <c r="U1364" s="6">
        <v>0</v>
      </c>
      <c r="V1364" s="6">
        <v>0</v>
      </c>
      <c r="W1364" s="6">
        <v>0</v>
      </c>
      <c r="X1364" s="6">
        <v>0</v>
      </c>
      <c r="Y1364" t="s">
        <v>171</v>
      </c>
      <c r="Z1364" s="5">
        <v>-180</v>
      </c>
      <c r="AD1364">
        <v>1</v>
      </c>
      <c r="AE1364">
        <v>410</v>
      </c>
      <c r="AF1364">
        <v>1</v>
      </c>
      <c r="AK1364" s="9">
        <v>0.01</v>
      </c>
    </row>
    <row r="1365" spans="1:37" x14ac:dyDescent="0.3">
      <c r="A1365" t="s">
        <v>696</v>
      </c>
      <c r="B1365" s="1" t="s">
        <v>1615</v>
      </c>
      <c r="C1365">
        <v>67</v>
      </c>
      <c r="D1365" s="8" t="s">
        <v>1630</v>
      </c>
      <c r="E1365">
        <v>14000</v>
      </c>
      <c r="G1365" t="s">
        <v>687</v>
      </c>
      <c r="H1365" t="s">
        <v>987</v>
      </c>
      <c r="I1365" s="4">
        <v>0.33</v>
      </c>
      <c r="J1365" s="3">
        <v>0.16666666666666666</v>
      </c>
      <c r="N1365" s="3">
        <v>0.5</v>
      </c>
      <c r="O1365" s="3">
        <v>0</v>
      </c>
      <c r="P1365">
        <v>28</v>
      </c>
      <c r="Q1365">
        <v>6.5</v>
      </c>
      <c r="R1365" t="s">
        <v>102</v>
      </c>
      <c r="S1365">
        <v>0</v>
      </c>
      <c r="T1365" s="6">
        <f>10^-(14-Q1365)</f>
        <v>3.1622776601683699E-8</v>
      </c>
      <c r="U1365" s="6">
        <v>0</v>
      </c>
      <c r="V1365" s="6">
        <v>0</v>
      </c>
      <c r="W1365" s="6">
        <v>0</v>
      </c>
      <c r="X1365" s="6">
        <v>0</v>
      </c>
      <c r="Y1365" t="s">
        <v>171</v>
      </c>
      <c r="Z1365" s="5">
        <v>-120</v>
      </c>
      <c r="AD1365">
        <v>1</v>
      </c>
      <c r="AE1365">
        <v>400</v>
      </c>
      <c r="AF1365">
        <v>1</v>
      </c>
      <c r="AK1365" s="9">
        <v>0.16</v>
      </c>
    </row>
    <row r="1366" spans="1:37" x14ac:dyDescent="0.3">
      <c r="A1366" t="s">
        <v>697</v>
      </c>
      <c r="B1366" s="1" t="s">
        <v>1615</v>
      </c>
      <c r="C1366">
        <v>67</v>
      </c>
      <c r="D1366" s="8" t="s">
        <v>1630</v>
      </c>
      <c r="E1366">
        <v>14000</v>
      </c>
      <c r="G1366" t="s">
        <v>687</v>
      </c>
      <c r="H1366" t="s">
        <v>987</v>
      </c>
      <c r="I1366" s="4">
        <v>0.33</v>
      </c>
      <c r="J1366" s="3">
        <v>0.5</v>
      </c>
      <c r="N1366" s="3">
        <v>0.5</v>
      </c>
      <c r="O1366" s="3">
        <v>0</v>
      </c>
      <c r="P1366">
        <v>28</v>
      </c>
      <c r="Q1366">
        <v>6.5</v>
      </c>
      <c r="R1366" t="s">
        <v>102</v>
      </c>
      <c r="S1366">
        <v>0</v>
      </c>
      <c r="T1366" s="6">
        <f>10^-(14-Q1366)</f>
        <v>3.1622776601683699E-8</v>
      </c>
      <c r="U1366" s="6">
        <v>0</v>
      </c>
      <c r="V1366" s="6">
        <v>0</v>
      </c>
      <c r="W1366" s="6">
        <v>0</v>
      </c>
      <c r="X1366" s="6">
        <v>0</v>
      </c>
      <c r="Y1366" t="s">
        <v>171</v>
      </c>
      <c r="Z1366" s="5">
        <v>-140</v>
      </c>
      <c r="AD1366">
        <v>1</v>
      </c>
      <c r="AE1366">
        <v>400</v>
      </c>
      <c r="AF1366">
        <v>1</v>
      </c>
      <c r="AK1366" s="9">
        <v>0.16</v>
      </c>
    </row>
    <row r="1367" spans="1:37" x14ac:dyDescent="0.3">
      <c r="A1367" t="s">
        <v>698</v>
      </c>
      <c r="B1367" s="1" t="s">
        <v>1615</v>
      </c>
      <c r="C1367">
        <v>67</v>
      </c>
      <c r="D1367" s="8" t="s">
        <v>1630</v>
      </c>
      <c r="E1367">
        <v>14000</v>
      </c>
      <c r="G1367" t="s">
        <v>687</v>
      </c>
      <c r="H1367" t="s">
        <v>987</v>
      </c>
      <c r="I1367" s="4">
        <v>0.33</v>
      </c>
      <c r="J1367" s="3">
        <v>1</v>
      </c>
      <c r="N1367" s="3">
        <v>0.5</v>
      </c>
      <c r="O1367" s="3">
        <v>0</v>
      </c>
      <c r="P1367">
        <v>28</v>
      </c>
      <c r="Q1367">
        <v>6.5</v>
      </c>
      <c r="R1367" t="s">
        <v>102</v>
      </c>
      <c r="S1367">
        <v>0</v>
      </c>
      <c r="T1367" s="6">
        <f>10^-(14-Q1367)</f>
        <v>3.1622776601683699E-8</v>
      </c>
      <c r="U1367" s="6">
        <v>0</v>
      </c>
      <c r="V1367" s="6">
        <v>0</v>
      </c>
      <c r="W1367" s="6">
        <v>0</v>
      </c>
      <c r="X1367" s="6">
        <v>0</v>
      </c>
      <c r="Y1367" t="s">
        <v>171</v>
      </c>
      <c r="Z1367" s="5">
        <v>-80</v>
      </c>
      <c r="AD1367">
        <v>1</v>
      </c>
      <c r="AE1367">
        <v>400</v>
      </c>
      <c r="AF1367">
        <v>1</v>
      </c>
      <c r="AK1367" s="9">
        <v>0.16</v>
      </c>
    </row>
    <row r="1368" spans="1:37" x14ac:dyDescent="0.3">
      <c r="A1368" t="s">
        <v>699</v>
      </c>
      <c r="B1368" s="1" t="s">
        <v>1615</v>
      </c>
      <c r="C1368">
        <v>67</v>
      </c>
      <c r="D1368" s="8" t="s">
        <v>1630</v>
      </c>
      <c r="E1368">
        <v>14000</v>
      </c>
      <c r="G1368" t="s">
        <v>29</v>
      </c>
      <c r="H1368" t="s">
        <v>987</v>
      </c>
      <c r="J1368" s="3">
        <v>12</v>
      </c>
      <c r="N1368" s="3">
        <v>0.5</v>
      </c>
      <c r="O1368" s="3">
        <v>0</v>
      </c>
      <c r="P1368">
        <v>28</v>
      </c>
      <c r="Q1368">
        <v>6.5</v>
      </c>
      <c r="R1368" t="s">
        <v>102</v>
      </c>
      <c r="S1368">
        <v>0</v>
      </c>
      <c r="T1368" s="6">
        <f>10^-(14-Q1368)</f>
        <v>3.1622776601683699E-8</v>
      </c>
      <c r="U1368" s="6">
        <v>0</v>
      </c>
      <c r="V1368" s="6">
        <v>0</v>
      </c>
      <c r="W1368" s="6">
        <v>0</v>
      </c>
      <c r="X1368" s="6">
        <v>0</v>
      </c>
      <c r="Y1368" t="s">
        <v>171</v>
      </c>
      <c r="Z1368" s="5">
        <v>-150</v>
      </c>
      <c r="AD1368">
        <v>1</v>
      </c>
      <c r="AE1368">
        <v>220</v>
      </c>
      <c r="AF1368">
        <v>1</v>
      </c>
      <c r="AK1368" s="9">
        <v>0.16</v>
      </c>
    </row>
    <row r="1369" spans="1:37" x14ac:dyDescent="0.3">
      <c r="A1369" t="s">
        <v>700</v>
      </c>
      <c r="B1369" s="1" t="s">
        <v>1615</v>
      </c>
      <c r="C1369">
        <v>67</v>
      </c>
      <c r="D1369" s="8" t="s">
        <v>1630</v>
      </c>
      <c r="E1369">
        <v>14000</v>
      </c>
      <c r="G1369" t="s">
        <v>683</v>
      </c>
      <c r="H1369" t="s">
        <v>987</v>
      </c>
      <c r="I1369" s="4">
        <v>0.33</v>
      </c>
      <c r="J1369" s="3">
        <v>0.16666666666666666</v>
      </c>
      <c r="N1369" s="3">
        <v>0.5</v>
      </c>
      <c r="O1369" s="3">
        <v>0</v>
      </c>
      <c r="P1369">
        <v>28</v>
      </c>
      <c r="Q1369">
        <v>6.5</v>
      </c>
      <c r="R1369" t="s">
        <v>102</v>
      </c>
      <c r="S1369">
        <v>0</v>
      </c>
      <c r="T1369" s="6">
        <f>10^-(14-Q1369)</f>
        <v>3.1622776601683699E-8</v>
      </c>
      <c r="U1369" s="6">
        <v>0</v>
      </c>
      <c r="V1369" s="6">
        <v>0</v>
      </c>
      <c r="W1369" s="6">
        <v>0</v>
      </c>
      <c r="X1369" s="6">
        <v>0</v>
      </c>
      <c r="Y1369" t="s">
        <v>171</v>
      </c>
      <c r="Z1369" s="5">
        <v>-50</v>
      </c>
      <c r="AD1369">
        <v>1</v>
      </c>
      <c r="AE1369">
        <v>300</v>
      </c>
      <c r="AF1369">
        <v>1</v>
      </c>
      <c r="AK1369" s="9">
        <v>0.16</v>
      </c>
    </row>
    <row r="1370" spans="1:37" x14ac:dyDescent="0.3">
      <c r="A1370" t="s">
        <v>701</v>
      </c>
      <c r="B1370" s="1" t="s">
        <v>1615</v>
      </c>
      <c r="C1370">
        <v>67</v>
      </c>
      <c r="D1370" s="8" t="s">
        <v>1630</v>
      </c>
      <c r="E1370">
        <v>14000</v>
      </c>
      <c r="G1370" t="s">
        <v>683</v>
      </c>
      <c r="H1370" t="s">
        <v>987</v>
      </c>
      <c r="I1370" s="4">
        <v>0.33</v>
      </c>
      <c r="J1370" s="3">
        <v>0.5</v>
      </c>
      <c r="N1370" s="3">
        <v>0.5</v>
      </c>
      <c r="O1370" s="3">
        <v>0</v>
      </c>
      <c r="P1370">
        <v>28</v>
      </c>
      <c r="Q1370">
        <v>6.5</v>
      </c>
      <c r="R1370" t="s">
        <v>102</v>
      </c>
      <c r="S1370">
        <v>0</v>
      </c>
      <c r="T1370" s="6">
        <f>10^-(14-Q1370)</f>
        <v>3.1622776601683699E-8</v>
      </c>
      <c r="U1370" s="6">
        <v>0</v>
      </c>
      <c r="V1370" s="6">
        <v>0</v>
      </c>
      <c r="W1370" s="6">
        <v>0</v>
      </c>
      <c r="X1370" s="6">
        <v>0</v>
      </c>
      <c r="Y1370" t="s">
        <v>171</v>
      </c>
      <c r="Z1370" s="5">
        <v>-60</v>
      </c>
      <c r="AD1370">
        <v>1</v>
      </c>
      <c r="AE1370">
        <v>350</v>
      </c>
      <c r="AF1370">
        <v>1</v>
      </c>
      <c r="AK1370" s="9">
        <v>0.16</v>
      </c>
    </row>
    <row r="1371" spans="1:37" x14ac:dyDescent="0.3">
      <c r="A1371" t="s">
        <v>702</v>
      </c>
      <c r="B1371" s="1" t="s">
        <v>1615</v>
      </c>
      <c r="C1371">
        <v>67</v>
      </c>
      <c r="D1371" s="8" t="s">
        <v>1630</v>
      </c>
      <c r="E1371">
        <v>14000</v>
      </c>
      <c r="G1371" t="s">
        <v>683</v>
      </c>
      <c r="H1371" t="s">
        <v>987</v>
      </c>
      <c r="I1371" s="4">
        <v>0.33</v>
      </c>
      <c r="J1371" s="3">
        <v>1</v>
      </c>
      <c r="N1371" s="3">
        <v>0.5</v>
      </c>
      <c r="O1371" s="3">
        <v>0</v>
      </c>
      <c r="P1371">
        <v>28</v>
      </c>
      <c r="Q1371">
        <v>6.5</v>
      </c>
      <c r="R1371" t="s">
        <v>102</v>
      </c>
      <c r="S1371">
        <v>0</v>
      </c>
      <c r="T1371" s="6">
        <f>10^-(14-Q1371)</f>
        <v>3.1622776601683699E-8</v>
      </c>
      <c r="U1371" s="6">
        <v>0</v>
      </c>
      <c r="V1371" s="6">
        <v>0</v>
      </c>
      <c r="W1371" s="6">
        <v>0</v>
      </c>
      <c r="X1371" s="6">
        <v>0</v>
      </c>
      <c r="Y1371" t="s">
        <v>171</v>
      </c>
      <c r="Z1371" s="5">
        <v>-30</v>
      </c>
      <c r="AD1371">
        <v>1</v>
      </c>
      <c r="AE1371">
        <v>330</v>
      </c>
      <c r="AF1371">
        <v>1</v>
      </c>
      <c r="AK1371" s="9">
        <v>0.16</v>
      </c>
    </row>
    <row r="1372" spans="1:37" x14ac:dyDescent="0.3">
      <c r="A1372" t="s">
        <v>703</v>
      </c>
      <c r="B1372" s="1" t="s">
        <v>1615</v>
      </c>
      <c r="C1372">
        <v>67</v>
      </c>
      <c r="D1372" s="8" t="s">
        <v>1630</v>
      </c>
      <c r="E1372">
        <v>14000</v>
      </c>
      <c r="G1372" t="s">
        <v>683</v>
      </c>
      <c r="H1372" t="s">
        <v>987</v>
      </c>
      <c r="I1372" s="4">
        <v>0.33</v>
      </c>
      <c r="J1372" s="3">
        <v>10</v>
      </c>
      <c r="N1372" s="3">
        <v>0.5</v>
      </c>
      <c r="O1372" s="3">
        <v>0</v>
      </c>
      <c r="P1372">
        <v>28</v>
      </c>
      <c r="Q1372">
        <v>6.5</v>
      </c>
      <c r="R1372" t="s">
        <v>102</v>
      </c>
      <c r="S1372">
        <v>0</v>
      </c>
      <c r="T1372" s="6">
        <f>10^-(14-Q1372)</f>
        <v>3.1622776601683699E-8</v>
      </c>
      <c r="U1372" s="6">
        <v>0</v>
      </c>
      <c r="V1372" s="6">
        <v>0</v>
      </c>
      <c r="W1372" s="6">
        <v>0</v>
      </c>
      <c r="X1372" s="6">
        <v>0</v>
      </c>
      <c r="Y1372" t="s">
        <v>171</v>
      </c>
      <c r="Z1372" s="5">
        <v>20</v>
      </c>
      <c r="AD1372">
        <v>1</v>
      </c>
      <c r="AE1372">
        <v>325</v>
      </c>
      <c r="AF1372">
        <v>1</v>
      </c>
      <c r="AK1372" s="9">
        <v>0.16</v>
      </c>
    </row>
    <row r="1373" spans="1:37" x14ac:dyDescent="0.3">
      <c r="A1373" t="s">
        <v>704</v>
      </c>
      <c r="B1373" s="1" t="s">
        <v>1615</v>
      </c>
      <c r="C1373">
        <v>67</v>
      </c>
      <c r="D1373" s="8" t="s">
        <v>1630</v>
      </c>
      <c r="E1373">
        <v>14000</v>
      </c>
      <c r="G1373" t="s">
        <v>684</v>
      </c>
      <c r="H1373" t="s">
        <v>987</v>
      </c>
      <c r="I1373" s="4">
        <v>0.33</v>
      </c>
      <c r="J1373" s="3">
        <v>1</v>
      </c>
      <c r="N1373" s="3">
        <v>0.5</v>
      </c>
      <c r="O1373" s="3">
        <v>0</v>
      </c>
      <c r="P1373">
        <v>28</v>
      </c>
      <c r="Q1373">
        <v>6.5</v>
      </c>
      <c r="R1373" t="s">
        <v>102</v>
      </c>
      <c r="S1373">
        <v>0</v>
      </c>
      <c r="T1373" s="6">
        <f>10^-(14-Q1373)</f>
        <v>3.1622776601683699E-8</v>
      </c>
      <c r="U1373" s="6">
        <v>0</v>
      </c>
      <c r="V1373" s="6">
        <v>0</v>
      </c>
      <c r="W1373" s="6">
        <v>0</v>
      </c>
      <c r="X1373" s="6">
        <v>0</v>
      </c>
      <c r="Y1373" t="s">
        <v>171</v>
      </c>
      <c r="AD1373">
        <v>1</v>
      </c>
      <c r="AE1373">
        <v>330</v>
      </c>
      <c r="AF1373">
        <v>1</v>
      </c>
      <c r="AK1373" s="9">
        <v>0.16</v>
      </c>
    </row>
    <row r="1374" spans="1:37" x14ac:dyDescent="0.3">
      <c r="A1374" t="s">
        <v>705</v>
      </c>
      <c r="B1374" s="1" t="s">
        <v>1615</v>
      </c>
      <c r="C1374">
        <v>67</v>
      </c>
      <c r="D1374" s="8" t="s">
        <v>1630</v>
      </c>
      <c r="E1374">
        <v>14000</v>
      </c>
      <c r="G1374" t="s">
        <v>685</v>
      </c>
      <c r="H1374" t="s">
        <v>987</v>
      </c>
      <c r="I1374" s="4">
        <v>0.33</v>
      </c>
      <c r="J1374" s="3">
        <v>1</v>
      </c>
      <c r="N1374" s="3">
        <v>0.5</v>
      </c>
      <c r="O1374" s="3">
        <v>0</v>
      </c>
      <c r="P1374">
        <v>28</v>
      </c>
      <c r="Q1374">
        <v>6.5</v>
      </c>
      <c r="R1374" t="s">
        <v>102</v>
      </c>
      <c r="S1374">
        <v>0</v>
      </c>
      <c r="T1374" s="6">
        <f>10^-(14-Q1374)</f>
        <v>3.1622776601683699E-8</v>
      </c>
      <c r="U1374" s="6">
        <v>0</v>
      </c>
      <c r="V1374" s="6">
        <v>0</v>
      </c>
      <c r="W1374" s="6">
        <v>0</v>
      </c>
      <c r="X1374" s="6">
        <v>0</v>
      </c>
      <c r="Y1374" t="s">
        <v>171</v>
      </c>
      <c r="AD1374">
        <v>1</v>
      </c>
      <c r="AE1374">
        <v>320</v>
      </c>
      <c r="AF1374">
        <v>1</v>
      </c>
      <c r="AK1374" s="9">
        <v>0.16</v>
      </c>
    </row>
    <row r="1375" spans="1:37" x14ac:dyDescent="0.3">
      <c r="A1375" t="s">
        <v>706</v>
      </c>
      <c r="B1375" s="1" t="s">
        <v>1615</v>
      </c>
      <c r="C1375">
        <v>67</v>
      </c>
      <c r="D1375" s="8" t="s">
        <v>1630</v>
      </c>
      <c r="E1375">
        <v>14000</v>
      </c>
      <c r="G1375" t="s">
        <v>678</v>
      </c>
      <c r="H1375" t="s">
        <v>987</v>
      </c>
      <c r="I1375" s="4">
        <v>0.33</v>
      </c>
      <c r="J1375" s="3">
        <v>1</v>
      </c>
      <c r="N1375" s="3">
        <v>0.5</v>
      </c>
      <c r="O1375" s="3">
        <v>0</v>
      </c>
      <c r="P1375">
        <v>28</v>
      </c>
      <c r="Q1375">
        <v>6.5</v>
      </c>
      <c r="R1375" t="s">
        <v>102</v>
      </c>
      <c r="S1375">
        <v>0</v>
      </c>
      <c r="T1375" s="6">
        <f>10^-(14-Q1375)</f>
        <v>3.1622776601683699E-8</v>
      </c>
      <c r="U1375" s="6">
        <v>0</v>
      </c>
      <c r="V1375" s="6">
        <v>0</v>
      </c>
      <c r="W1375" s="6">
        <v>0</v>
      </c>
      <c r="X1375" s="6">
        <v>0</v>
      </c>
      <c r="Y1375" t="s">
        <v>171</v>
      </c>
      <c r="AD1375">
        <v>1</v>
      </c>
      <c r="AE1375">
        <v>320</v>
      </c>
      <c r="AF1375">
        <v>1</v>
      </c>
      <c r="AK1375" s="9">
        <v>0.16</v>
      </c>
    </row>
    <row r="1376" spans="1:37" x14ac:dyDescent="0.3">
      <c r="A1376" t="s">
        <v>707</v>
      </c>
      <c r="B1376" s="1" t="s">
        <v>1615</v>
      </c>
      <c r="C1376">
        <v>67</v>
      </c>
      <c r="D1376" s="8" t="s">
        <v>1630</v>
      </c>
      <c r="E1376">
        <v>14000</v>
      </c>
      <c r="G1376" t="s">
        <v>686</v>
      </c>
      <c r="H1376" t="s">
        <v>987</v>
      </c>
      <c r="I1376" s="4">
        <v>0.33</v>
      </c>
      <c r="J1376" s="3">
        <v>1</v>
      </c>
      <c r="N1376" s="3">
        <v>0.5</v>
      </c>
      <c r="O1376" s="3">
        <v>0</v>
      </c>
      <c r="P1376">
        <v>28</v>
      </c>
      <c r="Q1376">
        <v>6.5</v>
      </c>
      <c r="R1376" t="s">
        <v>102</v>
      </c>
      <c r="S1376">
        <v>0</v>
      </c>
      <c r="T1376" s="6">
        <f>10^-(14-Q1376)</f>
        <v>3.1622776601683699E-8</v>
      </c>
      <c r="U1376" s="6">
        <v>0</v>
      </c>
      <c r="V1376" s="6">
        <v>0</v>
      </c>
      <c r="W1376" s="6">
        <v>0</v>
      </c>
      <c r="X1376" s="6">
        <v>0</v>
      </c>
      <c r="Y1376" t="s">
        <v>171</v>
      </c>
      <c r="AD1376">
        <v>1</v>
      </c>
      <c r="AE1376">
        <v>340</v>
      </c>
      <c r="AF1376">
        <v>1</v>
      </c>
      <c r="AK1376" s="9">
        <v>0.16</v>
      </c>
    </row>
    <row r="1377" spans="1:37" x14ac:dyDescent="0.3">
      <c r="A1377" t="s">
        <v>708</v>
      </c>
      <c r="B1377" s="1" t="s">
        <v>1615</v>
      </c>
      <c r="C1377">
        <v>67</v>
      </c>
      <c r="D1377" s="8" t="s">
        <v>1630</v>
      </c>
      <c r="E1377">
        <v>14000</v>
      </c>
      <c r="G1377" t="s">
        <v>29</v>
      </c>
      <c r="H1377" t="s">
        <v>987</v>
      </c>
      <c r="J1377" s="3">
        <v>12</v>
      </c>
      <c r="N1377" s="3">
        <v>0.5</v>
      </c>
      <c r="O1377" s="3">
        <v>0</v>
      </c>
      <c r="P1377">
        <v>28</v>
      </c>
      <c r="Q1377">
        <v>6.5</v>
      </c>
      <c r="R1377" t="s">
        <v>102</v>
      </c>
      <c r="S1377">
        <v>0</v>
      </c>
      <c r="T1377" s="6">
        <f>10^-(14-Q1377)</f>
        <v>3.1622776601683699E-8</v>
      </c>
      <c r="U1377" s="6">
        <v>0</v>
      </c>
      <c r="V1377" s="6">
        <v>0</v>
      </c>
      <c r="W1377" s="6">
        <v>0</v>
      </c>
      <c r="X1377" s="6">
        <v>0</v>
      </c>
      <c r="Y1377" t="s">
        <v>171</v>
      </c>
      <c r="Z1377" s="5">
        <v>-150</v>
      </c>
      <c r="AD1377">
        <v>1</v>
      </c>
      <c r="AE1377">
        <v>225</v>
      </c>
      <c r="AF1377">
        <v>1</v>
      </c>
      <c r="AK1377" s="9">
        <v>0.16</v>
      </c>
    </row>
    <row r="1378" spans="1:37" x14ac:dyDescent="0.3">
      <c r="A1378" t="s">
        <v>709</v>
      </c>
      <c r="B1378" s="1" t="s">
        <v>1615</v>
      </c>
      <c r="C1378">
        <v>67</v>
      </c>
      <c r="D1378" s="8" t="s">
        <v>1630</v>
      </c>
      <c r="E1378">
        <v>14000</v>
      </c>
      <c r="G1378" t="s">
        <v>683</v>
      </c>
      <c r="H1378" t="s">
        <v>987</v>
      </c>
      <c r="I1378" s="4">
        <v>0.33</v>
      </c>
      <c r="J1378" s="3">
        <v>0.16666666666666666</v>
      </c>
      <c r="N1378" s="3">
        <v>0.5</v>
      </c>
      <c r="O1378" s="3">
        <v>0</v>
      </c>
      <c r="P1378">
        <v>28</v>
      </c>
      <c r="Q1378">
        <v>6.5</v>
      </c>
      <c r="R1378" t="s">
        <v>102</v>
      </c>
      <c r="S1378">
        <v>0</v>
      </c>
      <c r="T1378" s="6">
        <f>10^-(14-Q1378)</f>
        <v>3.1622776601683699E-8</v>
      </c>
      <c r="U1378" s="6">
        <v>0</v>
      </c>
      <c r="V1378" s="6">
        <v>0</v>
      </c>
      <c r="W1378" s="6">
        <v>0</v>
      </c>
      <c r="X1378" s="6">
        <v>0</v>
      </c>
      <c r="Y1378" t="s">
        <v>171</v>
      </c>
      <c r="Z1378" s="5">
        <v>-50</v>
      </c>
      <c r="AD1378">
        <v>1</v>
      </c>
      <c r="AE1378">
        <v>320</v>
      </c>
      <c r="AF1378">
        <v>1</v>
      </c>
      <c r="AK1378" s="9">
        <v>0.16</v>
      </c>
    </row>
    <row r="1379" spans="1:37" x14ac:dyDescent="0.3">
      <c r="A1379" t="s">
        <v>710</v>
      </c>
      <c r="B1379" s="1" t="s">
        <v>1615</v>
      </c>
      <c r="C1379">
        <v>67</v>
      </c>
      <c r="D1379" s="8" t="s">
        <v>1630</v>
      </c>
      <c r="E1379">
        <v>14000</v>
      </c>
      <c r="G1379" t="s">
        <v>683</v>
      </c>
      <c r="H1379" t="s">
        <v>987</v>
      </c>
      <c r="I1379" s="4">
        <v>0.33</v>
      </c>
      <c r="J1379" s="3">
        <v>0.5</v>
      </c>
      <c r="N1379" s="3">
        <v>0.5</v>
      </c>
      <c r="O1379" s="3">
        <v>0</v>
      </c>
      <c r="P1379">
        <v>28</v>
      </c>
      <c r="Q1379">
        <v>6.5</v>
      </c>
      <c r="R1379" t="s">
        <v>102</v>
      </c>
      <c r="S1379">
        <v>0</v>
      </c>
      <c r="T1379" s="6">
        <f>10^-(14-Q1379)</f>
        <v>3.1622776601683699E-8</v>
      </c>
      <c r="U1379" s="6">
        <v>0</v>
      </c>
      <c r="V1379" s="6">
        <v>0</v>
      </c>
      <c r="W1379" s="6">
        <v>0</v>
      </c>
      <c r="X1379" s="6">
        <v>0</v>
      </c>
      <c r="Y1379" t="s">
        <v>171</v>
      </c>
      <c r="Z1379" s="5">
        <v>-60</v>
      </c>
      <c r="AD1379">
        <v>1</v>
      </c>
      <c r="AE1379">
        <v>345</v>
      </c>
      <c r="AF1379">
        <v>1</v>
      </c>
      <c r="AK1379" s="9">
        <v>0.16</v>
      </c>
    </row>
    <row r="1380" spans="1:37" x14ac:dyDescent="0.3">
      <c r="A1380" t="s">
        <v>711</v>
      </c>
      <c r="B1380" s="1" t="s">
        <v>1615</v>
      </c>
      <c r="C1380">
        <v>67</v>
      </c>
      <c r="D1380" s="8" t="s">
        <v>1630</v>
      </c>
      <c r="E1380">
        <v>14000</v>
      </c>
      <c r="G1380" t="s">
        <v>683</v>
      </c>
      <c r="H1380" t="s">
        <v>987</v>
      </c>
      <c r="I1380" s="4">
        <v>0.33</v>
      </c>
      <c r="J1380" s="3">
        <v>1</v>
      </c>
      <c r="N1380" s="3">
        <v>0.5</v>
      </c>
      <c r="O1380" s="3">
        <v>0</v>
      </c>
      <c r="P1380">
        <v>28</v>
      </c>
      <c r="Q1380">
        <v>6.5</v>
      </c>
      <c r="R1380" t="s">
        <v>102</v>
      </c>
      <c r="S1380">
        <v>0</v>
      </c>
      <c r="T1380" s="6">
        <f>10^-(14-Q1380)</f>
        <v>3.1622776601683699E-8</v>
      </c>
      <c r="U1380" s="6">
        <v>0</v>
      </c>
      <c r="V1380" s="6">
        <v>0</v>
      </c>
      <c r="W1380" s="6">
        <v>0</v>
      </c>
      <c r="X1380" s="6">
        <v>0</v>
      </c>
      <c r="Y1380" t="s">
        <v>171</v>
      </c>
      <c r="Z1380" s="5">
        <v>-30</v>
      </c>
      <c r="AD1380">
        <v>1</v>
      </c>
      <c r="AE1380">
        <v>335</v>
      </c>
      <c r="AF1380">
        <v>1</v>
      </c>
      <c r="AK1380" s="9">
        <v>0.16</v>
      </c>
    </row>
    <row r="1381" spans="1:37" x14ac:dyDescent="0.3">
      <c r="A1381" t="s">
        <v>712</v>
      </c>
      <c r="B1381" s="1" t="s">
        <v>1615</v>
      </c>
      <c r="C1381">
        <v>67</v>
      </c>
      <c r="D1381" s="8" t="s">
        <v>1630</v>
      </c>
      <c r="E1381">
        <v>14000</v>
      </c>
      <c r="G1381" t="s">
        <v>683</v>
      </c>
      <c r="H1381" t="s">
        <v>987</v>
      </c>
      <c r="I1381" s="4">
        <v>0.33</v>
      </c>
      <c r="J1381" s="3">
        <v>10</v>
      </c>
      <c r="N1381" s="3">
        <v>0.5</v>
      </c>
      <c r="O1381" s="3">
        <v>0</v>
      </c>
      <c r="P1381">
        <v>28</v>
      </c>
      <c r="Q1381">
        <v>6.5</v>
      </c>
      <c r="R1381" t="s">
        <v>102</v>
      </c>
      <c r="S1381">
        <v>0</v>
      </c>
      <c r="T1381" s="6">
        <f>10^-(14-Q1381)</f>
        <v>3.1622776601683699E-8</v>
      </c>
      <c r="U1381" s="6">
        <v>0</v>
      </c>
      <c r="V1381" s="6">
        <v>0</v>
      </c>
      <c r="W1381" s="6">
        <v>0</v>
      </c>
      <c r="X1381" s="6">
        <v>0</v>
      </c>
      <c r="Y1381" t="s">
        <v>171</v>
      </c>
      <c r="Z1381" s="5">
        <v>20</v>
      </c>
      <c r="AD1381">
        <v>1</v>
      </c>
      <c r="AE1381">
        <v>330</v>
      </c>
      <c r="AF1381">
        <v>1</v>
      </c>
      <c r="AK1381" s="9">
        <v>0.16</v>
      </c>
    </row>
    <row r="1382" spans="1:37" x14ac:dyDescent="0.3">
      <c r="A1382" t="s">
        <v>713</v>
      </c>
      <c r="B1382" s="1" t="s">
        <v>1615</v>
      </c>
      <c r="C1382">
        <v>67</v>
      </c>
      <c r="D1382" s="8" t="s">
        <v>1630</v>
      </c>
      <c r="E1382">
        <v>14000</v>
      </c>
      <c r="G1382" t="s">
        <v>684</v>
      </c>
      <c r="H1382" t="s">
        <v>987</v>
      </c>
      <c r="I1382" s="4">
        <v>0.33</v>
      </c>
      <c r="J1382" s="3">
        <v>1</v>
      </c>
      <c r="N1382" s="3">
        <v>0.5</v>
      </c>
      <c r="O1382" s="3">
        <v>0</v>
      </c>
      <c r="P1382">
        <v>28</v>
      </c>
      <c r="Q1382">
        <v>6.5</v>
      </c>
      <c r="R1382" t="s">
        <v>102</v>
      </c>
      <c r="S1382">
        <v>0</v>
      </c>
      <c r="T1382" s="6">
        <f>10^-(14-Q1382)</f>
        <v>3.1622776601683699E-8</v>
      </c>
      <c r="U1382" s="6">
        <v>0</v>
      </c>
      <c r="V1382" s="6">
        <v>0</v>
      </c>
      <c r="W1382" s="6">
        <v>0</v>
      </c>
      <c r="X1382" s="6">
        <v>0</v>
      </c>
      <c r="Y1382" t="s">
        <v>171</v>
      </c>
      <c r="AD1382">
        <v>1</v>
      </c>
      <c r="AE1382">
        <v>330</v>
      </c>
      <c r="AF1382">
        <v>1</v>
      </c>
      <c r="AK1382" s="9">
        <v>0.16</v>
      </c>
    </row>
    <row r="1383" spans="1:37" x14ac:dyDescent="0.3">
      <c r="A1383" t="s">
        <v>714</v>
      </c>
      <c r="B1383" s="1" t="s">
        <v>1615</v>
      </c>
      <c r="C1383">
        <v>67</v>
      </c>
      <c r="D1383" s="8" t="s">
        <v>1630</v>
      </c>
      <c r="E1383">
        <v>14000</v>
      </c>
      <c r="G1383" t="s">
        <v>685</v>
      </c>
      <c r="H1383" t="s">
        <v>987</v>
      </c>
      <c r="I1383" s="4">
        <v>0.33</v>
      </c>
      <c r="J1383" s="3">
        <v>1</v>
      </c>
      <c r="N1383" s="3">
        <v>0.5</v>
      </c>
      <c r="O1383" s="3">
        <v>0</v>
      </c>
      <c r="P1383">
        <v>28</v>
      </c>
      <c r="Q1383">
        <v>6.5</v>
      </c>
      <c r="R1383" t="s">
        <v>102</v>
      </c>
      <c r="S1383">
        <v>0</v>
      </c>
      <c r="T1383" s="6">
        <f>10^-(14-Q1383)</f>
        <v>3.1622776601683699E-8</v>
      </c>
      <c r="U1383" s="6">
        <v>0</v>
      </c>
      <c r="V1383" s="6">
        <v>0</v>
      </c>
      <c r="W1383" s="6">
        <v>0</v>
      </c>
      <c r="X1383" s="6">
        <v>0</v>
      </c>
      <c r="Y1383" t="s">
        <v>171</v>
      </c>
      <c r="AD1383">
        <v>1</v>
      </c>
      <c r="AE1383">
        <v>330</v>
      </c>
      <c r="AF1383">
        <v>1</v>
      </c>
      <c r="AK1383" s="9">
        <v>0.16</v>
      </c>
    </row>
    <row r="1384" spans="1:37" x14ac:dyDescent="0.3">
      <c r="A1384" t="s">
        <v>715</v>
      </c>
      <c r="B1384" s="1" t="s">
        <v>1615</v>
      </c>
      <c r="C1384">
        <v>67</v>
      </c>
      <c r="D1384" s="8" t="s">
        <v>1630</v>
      </c>
      <c r="E1384">
        <v>14000</v>
      </c>
      <c r="G1384" t="s">
        <v>678</v>
      </c>
      <c r="H1384" t="s">
        <v>987</v>
      </c>
      <c r="I1384" s="4">
        <v>0.33</v>
      </c>
      <c r="J1384" s="3">
        <v>1</v>
      </c>
      <c r="N1384" s="3">
        <v>0.5</v>
      </c>
      <c r="O1384" s="3">
        <v>0</v>
      </c>
      <c r="P1384">
        <v>28</v>
      </c>
      <c r="Q1384">
        <v>6.5</v>
      </c>
      <c r="R1384" t="s">
        <v>102</v>
      </c>
      <c r="S1384">
        <v>0</v>
      </c>
      <c r="T1384" s="6">
        <f>10^-(14-Q1384)</f>
        <v>3.1622776601683699E-8</v>
      </c>
      <c r="U1384" s="6">
        <v>0</v>
      </c>
      <c r="V1384" s="6">
        <v>0</v>
      </c>
      <c r="W1384" s="6">
        <v>0</v>
      </c>
      <c r="X1384" s="6">
        <v>0</v>
      </c>
      <c r="Y1384" t="s">
        <v>171</v>
      </c>
      <c r="AD1384">
        <v>1</v>
      </c>
      <c r="AE1384">
        <v>325</v>
      </c>
      <c r="AF1384">
        <v>1</v>
      </c>
      <c r="AK1384" s="9">
        <v>0.16</v>
      </c>
    </row>
    <row r="1385" spans="1:37" x14ac:dyDescent="0.3">
      <c r="A1385" t="s">
        <v>716</v>
      </c>
      <c r="B1385" s="1" t="s">
        <v>1615</v>
      </c>
      <c r="C1385">
        <v>67</v>
      </c>
      <c r="D1385" s="8" t="s">
        <v>1630</v>
      </c>
      <c r="E1385">
        <v>14000</v>
      </c>
      <c r="G1385" t="s">
        <v>686</v>
      </c>
      <c r="H1385" t="s">
        <v>987</v>
      </c>
      <c r="I1385" s="4">
        <v>0.33</v>
      </c>
      <c r="J1385" s="3">
        <v>1</v>
      </c>
      <c r="N1385" s="3">
        <v>0.5</v>
      </c>
      <c r="O1385" s="3">
        <v>0</v>
      </c>
      <c r="P1385">
        <v>28</v>
      </c>
      <c r="Q1385">
        <v>6.5</v>
      </c>
      <c r="R1385" t="s">
        <v>102</v>
      </c>
      <c r="S1385">
        <v>0</v>
      </c>
      <c r="T1385" s="6">
        <f>10^-(14-Q1385)</f>
        <v>3.1622776601683699E-8</v>
      </c>
      <c r="U1385" s="6">
        <v>0</v>
      </c>
      <c r="V1385" s="6">
        <v>0</v>
      </c>
      <c r="W1385" s="6">
        <v>0</v>
      </c>
      <c r="X1385" s="6">
        <v>0</v>
      </c>
      <c r="Y1385" t="s">
        <v>171</v>
      </c>
      <c r="AD1385">
        <v>1</v>
      </c>
      <c r="AE1385">
        <v>340</v>
      </c>
      <c r="AF1385">
        <v>1</v>
      </c>
      <c r="AK1385" s="9">
        <v>0.16</v>
      </c>
    </row>
    <row r="1386" spans="1:37" x14ac:dyDescent="0.3">
      <c r="A1386" t="s">
        <v>717</v>
      </c>
      <c r="B1386" s="1" t="s">
        <v>1615</v>
      </c>
      <c r="C1386">
        <v>67</v>
      </c>
      <c r="D1386" s="8" t="s">
        <v>1630</v>
      </c>
      <c r="E1386">
        <v>14000</v>
      </c>
      <c r="G1386" t="s">
        <v>29</v>
      </c>
      <c r="H1386" t="s">
        <v>987</v>
      </c>
      <c r="J1386" s="3">
        <v>12</v>
      </c>
      <c r="N1386" s="3">
        <v>0.5</v>
      </c>
      <c r="O1386" s="3">
        <v>0</v>
      </c>
      <c r="P1386">
        <v>28</v>
      </c>
      <c r="Q1386">
        <v>6.5</v>
      </c>
      <c r="R1386" t="s">
        <v>102</v>
      </c>
      <c r="S1386">
        <v>0</v>
      </c>
      <c r="T1386" s="6">
        <f>10^-(14-Q1386)</f>
        <v>3.1622776601683699E-8</v>
      </c>
      <c r="U1386" s="6">
        <v>0</v>
      </c>
      <c r="V1386" s="6">
        <v>0</v>
      </c>
      <c r="W1386" s="6">
        <v>0</v>
      </c>
      <c r="X1386" s="6">
        <v>0</v>
      </c>
      <c r="Y1386" t="s">
        <v>171</v>
      </c>
      <c r="Z1386" s="5">
        <v>-150</v>
      </c>
      <c r="AD1386">
        <v>1</v>
      </c>
      <c r="AE1386">
        <v>230</v>
      </c>
      <c r="AF1386">
        <v>1</v>
      </c>
      <c r="AK1386" s="9">
        <v>0.16</v>
      </c>
    </row>
    <row r="1387" spans="1:37" x14ac:dyDescent="0.3">
      <c r="A1387" t="s">
        <v>718</v>
      </c>
      <c r="B1387" s="1" t="s">
        <v>1615</v>
      </c>
      <c r="C1387">
        <v>67</v>
      </c>
      <c r="D1387" s="8" t="s">
        <v>1630</v>
      </c>
      <c r="E1387">
        <v>14000</v>
      </c>
      <c r="G1387" t="s">
        <v>683</v>
      </c>
      <c r="H1387" t="s">
        <v>987</v>
      </c>
      <c r="I1387" s="4">
        <v>0.33</v>
      </c>
      <c r="J1387" s="3">
        <v>0.16666666666666666</v>
      </c>
      <c r="N1387" s="3">
        <v>0.5</v>
      </c>
      <c r="O1387" s="3">
        <v>0</v>
      </c>
      <c r="P1387">
        <v>28</v>
      </c>
      <c r="Q1387">
        <v>6.5</v>
      </c>
      <c r="R1387" t="s">
        <v>102</v>
      </c>
      <c r="S1387">
        <v>0</v>
      </c>
      <c r="T1387" s="6">
        <f>10^-(14-Q1387)</f>
        <v>3.1622776601683699E-8</v>
      </c>
      <c r="U1387" s="6">
        <v>0</v>
      </c>
      <c r="V1387" s="6">
        <v>0</v>
      </c>
      <c r="W1387" s="6">
        <v>0</v>
      </c>
      <c r="X1387" s="6">
        <v>0</v>
      </c>
      <c r="Y1387" t="s">
        <v>171</v>
      </c>
      <c r="Z1387" s="5">
        <v>-50</v>
      </c>
      <c r="AD1387">
        <v>1</v>
      </c>
      <c r="AE1387">
        <v>335</v>
      </c>
      <c r="AF1387">
        <v>1</v>
      </c>
      <c r="AK1387" s="9">
        <v>0.16</v>
      </c>
    </row>
    <row r="1388" spans="1:37" x14ac:dyDescent="0.3">
      <c r="A1388" t="s">
        <v>719</v>
      </c>
      <c r="B1388" s="1" t="s">
        <v>1615</v>
      </c>
      <c r="C1388">
        <v>67</v>
      </c>
      <c r="D1388" s="8" t="s">
        <v>1630</v>
      </c>
      <c r="E1388">
        <v>14000</v>
      </c>
      <c r="G1388" t="s">
        <v>683</v>
      </c>
      <c r="H1388" t="s">
        <v>987</v>
      </c>
      <c r="I1388" s="4">
        <v>0.33</v>
      </c>
      <c r="J1388" s="3">
        <v>0.5</v>
      </c>
      <c r="N1388" s="3">
        <v>0.5</v>
      </c>
      <c r="O1388" s="3">
        <v>0</v>
      </c>
      <c r="P1388">
        <v>28</v>
      </c>
      <c r="Q1388">
        <v>6.5</v>
      </c>
      <c r="R1388" t="s">
        <v>102</v>
      </c>
      <c r="S1388">
        <v>0</v>
      </c>
      <c r="T1388" s="6">
        <f>10^-(14-Q1388)</f>
        <v>3.1622776601683699E-8</v>
      </c>
      <c r="U1388" s="6">
        <v>0</v>
      </c>
      <c r="V1388" s="6">
        <v>0</v>
      </c>
      <c r="W1388" s="6">
        <v>0</v>
      </c>
      <c r="X1388" s="6">
        <v>0</v>
      </c>
      <c r="Y1388" t="s">
        <v>171</v>
      </c>
      <c r="Z1388" s="5">
        <v>-60</v>
      </c>
      <c r="AD1388">
        <v>1</v>
      </c>
      <c r="AE1388">
        <v>350</v>
      </c>
      <c r="AF1388">
        <v>1</v>
      </c>
      <c r="AK1388" s="9">
        <v>0.16</v>
      </c>
    </row>
    <row r="1389" spans="1:37" x14ac:dyDescent="0.3">
      <c r="A1389" t="s">
        <v>720</v>
      </c>
      <c r="B1389" s="1" t="s">
        <v>1615</v>
      </c>
      <c r="C1389">
        <v>67</v>
      </c>
      <c r="D1389" s="8" t="s">
        <v>1630</v>
      </c>
      <c r="E1389">
        <v>14000</v>
      </c>
      <c r="G1389" t="s">
        <v>683</v>
      </c>
      <c r="H1389" t="s">
        <v>987</v>
      </c>
      <c r="I1389" s="4">
        <v>0.33</v>
      </c>
      <c r="J1389" s="3">
        <v>1</v>
      </c>
      <c r="N1389" s="3">
        <v>0.5</v>
      </c>
      <c r="O1389" s="3">
        <v>0</v>
      </c>
      <c r="P1389">
        <v>28</v>
      </c>
      <c r="Q1389">
        <v>6.5</v>
      </c>
      <c r="R1389" t="s">
        <v>102</v>
      </c>
      <c r="S1389">
        <v>0</v>
      </c>
      <c r="T1389" s="6">
        <f>10^-(14-Q1389)</f>
        <v>3.1622776601683699E-8</v>
      </c>
      <c r="U1389" s="6">
        <v>0</v>
      </c>
      <c r="V1389" s="6">
        <v>0</v>
      </c>
      <c r="W1389" s="6">
        <v>0</v>
      </c>
      <c r="X1389" s="6">
        <v>0</v>
      </c>
      <c r="Y1389" t="s">
        <v>171</v>
      </c>
      <c r="Z1389" s="5">
        <v>-30</v>
      </c>
      <c r="AD1389">
        <v>1</v>
      </c>
      <c r="AE1389">
        <v>345</v>
      </c>
      <c r="AF1389">
        <v>1</v>
      </c>
      <c r="AK1389" s="9">
        <v>0.16</v>
      </c>
    </row>
    <row r="1390" spans="1:37" x14ac:dyDescent="0.3">
      <c r="A1390" t="s">
        <v>721</v>
      </c>
      <c r="B1390" s="1" t="s">
        <v>1615</v>
      </c>
      <c r="C1390">
        <v>67</v>
      </c>
      <c r="D1390" s="8" t="s">
        <v>1630</v>
      </c>
      <c r="E1390">
        <v>14000</v>
      </c>
      <c r="G1390" t="s">
        <v>683</v>
      </c>
      <c r="H1390" t="s">
        <v>987</v>
      </c>
      <c r="I1390" s="4">
        <v>0.33</v>
      </c>
      <c r="J1390" s="3">
        <v>10</v>
      </c>
      <c r="N1390" s="3">
        <v>0.5</v>
      </c>
      <c r="O1390" s="3">
        <v>0</v>
      </c>
      <c r="P1390">
        <v>28</v>
      </c>
      <c r="Q1390">
        <v>6.5</v>
      </c>
      <c r="R1390" t="s">
        <v>102</v>
      </c>
      <c r="S1390">
        <v>0</v>
      </c>
      <c r="T1390" s="6">
        <f>10^-(14-Q1390)</f>
        <v>3.1622776601683699E-8</v>
      </c>
      <c r="U1390" s="6">
        <v>0</v>
      </c>
      <c r="V1390" s="6">
        <v>0</v>
      </c>
      <c r="W1390" s="6">
        <v>0</v>
      </c>
      <c r="X1390" s="6">
        <v>0</v>
      </c>
      <c r="Y1390" t="s">
        <v>171</v>
      </c>
      <c r="Z1390" s="5">
        <v>20</v>
      </c>
      <c r="AD1390">
        <v>1</v>
      </c>
      <c r="AE1390">
        <v>340</v>
      </c>
      <c r="AF1390">
        <v>1</v>
      </c>
      <c r="AK1390" s="9">
        <v>0.16</v>
      </c>
    </row>
    <row r="1391" spans="1:37" x14ac:dyDescent="0.3">
      <c r="A1391" t="s">
        <v>722</v>
      </c>
      <c r="B1391" s="1" t="s">
        <v>1615</v>
      </c>
      <c r="C1391">
        <v>67</v>
      </c>
      <c r="D1391" s="8" t="s">
        <v>1630</v>
      </c>
      <c r="E1391">
        <v>14000</v>
      </c>
      <c r="G1391" t="s">
        <v>684</v>
      </c>
      <c r="H1391" t="s">
        <v>987</v>
      </c>
      <c r="I1391" s="4">
        <v>0.33</v>
      </c>
      <c r="J1391" s="3">
        <v>1</v>
      </c>
      <c r="N1391" s="3">
        <v>0.5</v>
      </c>
      <c r="O1391" s="3">
        <v>0</v>
      </c>
      <c r="P1391">
        <v>28</v>
      </c>
      <c r="Q1391">
        <v>6.5</v>
      </c>
      <c r="R1391" t="s">
        <v>102</v>
      </c>
      <c r="S1391">
        <v>0</v>
      </c>
      <c r="T1391" s="6">
        <f>10^-(14-Q1391)</f>
        <v>3.1622776601683699E-8</v>
      </c>
      <c r="U1391" s="6">
        <v>0</v>
      </c>
      <c r="V1391" s="6">
        <v>0</v>
      </c>
      <c r="W1391" s="6">
        <v>0</v>
      </c>
      <c r="X1391" s="6">
        <v>0</v>
      </c>
      <c r="Y1391" t="s">
        <v>171</v>
      </c>
      <c r="AD1391">
        <v>1</v>
      </c>
      <c r="AE1391">
        <v>335</v>
      </c>
      <c r="AF1391">
        <v>1</v>
      </c>
      <c r="AK1391" s="9">
        <v>0.16</v>
      </c>
    </row>
    <row r="1392" spans="1:37" x14ac:dyDescent="0.3">
      <c r="A1392" t="s">
        <v>723</v>
      </c>
      <c r="B1392" s="1" t="s">
        <v>1615</v>
      </c>
      <c r="C1392">
        <v>67</v>
      </c>
      <c r="D1392" s="8" t="s">
        <v>1630</v>
      </c>
      <c r="E1392">
        <v>14000</v>
      </c>
      <c r="G1392" t="s">
        <v>685</v>
      </c>
      <c r="H1392" t="s">
        <v>987</v>
      </c>
      <c r="I1392" s="4">
        <v>0.33</v>
      </c>
      <c r="J1392" s="3">
        <v>1</v>
      </c>
      <c r="N1392" s="3">
        <v>0.5</v>
      </c>
      <c r="O1392" s="3">
        <v>0</v>
      </c>
      <c r="P1392">
        <v>28</v>
      </c>
      <c r="Q1392">
        <v>6.5</v>
      </c>
      <c r="R1392" t="s">
        <v>102</v>
      </c>
      <c r="S1392">
        <v>0</v>
      </c>
      <c r="T1392" s="6">
        <f>10^-(14-Q1392)</f>
        <v>3.1622776601683699E-8</v>
      </c>
      <c r="U1392" s="6">
        <v>0</v>
      </c>
      <c r="V1392" s="6">
        <v>0</v>
      </c>
      <c r="W1392" s="6">
        <v>0</v>
      </c>
      <c r="X1392" s="6">
        <v>0</v>
      </c>
      <c r="Y1392" t="s">
        <v>171</v>
      </c>
      <c r="AD1392">
        <v>1</v>
      </c>
      <c r="AE1392">
        <v>330</v>
      </c>
      <c r="AF1392">
        <v>1</v>
      </c>
      <c r="AK1392" s="9">
        <v>0.16</v>
      </c>
    </row>
    <row r="1393" spans="1:37" x14ac:dyDescent="0.3">
      <c r="A1393" t="s">
        <v>724</v>
      </c>
      <c r="B1393" s="1" t="s">
        <v>1615</v>
      </c>
      <c r="C1393">
        <v>67</v>
      </c>
      <c r="D1393" s="8" t="s">
        <v>1630</v>
      </c>
      <c r="E1393">
        <v>14000</v>
      </c>
      <c r="G1393" t="s">
        <v>678</v>
      </c>
      <c r="H1393" t="s">
        <v>987</v>
      </c>
      <c r="I1393" s="4">
        <v>0.33</v>
      </c>
      <c r="J1393" s="3">
        <v>1</v>
      </c>
      <c r="N1393" s="3">
        <v>0.5</v>
      </c>
      <c r="O1393" s="3">
        <v>0</v>
      </c>
      <c r="P1393">
        <v>28</v>
      </c>
      <c r="Q1393">
        <v>6.5</v>
      </c>
      <c r="R1393" t="s">
        <v>102</v>
      </c>
      <c r="S1393">
        <v>0</v>
      </c>
      <c r="T1393" s="6">
        <f>10^-(14-Q1393)</f>
        <v>3.1622776601683699E-8</v>
      </c>
      <c r="U1393" s="6">
        <v>0</v>
      </c>
      <c r="V1393" s="6">
        <v>0</v>
      </c>
      <c r="W1393" s="6">
        <v>0</v>
      </c>
      <c r="X1393" s="6">
        <v>0</v>
      </c>
      <c r="Y1393" t="s">
        <v>171</v>
      </c>
      <c r="AD1393">
        <v>1</v>
      </c>
      <c r="AE1393">
        <v>332</v>
      </c>
      <c r="AF1393">
        <v>1</v>
      </c>
      <c r="AK1393" s="9">
        <v>0.16</v>
      </c>
    </row>
    <row r="1394" spans="1:37" x14ac:dyDescent="0.3">
      <c r="A1394" t="s">
        <v>725</v>
      </c>
      <c r="B1394" s="1" t="s">
        <v>1615</v>
      </c>
      <c r="C1394">
        <v>67</v>
      </c>
      <c r="D1394" s="8" t="s">
        <v>1630</v>
      </c>
      <c r="E1394">
        <v>14000</v>
      </c>
      <c r="G1394" t="s">
        <v>686</v>
      </c>
      <c r="H1394" t="s">
        <v>987</v>
      </c>
      <c r="I1394" s="4">
        <v>0.33</v>
      </c>
      <c r="J1394" s="3">
        <v>1</v>
      </c>
      <c r="N1394" s="3">
        <v>0.5</v>
      </c>
      <c r="O1394" s="3">
        <v>0</v>
      </c>
      <c r="P1394">
        <v>28</v>
      </c>
      <c r="Q1394">
        <v>6.5</v>
      </c>
      <c r="R1394" t="s">
        <v>102</v>
      </c>
      <c r="S1394">
        <v>0</v>
      </c>
      <c r="T1394" s="6">
        <f>10^-(14-Q1394)</f>
        <v>3.1622776601683699E-8</v>
      </c>
      <c r="U1394" s="6">
        <v>0</v>
      </c>
      <c r="V1394" s="6">
        <v>0</v>
      </c>
      <c r="W1394" s="6">
        <v>0</v>
      </c>
      <c r="X1394" s="6">
        <v>0</v>
      </c>
      <c r="Y1394" t="s">
        <v>171</v>
      </c>
      <c r="AD1394">
        <v>1</v>
      </c>
      <c r="AE1394">
        <v>350</v>
      </c>
      <c r="AF1394">
        <v>1</v>
      </c>
      <c r="AK1394" s="9">
        <v>0.16</v>
      </c>
    </row>
    <row r="1395" spans="1:37" x14ac:dyDescent="0.3">
      <c r="A1395" t="s">
        <v>726</v>
      </c>
      <c r="B1395" s="1" t="s">
        <v>1615</v>
      </c>
      <c r="C1395">
        <v>67</v>
      </c>
      <c r="D1395" s="8" t="s">
        <v>1630</v>
      </c>
      <c r="E1395">
        <v>14000</v>
      </c>
      <c r="G1395" t="s">
        <v>29</v>
      </c>
      <c r="H1395" t="s">
        <v>987</v>
      </c>
      <c r="J1395" s="3">
        <v>12</v>
      </c>
      <c r="N1395" s="3">
        <v>0.5</v>
      </c>
      <c r="O1395" s="3">
        <v>0</v>
      </c>
      <c r="P1395">
        <v>28</v>
      </c>
      <c r="Q1395">
        <v>6.5</v>
      </c>
      <c r="R1395" t="s">
        <v>102</v>
      </c>
      <c r="S1395">
        <v>0</v>
      </c>
      <c r="T1395" s="6">
        <f>10^-(14-Q1395)</f>
        <v>3.1622776601683699E-8</v>
      </c>
      <c r="U1395" s="6">
        <v>0</v>
      </c>
      <c r="V1395" s="6">
        <v>0</v>
      </c>
      <c r="W1395" s="6">
        <v>0</v>
      </c>
      <c r="X1395" s="6">
        <v>0</v>
      </c>
      <c r="Y1395" t="s">
        <v>171</v>
      </c>
      <c r="Z1395" s="5">
        <v>-150</v>
      </c>
      <c r="AD1395">
        <v>1</v>
      </c>
      <c r="AE1395">
        <v>240</v>
      </c>
      <c r="AF1395">
        <v>1</v>
      </c>
      <c r="AK1395" s="9">
        <v>0.16</v>
      </c>
    </row>
    <row r="1396" spans="1:37" x14ac:dyDescent="0.3">
      <c r="A1396" t="s">
        <v>727</v>
      </c>
      <c r="B1396" s="1" t="s">
        <v>1615</v>
      </c>
      <c r="C1396">
        <v>67</v>
      </c>
      <c r="D1396" s="8" t="s">
        <v>1630</v>
      </c>
      <c r="E1396">
        <v>14000</v>
      </c>
      <c r="G1396" t="s">
        <v>683</v>
      </c>
      <c r="H1396" t="s">
        <v>987</v>
      </c>
      <c r="I1396" s="4">
        <v>0.33</v>
      </c>
      <c r="J1396" s="3">
        <v>0.16666666666666666</v>
      </c>
      <c r="N1396" s="3">
        <v>0.5</v>
      </c>
      <c r="O1396" s="3">
        <v>0</v>
      </c>
      <c r="P1396">
        <v>28</v>
      </c>
      <c r="Q1396">
        <v>6.5</v>
      </c>
      <c r="R1396" t="s">
        <v>102</v>
      </c>
      <c r="S1396">
        <v>0</v>
      </c>
      <c r="T1396" s="6">
        <f>10^-(14-Q1396)</f>
        <v>3.1622776601683699E-8</v>
      </c>
      <c r="U1396" s="6">
        <v>0</v>
      </c>
      <c r="V1396" s="6">
        <v>0</v>
      </c>
      <c r="W1396" s="6">
        <v>0</v>
      </c>
      <c r="X1396" s="6">
        <v>0</v>
      </c>
      <c r="Y1396" t="s">
        <v>171</v>
      </c>
      <c r="Z1396" s="5">
        <v>-50</v>
      </c>
      <c r="AD1396">
        <v>1</v>
      </c>
      <c r="AE1396">
        <v>335</v>
      </c>
      <c r="AF1396">
        <v>1</v>
      </c>
      <c r="AK1396" s="9">
        <v>0.16</v>
      </c>
    </row>
    <row r="1397" spans="1:37" x14ac:dyDescent="0.3">
      <c r="A1397" t="s">
        <v>728</v>
      </c>
      <c r="B1397" s="1" t="s">
        <v>1615</v>
      </c>
      <c r="C1397">
        <v>67</v>
      </c>
      <c r="D1397" s="8" t="s">
        <v>1630</v>
      </c>
      <c r="E1397">
        <v>14000</v>
      </c>
      <c r="G1397" t="s">
        <v>683</v>
      </c>
      <c r="H1397" t="s">
        <v>987</v>
      </c>
      <c r="I1397" s="4">
        <v>0.33</v>
      </c>
      <c r="J1397" s="3">
        <v>0.5</v>
      </c>
      <c r="N1397" s="3">
        <v>0.5</v>
      </c>
      <c r="O1397" s="3">
        <v>0</v>
      </c>
      <c r="P1397">
        <v>28</v>
      </c>
      <c r="Q1397">
        <v>6.5</v>
      </c>
      <c r="R1397" t="s">
        <v>102</v>
      </c>
      <c r="S1397">
        <v>0</v>
      </c>
      <c r="T1397" s="6">
        <f>10^-(14-Q1397)</f>
        <v>3.1622776601683699E-8</v>
      </c>
      <c r="U1397" s="6">
        <v>0</v>
      </c>
      <c r="V1397" s="6">
        <v>0</v>
      </c>
      <c r="W1397" s="6">
        <v>0</v>
      </c>
      <c r="X1397" s="6">
        <v>0</v>
      </c>
      <c r="Y1397" t="s">
        <v>171</v>
      </c>
      <c r="Z1397" s="5">
        <v>-60</v>
      </c>
      <c r="AD1397">
        <v>1</v>
      </c>
      <c r="AE1397">
        <v>355</v>
      </c>
      <c r="AF1397">
        <v>1</v>
      </c>
      <c r="AK1397" s="9">
        <v>0.16</v>
      </c>
    </row>
    <row r="1398" spans="1:37" x14ac:dyDescent="0.3">
      <c r="A1398" t="s">
        <v>729</v>
      </c>
      <c r="B1398" s="1" t="s">
        <v>1615</v>
      </c>
      <c r="C1398">
        <v>67</v>
      </c>
      <c r="D1398" s="8" t="s">
        <v>1630</v>
      </c>
      <c r="E1398">
        <v>14000</v>
      </c>
      <c r="G1398" t="s">
        <v>683</v>
      </c>
      <c r="H1398" t="s">
        <v>987</v>
      </c>
      <c r="I1398" s="4">
        <v>0.33</v>
      </c>
      <c r="J1398" s="3">
        <v>1</v>
      </c>
      <c r="N1398" s="3">
        <v>0.5</v>
      </c>
      <c r="O1398" s="3">
        <v>0</v>
      </c>
      <c r="P1398">
        <v>28</v>
      </c>
      <c r="Q1398">
        <v>6.5</v>
      </c>
      <c r="R1398" t="s">
        <v>102</v>
      </c>
      <c r="S1398">
        <v>0</v>
      </c>
      <c r="T1398" s="6">
        <f>10^-(14-Q1398)</f>
        <v>3.1622776601683699E-8</v>
      </c>
      <c r="U1398" s="6">
        <v>0</v>
      </c>
      <c r="V1398" s="6">
        <v>0</v>
      </c>
      <c r="W1398" s="6">
        <v>0</v>
      </c>
      <c r="X1398" s="6">
        <v>0</v>
      </c>
      <c r="Y1398" t="s">
        <v>171</v>
      </c>
      <c r="Z1398" s="5">
        <v>-30</v>
      </c>
      <c r="AD1398">
        <v>1</v>
      </c>
      <c r="AE1398">
        <v>350</v>
      </c>
      <c r="AF1398">
        <v>1</v>
      </c>
      <c r="AK1398" s="9">
        <v>0.16</v>
      </c>
    </row>
    <row r="1399" spans="1:37" x14ac:dyDescent="0.3">
      <c r="A1399" t="s">
        <v>730</v>
      </c>
      <c r="B1399" s="1" t="s">
        <v>1615</v>
      </c>
      <c r="C1399">
        <v>67</v>
      </c>
      <c r="D1399" s="8" t="s">
        <v>1630</v>
      </c>
      <c r="E1399">
        <v>14000</v>
      </c>
      <c r="G1399" t="s">
        <v>683</v>
      </c>
      <c r="H1399" t="s">
        <v>987</v>
      </c>
      <c r="I1399" s="4">
        <v>0.33</v>
      </c>
      <c r="J1399" s="3">
        <v>10</v>
      </c>
      <c r="N1399" s="3">
        <v>0.5</v>
      </c>
      <c r="O1399" s="3">
        <v>0</v>
      </c>
      <c r="P1399">
        <v>28</v>
      </c>
      <c r="Q1399">
        <v>6.5</v>
      </c>
      <c r="R1399" t="s">
        <v>102</v>
      </c>
      <c r="S1399">
        <v>0</v>
      </c>
      <c r="T1399" s="6">
        <f>10^-(14-Q1399)</f>
        <v>3.1622776601683699E-8</v>
      </c>
      <c r="U1399" s="6">
        <v>0</v>
      </c>
      <c r="V1399" s="6">
        <v>0</v>
      </c>
      <c r="W1399" s="6">
        <v>0</v>
      </c>
      <c r="X1399" s="6">
        <v>0</v>
      </c>
      <c r="Y1399" t="s">
        <v>171</v>
      </c>
      <c r="Z1399" s="5">
        <v>20</v>
      </c>
      <c r="AD1399">
        <v>1</v>
      </c>
      <c r="AE1399">
        <v>345</v>
      </c>
      <c r="AF1399">
        <v>1</v>
      </c>
      <c r="AK1399" s="9">
        <v>0.16</v>
      </c>
    </row>
    <row r="1400" spans="1:37" x14ac:dyDescent="0.3">
      <c r="A1400" t="s">
        <v>731</v>
      </c>
      <c r="B1400" s="1" t="s">
        <v>1615</v>
      </c>
      <c r="C1400">
        <v>67</v>
      </c>
      <c r="D1400" s="8" t="s">
        <v>1630</v>
      </c>
      <c r="E1400">
        <v>14000</v>
      </c>
      <c r="G1400" t="s">
        <v>684</v>
      </c>
      <c r="H1400" t="s">
        <v>987</v>
      </c>
      <c r="I1400" s="4">
        <v>0.33</v>
      </c>
      <c r="J1400" s="3">
        <v>1</v>
      </c>
      <c r="N1400" s="3">
        <v>0.5</v>
      </c>
      <c r="O1400" s="3">
        <v>0</v>
      </c>
      <c r="P1400">
        <v>28</v>
      </c>
      <c r="Q1400">
        <v>6.5</v>
      </c>
      <c r="R1400" t="s">
        <v>102</v>
      </c>
      <c r="S1400">
        <v>0</v>
      </c>
      <c r="T1400" s="6">
        <f>10^-(14-Q1400)</f>
        <v>3.1622776601683699E-8</v>
      </c>
      <c r="U1400" s="6">
        <v>0</v>
      </c>
      <c r="V1400" s="6">
        <v>0</v>
      </c>
      <c r="W1400" s="6">
        <v>0</v>
      </c>
      <c r="X1400" s="6">
        <v>0</v>
      </c>
      <c r="Y1400" t="s">
        <v>171</v>
      </c>
      <c r="AD1400">
        <v>1</v>
      </c>
      <c r="AE1400">
        <v>345</v>
      </c>
      <c r="AF1400">
        <v>1</v>
      </c>
      <c r="AK1400" s="9">
        <v>0.16</v>
      </c>
    </row>
    <row r="1401" spans="1:37" x14ac:dyDescent="0.3">
      <c r="A1401" t="s">
        <v>732</v>
      </c>
      <c r="B1401" s="1" t="s">
        <v>1615</v>
      </c>
      <c r="C1401">
        <v>67</v>
      </c>
      <c r="D1401" s="8" t="s">
        <v>1630</v>
      </c>
      <c r="E1401">
        <v>14000</v>
      </c>
      <c r="G1401" t="s">
        <v>685</v>
      </c>
      <c r="H1401" t="s">
        <v>987</v>
      </c>
      <c r="I1401" s="4">
        <v>0.33</v>
      </c>
      <c r="J1401" s="3">
        <v>1</v>
      </c>
      <c r="N1401" s="3">
        <v>0.5</v>
      </c>
      <c r="O1401" s="3">
        <v>0</v>
      </c>
      <c r="P1401">
        <v>28</v>
      </c>
      <c r="Q1401">
        <v>6.5</v>
      </c>
      <c r="R1401" t="s">
        <v>102</v>
      </c>
      <c r="S1401">
        <v>0</v>
      </c>
      <c r="T1401" s="6">
        <f>10^-(14-Q1401)</f>
        <v>3.1622776601683699E-8</v>
      </c>
      <c r="U1401" s="6">
        <v>0</v>
      </c>
      <c r="V1401" s="6">
        <v>0</v>
      </c>
      <c r="W1401" s="6">
        <v>0</v>
      </c>
      <c r="X1401" s="6">
        <v>0</v>
      </c>
      <c r="Y1401" t="s">
        <v>171</v>
      </c>
      <c r="AD1401">
        <v>1</v>
      </c>
      <c r="AE1401">
        <v>330</v>
      </c>
      <c r="AF1401">
        <v>1</v>
      </c>
      <c r="AK1401" s="9">
        <v>0.16</v>
      </c>
    </row>
    <row r="1402" spans="1:37" x14ac:dyDescent="0.3">
      <c r="A1402" t="s">
        <v>733</v>
      </c>
      <c r="B1402" s="1" t="s">
        <v>1615</v>
      </c>
      <c r="C1402">
        <v>67</v>
      </c>
      <c r="D1402" s="8" t="s">
        <v>1630</v>
      </c>
      <c r="E1402">
        <v>14000</v>
      </c>
      <c r="G1402" t="s">
        <v>678</v>
      </c>
      <c r="H1402" t="s">
        <v>987</v>
      </c>
      <c r="I1402" s="4">
        <v>0.33</v>
      </c>
      <c r="J1402" s="3">
        <v>1</v>
      </c>
      <c r="N1402" s="3">
        <v>0.5</v>
      </c>
      <c r="O1402" s="3">
        <v>0</v>
      </c>
      <c r="P1402">
        <v>28</v>
      </c>
      <c r="Q1402">
        <v>6.5</v>
      </c>
      <c r="R1402" t="s">
        <v>102</v>
      </c>
      <c r="S1402">
        <v>0</v>
      </c>
      <c r="T1402" s="6">
        <f>10^-(14-Q1402)</f>
        <v>3.1622776601683699E-8</v>
      </c>
      <c r="U1402" s="6">
        <v>0</v>
      </c>
      <c r="V1402" s="6">
        <v>0</v>
      </c>
      <c r="W1402" s="6">
        <v>0</v>
      </c>
      <c r="X1402" s="6">
        <v>0</v>
      </c>
      <c r="Y1402" t="s">
        <v>171</v>
      </c>
      <c r="AD1402">
        <v>1</v>
      </c>
      <c r="AE1402">
        <v>335</v>
      </c>
      <c r="AF1402">
        <v>1</v>
      </c>
      <c r="AK1402" s="9">
        <v>0.16</v>
      </c>
    </row>
    <row r="1403" spans="1:37" x14ac:dyDescent="0.3">
      <c r="A1403" t="s">
        <v>734</v>
      </c>
      <c r="B1403" s="1" t="s">
        <v>1615</v>
      </c>
      <c r="C1403">
        <v>67</v>
      </c>
      <c r="D1403" s="8" t="s">
        <v>1630</v>
      </c>
      <c r="E1403">
        <v>14000</v>
      </c>
      <c r="G1403" t="s">
        <v>686</v>
      </c>
      <c r="H1403" t="s">
        <v>987</v>
      </c>
      <c r="I1403" s="4">
        <v>0.33</v>
      </c>
      <c r="J1403" s="3">
        <v>1</v>
      </c>
      <c r="N1403" s="3">
        <v>0.5</v>
      </c>
      <c r="O1403" s="3">
        <v>0</v>
      </c>
      <c r="P1403">
        <v>28</v>
      </c>
      <c r="Q1403">
        <v>6.5</v>
      </c>
      <c r="R1403" t="s">
        <v>102</v>
      </c>
      <c r="S1403">
        <v>0</v>
      </c>
      <c r="T1403" s="6">
        <f>10^-(14-Q1403)</f>
        <v>3.1622776601683699E-8</v>
      </c>
      <c r="U1403" s="6">
        <v>0</v>
      </c>
      <c r="V1403" s="6">
        <v>0</v>
      </c>
      <c r="W1403" s="6">
        <v>0</v>
      </c>
      <c r="X1403" s="6">
        <v>0</v>
      </c>
      <c r="Y1403" t="s">
        <v>171</v>
      </c>
      <c r="AD1403">
        <v>1</v>
      </c>
      <c r="AE1403">
        <v>355</v>
      </c>
      <c r="AF1403">
        <v>1</v>
      </c>
      <c r="AK1403" s="9">
        <v>0.16</v>
      </c>
    </row>
    <row r="1404" spans="1:37" x14ac:dyDescent="0.3">
      <c r="A1404" t="s">
        <v>735</v>
      </c>
      <c r="B1404" s="1" t="s">
        <v>1615</v>
      </c>
      <c r="C1404">
        <v>67</v>
      </c>
      <c r="D1404" s="8" t="s">
        <v>1630</v>
      </c>
      <c r="E1404">
        <v>14000</v>
      </c>
      <c r="G1404" t="s">
        <v>29</v>
      </c>
      <c r="H1404" t="s">
        <v>987</v>
      </c>
      <c r="J1404" s="3">
        <v>12</v>
      </c>
      <c r="N1404" s="3">
        <v>0.5</v>
      </c>
      <c r="O1404" s="3">
        <v>0</v>
      </c>
      <c r="P1404">
        <v>28</v>
      </c>
      <c r="Q1404">
        <v>6.5</v>
      </c>
      <c r="R1404" t="s">
        <v>102</v>
      </c>
      <c r="S1404">
        <v>0</v>
      </c>
      <c r="T1404" s="6">
        <f>10^-(14-Q1404)</f>
        <v>3.1622776601683699E-8</v>
      </c>
      <c r="U1404" s="6">
        <v>0</v>
      </c>
      <c r="V1404" s="6">
        <v>0</v>
      </c>
      <c r="W1404" s="6">
        <v>0</v>
      </c>
      <c r="X1404" s="6">
        <v>0</v>
      </c>
      <c r="Y1404" t="s">
        <v>171</v>
      </c>
      <c r="Z1404" s="5">
        <v>-150</v>
      </c>
      <c r="AD1404">
        <v>1</v>
      </c>
      <c r="AE1404">
        <v>245</v>
      </c>
      <c r="AF1404">
        <v>1</v>
      </c>
      <c r="AK1404" s="9">
        <v>0.16</v>
      </c>
    </row>
    <row r="1405" spans="1:37" x14ac:dyDescent="0.3">
      <c r="A1405" t="s">
        <v>736</v>
      </c>
      <c r="B1405" s="1" t="s">
        <v>1615</v>
      </c>
      <c r="C1405">
        <v>67</v>
      </c>
      <c r="D1405" s="8" t="s">
        <v>1630</v>
      </c>
      <c r="E1405">
        <v>14000</v>
      </c>
      <c r="G1405" t="s">
        <v>683</v>
      </c>
      <c r="H1405" t="s">
        <v>987</v>
      </c>
      <c r="I1405" s="4">
        <v>0.33</v>
      </c>
      <c r="J1405" s="3">
        <v>0.16666666666666666</v>
      </c>
      <c r="N1405" s="3">
        <v>0.5</v>
      </c>
      <c r="O1405" s="3">
        <v>0</v>
      </c>
      <c r="P1405">
        <v>28</v>
      </c>
      <c r="Q1405">
        <v>6.5</v>
      </c>
      <c r="R1405" t="s">
        <v>102</v>
      </c>
      <c r="S1405">
        <v>0</v>
      </c>
      <c r="T1405" s="6">
        <f>10^-(14-Q1405)</f>
        <v>3.1622776601683699E-8</v>
      </c>
      <c r="U1405" s="6">
        <v>0</v>
      </c>
      <c r="V1405" s="6">
        <v>0</v>
      </c>
      <c r="W1405" s="6">
        <v>0</v>
      </c>
      <c r="X1405" s="6">
        <v>0</v>
      </c>
      <c r="Y1405" t="s">
        <v>171</v>
      </c>
      <c r="Z1405" s="5">
        <v>-50</v>
      </c>
      <c r="AD1405">
        <v>1</v>
      </c>
      <c r="AE1405">
        <v>340</v>
      </c>
      <c r="AF1405">
        <v>1</v>
      </c>
      <c r="AK1405" s="9">
        <v>0.16</v>
      </c>
    </row>
    <row r="1406" spans="1:37" x14ac:dyDescent="0.3">
      <c r="A1406" t="s">
        <v>737</v>
      </c>
      <c r="B1406" s="1" t="s">
        <v>1615</v>
      </c>
      <c r="C1406">
        <v>67</v>
      </c>
      <c r="D1406" s="8" t="s">
        <v>1630</v>
      </c>
      <c r="E1406">
        <v>14000</v>
      </c>
      <c r="G1406" t="s">
        <v>683</v>
      </c>
      <c r="H1406" t="s">
        <v>987</v>
      </c>
      <c r="I1406" s="4">
        <v>0.33</v>
      </c>
      <c r="J1406" s="3">
        <v>0.5</v>
      </c>
      <c r="N1406" s="3">
        <v>0.5</v>
      </c>
      <c r="O1406" s="3">
        <v>0</v>
      </c>
      <c r="P1406">
        <v>28</v>
      </c>
      <c r="Q1406">
        <v>6.5</v>
      </c>
      <c r="R1406" t="s">
        <v>102</v>
      </c>
      <c r="S1406">
        <v>0</v>
      </c>
      <c r="T1406" s="6">
        <f>10^-(14-Q1406)</f>
        <v>3.1622776601683699E-8</v>
      </c>
      <c r="U1406" s="6">
        <v>0</v>
      </c>
      <c r="V1406" s="6">
        <v>0</v>
      </c>
      <c r="W1406" s="6">
        <v>0</v>
      </c>
      <c r="X1406" s="6">
        <v>0</v>
      </c>
      <c r="Y1406" t="s">
        <v>171</v>
      </c>
      <c r="Z1406" s="5">
        <v>-60</v>
      </c>
      <c r="AD1406">
        <v>1</v>
      </c>
      <c r="AE1406">
        <v>355</v>
      </c>
      <c r="AF1406">
        <v>1</v>
      </c>
      <c r="AK1406" s="9">
        <v>0.16</v>
      </c>
    </row>
    <row r="1407" spans="1:37" x14ac:dyDescent="0.3">
      <c r="A1407" t="s">
        <v>738</v>
      </c>
      <c r="B1407" s="1" t="s">
        <v>1615</v>
      </c>
      <c r="C1407">
        <v>67</v>
      </c>
      <c r="D1407" s="8" t="s">
        <v>1630</v>
      </c>
      <c r="E1407">
        <v>14000</v>
      </c>
      <c r="G1407" t="s">
        <v>683</v>
      </c>
      <c r="H1407" t="s">
        <v>987</v>
      </c>
      <c r="I1407" s="4">
        <v>0.33</v>
      </c>
      <c r="J1407" s="3">
        <v>1</v>
      </c>
      <c r="N1407" s="3">
        <v>0.5</v>
      </c>
      <c r="O1407" s="3">
        <v>0</v>
      </c>
      <c r="P1407">
        <v>28</v>
      </c>
      <c r="Q1407">
        <v>6.5</v>
      </c>
      <c r="R1407" t="s">
        <v>102</v>
      </c>
      <c r="S1407">
        <v>0</v>
      </c>
      <c r="T1407" s="6">
        <f>10^-(14-Q1407)</f>
        <v>3.1622776601683699E-8</v>
      </c>
      <c r="U1407" s="6">
        <v>0</v>
      </c>
      <c r="V1407" s="6">
        <v>0</v>
      </c>
      <c r="W1407" s="6">
        <v>0</v>
      </c>
      <c r="X1407" s="6">
        <v>0</v>
      </c>
      <c r="Y1407" t="s">
        <v>171</v>
      </c>
      <c r="Z1407" s="5">
        <v>-30</v>
      </c>
      <c r="AD1407">
        <v>1</v>
      </c>
      <c r="AE1407">
        <v>350</v>
      </c>
      <c r="AF1407">
        <v>1</v>
      </c>
      <c r="AK1407" s="9">
        <v>0.16</v>
      </c>
    </row>
    <row r="1408" spans="1:37" x14ac:dyDescent="0.3">
      <c r="A1408" t="s">
        <v>739</v>
      </c>
      <c r="B1408" s="1" t="s">
        <v>1615</v>
      </c>
      <c r="C1408">
        <v>67</v>
      </c>
      <c r="D1408" s="8" t="s">
        <v>1630</v>
      </c>
      <c r="E1408">
        <v>14000</v>
      </c>
      <c r="G1408" t="s">
        <v>683</v>
      </c>
      <c r="H1408" t="s">
        <v>987</v>
      </c>
      <c r="I1408" s="4">
        <v>0.33</v>
      </c>
      <c r="J1408" s="3">
        <v>10</v>
      </c>
      <c r="N1408" s="3">
        <v>0.5</v>
      </c>
      <c r="O1408" s="3">
        <v>0</v>
      </c>
      <c r="P1408">
        <v>28</v>
      </c>
      <c r="Q1408">
        <v>6.5</v>
      </c>
      <c r="R1408" t="s">
        <v>102</v>
      </c>
      <c r="S1408">
        <v>0</v>
      </c>
      <c r="T1408" s="6">
        <f>10^-(14-Q1408)</f>
        <v>3.1622776601683699E-8</v>
      </c>
      <c r="U1408" s="6">
        <v>0</v>
      </c>
      <c r="V1408" s="6">
        <v>0</v>
      </c>
      <c r="W1408" s="6">
        <v>0</v>
      </c>
      <c r="X1408" s="6">
        <v>0</v>
      </c>
      <c r="Y1408" t="s">
        <v>171</v>
      </c>
      <c r="Z1408" s="5">
        <v>20</v>
      </c>
      <c r="AD1408">
        <v>1</v>
      </c>
      <c r="AE1408">
        <v>355</v>
      </c>
      <c r="AF1408">
        <v>1</v>
      </c>
      <c r="AK1408" s="9">
        <v>0.16</v>
      </c>
    </row>
    <row r="1409" spans="1:37" x14ac:dyDescent="0.3">
      <c r="A1409" t="s">
        <v>740</v>
      </c>
      <c r="B1409" s="1" t="s">
        <v>1615</v>
      </c>
      <c r="C1409">
        <v>67</v>
      </c>
      <c r="D1409" s="8" t="s">
        <v>1630</v>
      </c>
      <c r="E1409">
        <v>14000</v>
      </c>
      <c r="G1409" t="s">
        <v>684</v>
      </c>
      <c r="H1409" t="s">
        <v>987</v>
      </c>
      <c r="I1409" s="4">
        <v>0.33</v>
      </c>
      <c r="J1409" s="3">
        <v>1</v>
      </c>
      <c r="N1409" s="3">
        <v>0.5</v>
      </c>
      <c r="O1409" s="3">
        <v>0</v>
      </c>
      <c r="P1409">
        <v>28</v>
      </c>
      <c r="Q1409">
        <v>6.5</v>
      </c>
      <c r="R1409" t="s">
        <v>102</v>
      </c>
      <c r="S1409">
        <v>0</v>
      </c>
      <c r="T1409" s="6">
        <f>10^-(14-Q1409)</f>
        <v>3.1622776601683699E-8</v>
      </c>
      <c r="U1409" s="6">
        <v>0</v>
      </c>
      <c r="V1409" s="6">
        <v>0</v>
      </c>
      <c r="W1409" s="6">
        <v>0</v>
      </c>
      <c r="X1409" s="6">
        <v>0</v>
      </c>
      <c r="Y1409" t="s">
        <v>171</v>
      </c>
      <c r="AD1409">
        <v>1</v>
      </c>
      <c r="AE1409">
        <v>346</v>
      </c>
      <c r="AF1409">
        <v>1</v>
      </c>
      <c r="AK1409" s="9">
        <v>0.16</v>
      </c>
    </row>
    <row r="1410" spans="1:37" x14ac:dyDescent="0.3">
      <c r="A1410" t="s">
        <v>741</v>
      </c>
      <c r="B1410" s="1" t="s">
        <v>1615</v>
      </c>
      <c r="C1410">
        <v>67</v>
      </c>
      <c r="D1410" s="8" t="s">
        <v>1630</v>
      </c>
      <c r="E1410">
        <v>14000</v>
      </c>
      <c r="G1410" t="s">
        <v>685</v>
      </c>
      <c r="H1410" t="s">
        <v>987</v>
      </c>
      <c r="I1410" s="4">
        <v>0.33</v>
      </c>
      <c r="J1410" s="3">
        <v>1</v>
      </c>
      <c r="N1410" s="3">
        <v>0.5</v>
      </c>
      <c r="O1410" s="3">
        <v>0</v>
      </c>
      <c r="P1410">
        <v>28</v>
      </c>
      <c r="Q1410">
        <v>6.5</v>
      </c>
      <c r="R1410" t="s">
        <v>102</v>
      </c>
      <c r="S1410">
        <v>0</v>
      </c>
      <c r="T1410" s="6">
        <f>10^-(14-Q1410)</f>
        <v>3.1622776601683699E-8</v>
      </c>
      <c r="U1410" s="6">
        <v>0</v>
      </c>
      <c r="V1410" s="6">
        <v>0</v>
      </c>
      <c r="W1410" s="6">
        <v>0</v>
      </c>
      <c r="X1410" s="6">
        <v>0</v>
      </c>
      <c r="Y1410" t="s">
        <v>171</v>
      </c>
      <c r="AD1410">
        <v>1</v>
      </c>
      <c r="AE1410">
        <v>350</v>
      </c>
      <c r="AF1410">
        <v>1</v>
      </c>
      <c r="AK1410" s="9">
        <v>0.16</v>
      </c>
    </row>
    <row r="1411" spans="1:37" x14ac:dyDescent="0.3">
      <c r="A1411" t="s">
        <v>742</v>
      </c>
      <c r="B1411" s="1" t="s">
        <v>1615</v>
      </c>
      <c r="C1411">
        <v>67</v>
      </c>
      <c r="D1411" s="8" t="s">
        <v>1630</v>
      </c>
      <c r="E1411">
        <v>14000</v>
      </c>
      <c r="G1411" t="s">
        <v>678</v>
      </c>
      <c r="H1411" t="s">
        <v>987</v>
      </c>
      <c r="I1411" s="4">
        <v>0.33</v>
      </c>
      <c r="J1411" s="3">
        <v>1</v>
      </c>
      <c r="N1411" s="3">
        <v>0.5</v>
      </c>
      <c r="O1411" s="3">
        <v>0</v>
      </c>
      <c r="P1411">
        <v>28</v>
      </c>
      <c r="Q1411">
        <v>6.5</v>
      </c>
      <c r="R1411" t="s">
        <v>102</v>
      </c>
      <c r="S1411">
        <v>0</v>
      </c>
      <c r="T1411" s="6">
        <f>10^-(14-Q1411)</f>
        <v>3.1622776601683699E-8</v>
      </c>
      <c r="U1411" s="6">
        <v>0</v>
      </c>
      <c r="V1411" s="6">
        <v>0</v>
      </c>
      <c r="W1411" s="6">
        <v>0</v>
      </c>
      <c r="X1411" s="6">
        <v>0</v>
      </c>
      <c r="Y1411" t="s">
        <v>171</v>
      </c>
      <c r="AD1411">
        <v>1</v>
      </c>
      <c r="AE1411">
        <v>350</v>
      </c>
      <c r="AF1411">
        <v>1</v>
      </c>
      <c r="AK1411" s="9">
        <v>0.16</v>
      </c>
    </row>
    <row r="1412" spans="1:37" x14ac:dyDescent="0.3">
      <c r="A1412" t="s">
        <v>743</v>
      </c>
      <c r="B1412" s="1" t="s">
        <v>1615</v>
      </c>
      <c r="C1412">
        <v>67</v>
      </c>
      <c r="D1412" s="8" t="s">
        <v>1630</v>
      </c>
      <c r="E1412">
        <v>14000</v>
      </c>
      <c r="G1412" t="s">
        <v>686</v>
      </c>
      <c r="H1412" t="s">
        <v>987</v>
      </c>
      <c r="I1412" s="4">
        <v>0.33</v>
      </c>
      <c r="J1412" s="3">
        <v>1</v>
      </c>
      <c r="N1412" s="3">
        <v>0.5</v>
      </c>
      <c r="O1412" s="3">
        <v>0</v>
      </c>
      <c r="P1412">
        <v>28</v>
      </c>
      <c r="Q1412">
        <v>6.5</v>
      </c>
      <c r="R1412" t="s">
        <v>102</v>
      </c>
      <c r="S1412">
        <v>0</v>
      </c>
      <c r="T1412" s="6">
        <f>10^-(14-Q1412)</f>
        <v>3.1622776601683699E-8</v>
      </c>
      <c r="U1412" s="6">
        <v>0</v>
      </c>
      <c r="V1412" s="6">
        <v>0</v>
      </c>
      <c r="W1412" s="6">
        <v>0</v>
      </c>
      <c r="X1412" s="6">
        <v>0</v>
      </c>
      <c r="Y1412" t="s">
        <v>171</v>
      </c>
      <c r="AD1412">
        <v>1</v>
      </c>
      <c r="AE1412">
        <v>355</v>
      </c>
      <c r="AF1412">
        <v>1</v>
      </c>
      <c r="AK1412" s="9">
        <v>0.16</v>
      </c>
    </row>
    <row r="1413" spans="1:37" x14ac:dyDescent="0.3">
      <c r="A1413" t="s">
        <v>744</v>
      </c>
      <c r="B1413" s="1" t="s">
        <v>1615</v>
      </c>
      <c r="C1413">
        <v>67</v>
      </c>
      <c r="D1413" s="8" t="s">
        <v>1630</v>
      </c>
      <c r="E1413">
        <v>14000</v>
      </c>
      <c r="G1413" t="s">
        <v>29</v>
      </c>
      <c r="H1413" t="s">
        <v>987</v>
      </c>
      <c r="J1413" s="3">
        <v>12</v>
      </c>
      <c r="N1413" s="3">
        <v>0.5</v>
      </c>
      <c r="O1413" s="3">
        <v>0</v>
      </c>
      <c r="P1413">
        <v>28</v>
      </c>
      <c r="Q1413">
        <v>6.5</v>
      </c>
      <c r="R1413" t="s">
        <v>102</v>
      </c>
      <c r="S1413">
        <v>0</v>
      </c>
      <c r="T1413" s="6">
        <f>10^-(14-Q1413)</f>
        <v>3.1622776601683699E-8</v>
      </c>
      <c r="U1413" s="6">
        <v>0</v>
      </c>
      <c r="V1413" s="6">
        <v>0</v>
      </c>
      <c r="W1413" s="6">
        <v>0</v>
      </c>
      <c r="X1413" s="6">
        <v>0</v>
      </c>
      <c r="Y1413" t="s">
        <v>171</v>
      </c>
      <c r="Z1413" s="5">
        <v>-150</v>
      </c>
      <c r="AD1413">
        <v>1</v>
      </c>
      <c r="AE1413">
        <v>247.5</v>
      </c>
      <c r="AF1413">
        <v>1</v>
      </c>
      <c r="AK1413" s="9">
        <v>0.16</v>
      </c>
    </row>
    <row r="1414" spans="1:37" x14ac:dyDescent="0.3">
      <c r="A1414" t="s">
        <v>745</v>
      </c>
      <c r="B1414" s="1" t="s">
        <v>1615</v>
      </c>
      <c r="C1414">
        <v>67</v>
      </c>
      <c r="D1414" s="8" t="s">
        <v>1630</v>
      </c>
      <c r="E1414">
        <v>14000</v>
      </c>
      <c r="G1414" t="s">
        <v>683</v>
      </c>
      <c r="H1414" t="s">
        <v>987</v>
      </c>
      <c r="I1414" s="4">
        <v>0.33</v>
      </c>
      <c r="J1414" s="3">
        <v>0.16666666666666666</v>
      </c>
      <c r="N1414" s="3">
        <v>0.5</v>
      </c>
      <c r="O1414" s="3">
        <v>0</v>
      </c>
      <c r="P1414">
        <v>28</v>
      </c>
      <c r="Q1414">
        <v>6.5</v>
      </c>
      <c r="R1414" t="s">
        <v>102</v>
      </c>
      <c r="S1414">
        <v>0</v>
      </c>
      <c r="T1414" s="6">
        <f>10^-(14-Q1414)</f>
        <v>3.1622776601683699E-8</v>
      </c>
      <c r="U1414" s="6">
        <v>0</v>
      </c>
      <c r="V1414" s="6">
        <v>0</v>
      </c>
      <c r="W1414" s="6">
        <v>0</v>
      </c>
      <c r="X1414" s="6">
        <v>0</v>
      </c>
      <c r="Y1414" t="s">
        <v>171</v>
      </c>
      <c r="Z1414" s="5">
        <v>-50</v>
      </c>
      <c r="AD1414">
        <v>1</v>
      </c>
      <c r="AE1414">
        <v>342.5</v>
      </c>
      <c r="AF1414">
        <v>1</v>
      </c>
      <c r="AK1414" s="9">
        <v>0.16</v>
      </c>
    </row>
    <row r="1415" spans="1:37" x14ac:dyDescent="0.3">
      <c r="A1415" t="s">
        <v>746</v>
      </c>
      <c r="B1415" s="1" t="s">
        <v>1615</v>
      </c>
      <c r="C1415">
        <v>67</v>
      </c>
      <c r="D1415" s="8" t="s">
        <v>1630</v>
      </c>
      <c r="E1415">
        <v>14000</v>
      </c>
      <c r="G1415" t="s">
        <v>683</v>
      </c>
      <c r="H1415" t="s">
        <v>987</v>
      </c>
      <c r="I1415" s="4">
        <v>0.33</v>
      </c>
      <c r="J1415" s="3">
        <v>0.5</v>
      </c>
      <c r="N1415" s="3">
        <v>0.5</v>
      </c>
      <c r="O1415" s="3">
        <v>0</v>
      </c>
      <c r="P1415">
        <v>28</v>
      </c>
      <c r="Q1415">
        <v>6.5</v>
      </c>
      <c r="R1415" t="s">
        <v>102</v>
      </c>
      <c r="S1415">
        <v>0</v>
      </c>
      <c r="T1415" s="6">
        <f>10^-(14-Q1415)</f>
        <v>3.1622776601683699E-8</v>
      </c>
      <c r="U1415" s="6">
        <v>0</v>
      </c>
      <c r="V1415" s="6">
        <v>0</v>
      </c>
      <c r="W1415" s="6">
        <v>0</v>
      </c>
      <c r="X1415" s="6">
        <v>0</v>
      </c>
      <c r="Y1415" t="s">
        <v>171</v>
      </c>
      <c r="Z1415" s="5">
        <v>-60</v>
      </c>
      <c r="AD1415">
        <v>1</v>
      </c>
      <c r="AE1415">
        <v>357.5</v>
      </c>
      <c r="AF1415">
        <v>1</v>
      </c>
      <c r="AK1415" s="9">
        <v>0.16</v>
      </c>
    </row>
    <row r="1416" spans="1:37" x14ac:dyDescent="0.3">
      <c r="A1416" t="s">
        <v>747</v>
      </c>
      <c r="B1416" s="1" t="s">
        <v>1615</v>
      </c>
      <c r="C1416">
        <v>67</v>
      </c>
      <c r="D1416" s="8" t="s">
        <v>1630</v>
      </c>
      <c r="E1416">
        <v>14000</v>
      </c>
      <c r="G1416" t="s">
        <v>683</v>
      </c>
      <c r="H1416" t="s">
        <v>987</v>
      </c>
      <c r="I1416" s="4">
        <v>0.33</v>
      </c>
      <c r="J1416" s="3">
        <v>1</v>
      </c>
      <c r="N1416" s="3">
        <v>0.5</v>
      </c>
      <c r="O1416" s="3">
        <v>0</v>
      </c>
      <c r="P1416">
        <v>28</v>
      </c>
      <c r="Q1416">
        <v>6.5</v>
      </c>
      <c r="R1416" t="s">
        <v>102</v>
      </c>
      <c r="S1416">
        <v>0</v>
      </c>
      <c r="T1416" s="6">
        <f>10^-(14-Q1416)</f>
        <v>3.1622776601683699E-8</v>
      </c>
      <c r="U1416" s="6">
        <v>0</v>
      </c>
      <c r="V1416" s="6">
        <v>0</v>
      </c>
      <c r="W1416" s="6">
        <v>0</v>
      </c>
      <c r="X1416" s="6">
        <v>0</v>
      </c>
      <c r="Y1416" t="s">
        <v>171</v>
      </c>
      <c r="Z1416" s="5">
        <v>-30</v>
      </c>
      <c r="AD1416">
        <v>1</v>
      </c>
      <c r="AE1416">
        <v>352.5</v>
      </c>
      <c r="AF1416">
        <v>1</v>
      </c>
      <c r="AK1416" s="9">
        <v>0.16</v>
      </c>
    </row>
    <row r="1417" spans="1:37" x14ac:dyDescent="0.3">
      <c r="A1417" t="s">
        <v>748</v>
      </c>
      <c r="B1417" s="1" t="s">
        <v>1615</v>
      </c>
      <c r="C1417">
        <v>67</v>
      </c>
      <c r="D1417" s="8" t="s">
        <v>1630</v>
      </c>
      <c r="E1417">
        <v>14000</v>
      </c>
      <c r="G1417" t="s">
        <v>683</v>
      </c>
      <c r="H1417" t="s">
        <v>987</v>
      </c>
      <c r="I1417" s="4">
        <v>0.33</v>
      </c>
      <c r="J1417" s="3">
        <v>10</v>
      </c>
      <c r="N1417" s="3">
        <v>0.5</v>
      </c>
      <c r="O1417" s="3">
        <v>0</v>
      </c>
      <c r="P1417">
        <v>28</v>
      </c>
      <c r="Q1417">
        <v>6.5</v>
      </c>
      <c r="R1417" t="s">
        <v>102</v>
      </c>
      <c r="S1417">
        <v>0</v>
      </c>
      <c r="T1417" s="6">
        <f>10^-(14-Q1417)</f>
        <v>3.1622776601683699E-8</v>
      </c>
      <c r="U1417" s="6">
        <v>0</v>
      </c>
      <c r="V1417" s="6">
        <v>0</v>
      </c>
      <c r="W1417" s="6">
        <v>0</v>
      </c>
      <c r="X1417" s="6">
        <v>0</v>
      </c>
      <c r="Y1417" t="s">
        <v>171</v>
      </c>
      <c r="Z1417" s="5">
        <v>20</v>
      </c>
      <c r="AD1417">
        <v>1</v>
      </c>
      <c r="AE1417">
        <v>357.5</v>
      </c>
      <c r="AF1417">
        <v>1</v>
      </c>
      <c r="AK1417" s="9">
        <v>0.16</v>
      </c>
    </row>
    <row r="1418" spans="1:37" x14ac:dyDescent="0.3">
      <c r="A1418" t="s">
        <v>749</v>
      </c>
      <c r="B1418" s="1" t="s">
        <v>1615</v>
      </c>
      <c r="C1418">
        <v>67</v>
      </c>
      <c r="D1418" s="8" t="s">
        <v>1630</v>
      </c>
      <c r="E1418">
        <v>14000</v>
      </c>
      <c r="G1418" t="s">
        <v>684</v>
      </c>
      <c r="H1418" t="s">
        <v>987</v>
      </c>
      <c r="I1418" s="4">
        <v>0.33</v>
      </c>
      <c r="J1418" s="3">
        <v>1</v>
      </c>
      <c r="N1418" s="3">
        <v>0.5</v>
      </c>
      <c r="O1418" s="3">
        <v>0</v>
      </c>
      <c r="P1418">
        <v>28</v>
      </c>
      <c r="Q1418">
        <v>6.5</v>
      </c>
      <c r="R1418" t="s">
        <v>102</v>
      </c>
      <c r="S1418">
        <v>0</v>
      </c>
      <c r="T1418" s="6">
        <f>10^-(14-Q1418)</f>
        <v>3.1622776601683699E-8</v>
      </c>
      <c r="U1418" s="6">
        <v>0</v>
      </c>
      <c r="V1418" s="6">
        <v>0</v>
      </c>
      <c r="W1418" s="6">
        <v>0</v>
      </c>
      <c r="X1418" s="6">
        <v>0</v>
      </c>
      <c r="Y1418" t="s">
        <v>171</v>
      </c>
      <c r="AD1418">
        <v>1</v>
      </c>
      <c r="AE1418">
        <v>348.5</v>
      </c>
      <c r="AF1418">
        <v>1</v>
      </c>
      <c r="AK1418" s="9">
        <v>0.16</v>
      </c>
    </row>
    <row r="1419" spans="1:37" x14ac:dyDescent="0.3">
      <c r="A1419" t="s">
        <v>750</v>
      </c>
      <c r="B1419" s="1" t="s">
        <v>1615</v>
      </c>
      <c r="C1419">
        <v>67</v>
      </c>
      <c r="D1419" s="8" t="s">
        <v>1630</v>
      </c>
      <c r="E1419">
        <v>14000</v>
      </c>
      <c r="G1419" t="s">
        <v>685</v>
      </c>
      <c r="H1419" t="s">
        <v>987</v>
      </c>
      <c r="I1419" s="4">
        <v>0.33</v>
      </c>
      <c r="J1419" s="3">
        <v>1</v>
      </c>
      <c r="N1419" s="3">
        <v>0.5</v>
      </c>
      <c r="O1419" s="3">
        <v>0</v>
      </c>
      <c r="P1419">
        <v>28</v>
      </c>
      <c r="Q1419">
        <v>6.5</v>
      </c>
      <c r="R1419" t="s">
        <v>102</v>
      </c>
      <c r="S1419">
        <v>0</v>
      </c>
      <c r="T1419" s="6">
        <f>10^-(14-Q1419)</f>
        <v>3.1622776601683699E-8</v>
      </c>
      <c r="U1419" s="6">
        <v>0</v>
      </c>
      <c r="V1419" s="6">
        <v>0</v>
      </c>
      <c r="W1419" s="6">
        <v>0</v>
      </c>
      <c r="X1419" s="6">
        <v>0</v>
      </c>
      <c r="Y1419" t="s">
        <v>171</v>
      </c>
      <c r="AD1419">
        <v>1</v>
      </c>
      <c r="AE1419">
        <v>352.5</v>
      </c>
      <c r="AF1419">
        <v>1</v>
      </c>
      <c r="AK1419" s="9">
        <v>0.16</v>
      </c>
    </row>
    <row r="1420" spans="1:37" x14ac:dyDescent="0.3">
      <c r="A1420" t="s">
        <v>751</v>
      </c>
      <c r="B1420" s="1" t="s">
        <v>1615</v>
      </c>
      <c r="C1420">
        <v>67</v>
      </c>
      <c r="D1420" s="8" t="s">
        <v>1630</v>
      </c>
      <c r="E1420">
        <v>14000</v>
      </c>
      <c r="G1420" t="s">
        <v>678</v>
      </c>
      <c r="H1420" t="s">
        <v>987</v>
      </c>
      <c r="I1420" s="4">
        <v>0.33</v>
      </c>
      <c r="J1420" s="3">
        <v>1</v>
      </c>
      <c r="N1420" s="3">
        <v>0.5</v>
      </c>
      <c r="O1420" s="3">
        <v>0</v>
      </c>
      <c r="P1420">
        <v>28</v>
      </c>
      <c r="Q1420">
        <v>6.5</v>
      </c>
      <c r="R1420" t="s">
        <v>102</v>
      </c>
      <c r="S1420">
        <v>0</v>
      </c>
      <c r="T1420" s="6">
        <f>10^-(14-Q1420)</f>
        <v>3.1622776601683699E-8</v>
      </c>
      <c r="U1420" s="6">
        <v>0</v>
      </c>
      <c r="V1420" s="6">
        <v>0</v>
      </c>
      <c r="W1420" s="6">
        <v>0</v>
      </c>
      <c r="X1420" s="6">
        <v>0</v>
      </c>
      <c r="Y1420" t="s">
        <v>171</v>
      </c>
      <c r="AD1420">
        <v>1</v>
      </c>
      <c r="AE1420">
        <v>352.5</v>
      </c>
      <c r="AF1420">
        <v>1</v>
      </c>
      <c r="AK1420" s="9">
        <v>0.16</v>
      </c>
    </row>
    <row r="1421" spans="1:37" x14ac:dyDescent="0.3">
      <c r="A1421" t="s">
        <v>752</v>
      </c>
      <c r="B1421" s="1" t="s">
        <v>1615</v>
      </c>
      <c r="C1421">
        <v>67</v>
      </c>
      <c r="D1421" s="8" t="s">
        <v>1630</v>
      </c>
      <c r="E1421">
        <v>14000</v>
      </c>
      <c r="G1421" t="s">
        <v>686</v>
      </c>
      <c r="H1421" t="s">
        <v>987</v>
      </c>
      <c r="I1421" s="4">
        <v>0.33</v>
      </c>
      <c r="J1421" s="3">
        <v>1</v>
      </c>
      <c r="N1421" s="3">
        <v>0.5</v>
      </c>
      <c r="O1421" s="3">
        <v>0</v>
      </c>
      <c r="P1421">
        <v>28</v>
      </c>
      <c r="Q1421">
        <v>6.5</v>
      </c>
      <c r="R1421" t="s">
        <v>102</v>
      </c>
      <c r="S1421">
        <v>0</v>
      </c>
      <c r="T1421" s="6">
        <f>10^-(14-Q1421)</f>
        <v>3.1622776601683699E-8</v>
      </c>
      <c r="U1421" s="6">
        <v>0</v>
      </c>
      <c r="V1421" s="6">
        <v>0</v>
      </c>
      <c r="W1421" s="6">
        <v>0</v>
      </c>
      <c r="X1421" s="6">
        <v>0</v>
      </c>
      <c r="Y1421" t="s">
        <v>171</v>
      </c>
      <c r="AD1421">
        <v>1</v>
      </c>
      <c r="AE1421">
        <v>357.5</v>
      </c>
      <c r="AF1421">
        <v>1</v>
      </c>
      <c r="AK1421" s="9">
        <v>0.16</v>
      </c>
    </row>
    <row r="1422" spans="1:37" x14ac:dyDescent="0.3">
      <c r="A1422" t="s">
        <v>753</v>
      </c>
      <c r="B1422" s="1" t="s">
        <v>1615</v>
      </c>
      <c r="C1422">
        <v>67</v>
      </c>
      <c r="D1422" s="8" t="s">
        <v>1630</v>
      </c>
      <c r="E1422">
        <v>14000</v>
      </c>
      <c r="G1422" t="s">
        <v>29</v>
      </c>
      <c r="H1422" t="s">
        <v>987</v>
      </c>
      <c r="J1422" s="3">
        <v>12</v>
      </c>
      <c r="N1422" s="3">
        <v>0.5</v>
      </c>
      <c r="O1422" s="3">
        <v>0</v>
      </c>
      <c r="P1422">
        <v>28</v>
      </c>
      <c r="Q1422">
        <v>6.5</v>
      </c>
      <c r="R1422" t="s">
        <v>102</v>
      </c>
      <c r="S1422">
        <v>0</v>
      </c>
      <c r="T1422" s="6">
        <f>10^-(14-Q1422)</f>
        <v>3.1622776601683699E-8</v>
      </c>
      <c r="U1422" s="6">
        <v>0</v>
      </c>
      <c r="V1422" s="6">
        <v>0</v>
      </c>
      <c r="W1422" s="6">
        <v>0</v>
      </c>
      <c r="X1422" s="6">
        <v>0</v>
      </c>
      <c r="Y1422" t="s">
        <v>171</v>
      </c>
      <c r="Z1422" s="5">
        <v>-150</v>
      </c>
      <c r="AD1422">
        <v>1</v>
      </c>
      <c r="AE1422">
        <v>248.5</v>
      </c>
      <c r="AF1422">
        <v>1</v>
      </c>
      <c r="AK1422" s="9">
        <v>0.16</v>
      </c>
    </row>
    <row r="1423" spans="1:37" x14ac:dyDescent="0.3">
      <c r="A1423" t="s">
        <v>754</v>
      </c>
      <c r="B1423" s="1" t="s">
        <v>1615</v>
      </c>
      <c r="C1423">
        <v>67</v>
      </c>
      <c r="D1423" s="8" t="s">
        <v>1630</v>
      </c>
      <c r="E1423">
        <v>14000</v>
      </c>
      <c r="G1423" t="s">
        <v>683</v>
      </c>
      <c r="H1423" t="s">
        <v>987</v>
      </c>
      <c r="I1423" s="4">
        <v>0.33</v>
      </c>
      <c r="J1423" s="3">
        <v>0.16666666666666666</v>
      </c>
      <c r="N1423" s="3">
        <v>0.5</v>
      </c>
      <c r="O1423" s="3">
        <v>0</v>
      </c>
      <c r="P1423">
        <v>28</v>
      </c>
      <c r="Q1423">
        <v>6.5</v>
      </c>
      <c r="R1423" t="s">
        <v>102</v>
      </c>
      <c r="S1423">
        <v>0</v>
      </c>
      <c r="T1423" s="6">
        <f>10^-(14-Q1423)</f>
        <v>3.1622776601683699E-8</v>
      </c>
      <c r="U1423" s="6">
        <v>0</v>
      </c>
      <c r="V1423" s="6">
        <v>0</v>
      </c>
      <c r="W1423" s="6">
        <v>0</v>
      </c>
      <c r="X1423" s="6">
        <v>0</v>
      </c>
      <c r="Y1423" t="s">
        <v>171</v>
      </c>
      <c r="Z1423" s="5">
        <v>-50</v>
      </c>
      <c r="AD1423">
        <v>1</v>
      </c>
      <c r="AE1423">
        <v>343.5</v>
      </c>
      <c r="AF1423">
        <v>1</v>
      </c>
      <c r="AK1423" s="9">
        <v>0.16</v>
      </c>
    </row>
    <row r="1424" spans="1:37" x14ac:dyDescent="0.3">
      <c r="A1424" t="s">
        <v>755</v>
      </c>
      <c r="B1424" s="1" t="s">
        <v>1615</v>
      </c>
      <c r="C1424">
        <v>67</v>
      </c>
      <c r="D1424" s="8" t="s">
        <v>1630</v>
      </c>
      <c r="E1424">
        <v>14000</v>
      </c>
      <c r="G1424" t="s">
        <v>683</v>
      </c>
      <c r="H1424" t="s">
        <v>987</v>
      </c>
      <c r="I1424" s="4">
        <v>0.33</v>
      </c>
      <c r="J1424" s="3">
        <v>0.5</v>
      </c>
      <c r="N1424" s="3">
        <v>0.5</v>
      </c>
      <c r="O1424" s="3">
        <v>0</v>
      </c>
      <c r="P1424">
        <v>28</v>
      </c>
      <c r="Q1424">
        <v>6.5</v>
      </c>
      <c r="R1424" t="s">
        <v>102</v>
      </c>
      <c r="S1424">
        <v>0</v>
      </c>
      <c r="T1424" s="6">
        <f>10^-(14-Q1424)</f>
        <v>3.1622776601683699E-8</v>
      </c>
      <c r="U1424" s="6">
        <v>0</v>
      </c>
      <c r="V1424" s="6">
        <v>0</v>
      </c>
      <c r="W1424" s="6">
        <v>0</v>
      </c>
      <c r="X1424" s="6">
        <v>0</v>
      </c>
      <c r="Y1424" t="s">
        <v>171</v>
      </c>
      <c r="Z1424" s="5">
        <v>-60</v>
      </c>
      <c r="AD1424">
        <v>1</v>
      </c>
      <c r="AE1424">
        <v>358.5</v>
      </c>
      <c r="AF1424">
        <v>1</v>
      </c>
      <c r="AK1424" s="9">
        <v>0.16</v>
      </c>
    </row>
    <row r="1425" spans="1:39" x14ac:dyDescent="0.3">
      <c r="A1425" t="s">
        <v>756</v>
      </c>
      <c r="B1425" s="1" t="s">
        <v>1615</v>
      </c>
      <c r="C1425">
        <v>67</v>
      </c>
      <c r="D1425" s="8" t="s">
        <v>1630</v>
      </c>
      <c r="E1425">
        <v>14000</v>
      </c>
      <c r="G1425" t="s">
        <v>683</v>
      </c>
      <c r="H1425" t="s">
        <v>987</v>
      </c>
      <c r="I1425" s="4">
        <v>0.33</v>
      </c>
      <c r="J1425" s="3">
        <v>1</v>
      </c>
      <c r="N1425" s="3">
        <v>0.5</v>
      </c>
      <c r="O1425" s="3">
        <v>0</v>
      </c>
      <c r="P1425">
        <v>28</v>
      </c>
      <c r="Q1425">
        <v>6.5</v>
      </c>
      <c r="R1425" t="s">
        <v>102</v>
      </c>
      <c r="S1425">
        <v>0</v>
      </c>
      <c r="T1425" s="6">
        <f>10^-(14-Q1425)</f>
        <v>3.1622776601683699E-8</v>
      </c>
      <c r="U1425" s="6">
        <v>0</v>
      </c>
      <c r="V1425" s="6">
        <v>0</v>
      </c>
      <c r="W1425" s="6">
        <v>0</v>
      </c>
      <c r="X1425" s="6">
        <v>0</v>
      </c>
      <c r="Y1425" t="s">
        <v>171</v>
      </c>
      <c r="Z1425" s="5">
        <v>-30</v>
      </c>
      <c r="AD1425">
        <v>1</v>
      </c>
      <c r="AE1425">
        <v>353.5</v>
      </c>
      <c r="AF1425">
        <v>1</v>
      </c>
      <c r="AK1425" s="9">
        <v>0.16</v>
      </c>
    </row>
    <row r="1426" spans="1:39" x14ac:dyDescent="0.3">
      <c r="A1426" t="s">
        <v>757</v>
      </c>
      <c r="B1426" s="1" t="s">
        <v>1615</v>
      </c>
      <c r="C1426">
        <v>67</v>
      </c>
      <c r="D1426" s="8" t="s">
        <v>1630</v>
      </c>
      <c r="E1426">
        <v>14000</v>
      </c>
      <c r="G1426" t="s">
        <v>683</v>
      </c>
      <c r="H1426" t="s">
        <v>987</v>
      </c>
      <c r="I1426" s="4">
        <v>0.33</v>
      </c>
      <c r="J1426" s="3">
        <v>10</v>
      </c>
      <c r="N1426" s="3">
        <v>0.5</v>
      </c>
      <c r="O1426" s="3">
        <v>0</v>
      </c>
      <c r="P1426">
        <v>28</v>
      </c>
      <c r="Q1426">
        <v>6.5</v>
      </c>
      <c r="R1426" t="s">
        <v>102</v>
      </c>
      <c r="S1426">
        <v>0</v>
      </c>
      <c r="T1426" s="6">
        <f>10^-(14-Q1426)</f>
        <v>3.1622776601683699E-8</v>
      </c>
      <c r="U1426" s="6">
        <v>0</v>
      </c>
      <c r="V1426" s="6">
        <v>0</v>
      </c>
      <c r="W1426" s="6">
        <v>0</v>
      </c>
      <c r="X1426" s="6">
        <v>0</v>
      </c>
      <c r="Y1426" t="s">
        <v>171</v>
      </c>
      <c r="Z1426" s="5">
        <v>20</v>
      </c>
      <c r="AD1426">
        <v>1</v>
      </c>
      <c r="AE1426">
        <v>358.5</v>
      </c>
      <c r="AF1426">
        <v>1</v>
      </c>
      <c r="AK1426" s="9">
        <v>0.16</v>
      </c>
    </row>
    <row r="1427" spans="1:39" x14ac:dyDescent="0.3">
      <c r="A1427" t="s">
        <v>758</v>
      </c>
      <c r="B1427" s="1" t="s">
        <v>1615</v>
      </c>
      <c r="C1427">
        <v>67</v>
      </c>
      <c r="D1427" s="8" t="s">
        <v>1630</v>
      </c>
      <c r="E1427">
        <v>14000</v>
      </c>
      <c r="G1427" t="s">
        <v>684</v>
      </c>
      <c r="H1427" t="s">
        <v>987</v>
      </c>
      <c r="I1427" s="4">
        <v>0.33</v>
      </c>
      <c r="J1427" s="3">
        <v>1</v>
      </c>
      <c r="N1427" s="3">
        <v>0.5</v>
      </c>
      <c r="O1427" s="3">
        <v>0</v>
      </c>
      <c r="P1427">
        <v>28</v>
      </c>
      <c r="Q1427">
        <v>6.5</v>
      </c>
      <c r="R1427" t="s">
        <v>102</v>
      </c>
      <c r="S1427">
        <v>0</v>
      </c>
      <c r="T1427" s="6">
        <f>10^-(14-Q1427)</f>
        <v>3.1622776601683699E-8</v>
      </c>
      <c r="U1427" s="6">
        <v>0</v>
      </c>
      <c r="V1427" s="6">
        <v>0</v>
      </c>
      <c r="W1427" s="6">
        <v>0</v>
      </c>
      <c r="X1427" s="6">
        <v>0</v>
      </c>
      <c r="Y1427" t="s">
        <v>171</v>
      </c>
      <c r="AD1427">
        <v>1</v>
      </c>
      <c r="AE1427">
        <v>349.5</v>
      </c>
      <c r="AF1427">
        <v>1</v>
      </c>
      <c r="AK1427" s="9">
        <v>0.16</v>
      </c>
    </row>
    <row r="1428" spans="1:39" x14ac:dyDescent="0.3">
      <c r="A1428" t="s">
        <v>759</v>
      </c>
      <c r="B1428" s="1" t="s">
        <v>1615</v>
      </c>
      <c r="C1428">
        <v>67</v>
      </c>
      <c r="D1428" s="8" t="s">
        <v>1630</v>
      </c>
      <c r="E1428">
        <v>14000</v>
      </c>
      <c r="G1428" t="s">
        <v>685</v>
      </c>
      <c r="H1428" t="s">
        <v>987</v>
      </c>
      <c r="I1428" s="4">
        <v>0.33</v>
      </c>
      <c r="J1428" s="3">
        <v>1</v>
      </c>
      <c r="N1428" s="3">
        <v>0.5</v>
      </c>
      <c r="O1428" s="3">
        <v>0</v>
      </c>
      <c r="P1428">
        <v>28</v>
      </c>
      <c r="Q1428">
        <v>6.5</v>
      </c>
      <c r="R1428" t="s">
        <v>102</v>
      </c>
      <c r="S1428">
        <v>0</v>
      </c>
      <c r="T1428" s="6">
        <f>10^-(14-Q1428)</f>
        <v>3.1622776601683699E-8</v>
      </c>
      <c r="U1428" s="6">
        <v>0</v>
      </c>
      <c r="V1428" s="6">
        <v>0</v>
      </c>
      <c r="W1428" s="6">
        <v>0</v>
      </c>
      <c r="X1428" s="6">
        <v>0</v>
      </c>
      <c r="Y1428" t="s">
        <v>171</v>
      </c>
      <c r="AD1428">
        <v>1</v>
      </c>
      <c r="AE1428">
        <v>353.5</v>
      </c>
      <c r="AF1428">
        <v>1</v>
      </c>
      <c r="AK1428" s="9">
        <v>0.16</v>
      </c>
    </row>
    <row r="1429" spans="1:39" x14ac:dyDescent="0.3">
      <c r="A1429" t="s">
        <v>760</v>
      </c>
      <c r="B1429" s="1" t="s">
        <v>1615</v>
      </c>
      <c r="C1429">
        <v>67</v>
      </c>
      <c r="D1429" s="8" t="s">
        <v>1630</v>
      </c>
      <c r="E1429">
        <v>14000</v>
      </c>
      <c r="G1429" t="s">
        <v>678</v>
      </c>
      <c r="H1429" t="s">
        <v>987</v>
      </c>
      <c r="I1429" s="4">
        <v>0.33</v>
      </c>
      <c r="J1429" s="3">
        <v>1</v>
      </c>
      <c r="N1429" s="3">
        <v>0.5</v>
      </c>
      <c r="O1429" s="3">
        <v>0</v>
      </c>
      <c r="P1429">
        <v>28</v>
      </c>
      <c r="Q1429">
        <v>6.5</v>
      </c>
      <c r="R1429" t="s">
        <v>102</v>
      </c>
      <c r="S1429">
        <v>0</v>
      </c>
      <c r="T1429" s="6">
        <f>10^-(14-Q1429)</f>
        <v>3.1622776601683699E-8</v>
      </c>
      <c r="U1429" s="6">
        <v>0</v>
      </c>
      <c r="V1429" s="6">
        <v>0</v>
      </c>
      <c r="W1429" s="6">
        <v>0</v>
      </c>
      <c r="X1429" s="6">
        <v>0</v>
      </c>
      <c r="Y1429" t="s">
        <v>171</v>
      </c>
      <c r="AD1429">
        <v>1</v>
      </c>
      <c r="AE1429">
        <v>353.5</v>
      </c>
      <c r="AF1429">
        <v>1</v>
      </c>
      <c r="AK1429" s="9">
        <v>0.16</v>
      </c>
    </row>
    <row r="1430" spans="1:39" x14ac:dyDescent="0.3">
      <c r="A1430" t="s">
        <v>761</v>
      </c>
      <c r="B1430" s="1" t="s">
        <v>1615</v>
      </c>
      <c r="C1430">
        <v>67</v>
      </c>
      <c r="D1430" s="8" t="s">
        <v>1630</v>
      </c>
      <c r="E1430">
        <v>14000</v>
      </c>
      <c r="G1430" t="s">
        <v>686</v>
      </c>
      <c r="H1430" t="s">
        <v>987</v>
      </c>
      <c r="I1430" s="4">
        <v>0.33</v>
      </c>
      <c r="J1430" s="3">
        <v>1</v>
      </c>
      <c r="N1430" s="3">
        <v>0.5</v>
      </c>
      <c r="O1430" s="3">
        <v>0</v>
      </c>
      <c r="P1430">
        <v>28</v>
      </c>
      <c r="Q1430">
        <v>6.5</v>
      </c>
      <c r="R1430" t="s">
        <v>102</v>
      </c>
      <c r="S1430">
        <v>0</v>
      </c>
      <c r="T1430" s="6">
        <f>10^-(14-Q1430)</f>
        <v>3.1622776601683699E-8</v>
      </c>
      <c r="U1430" s="6">
        <v>0</v>
      </c>
      <c r="V1430" s="6">
        <v>0</v>
      </c>
      <c r="W1430" s="6">
        <v>0</v>
      </c>
      <c r="X1430" s="6">
        <v>0</v>
      </c>
      <c r="Y1430" t="s">
        <v>171</v>
      </c>
      <c r="AD1430">
        <v>1</v>
      </c>
      <c r="AE1430">
        <v>358.5</v>
      </c>
      <c r="AF1430">
        <v>1</v>
      </c>
      <c r="AK1430" s="9">
        <v>0.16</v>
      </c>
    </row>
    <row r="1431" spans="1:39" x14ac:dyDescent="0.3">
      <c r="A1431" t="s">
        <v>762</v>
      </c>
      <c r="B1431" s="1" t="s">
        <v>1615</v>
      </c>
      <c r="C1431">
        <v>67</v>
      </c>
      <c r="D1431" s="8" t="s">
        <v>1630</v>
      </c>
      <c r="E1431">
        <v>14000</v>
      </c>
      <c r="G1431" t="s">
        <v>29</v>
      </c>
      <c r="H1431" t="s">
        <v>987</v>
      </c>
      <c r="J1431" s="3">
        <v>12</v>
      </c>
      <c r="N1431" s="3">
        <v>0.5</v>
      </c>
      <c r="O1431" s="3">
        <v>0</v>
      </c>
      <c r="P1431">
        <v>28</v>
      </c>
      <c r="Q1431">
        <v>6.5</v>
      </c>
      <c r="R1431" t="s">
        <v>102</v>
      </c>
      <c r="S1431">
        <v>0</v>
      </c>
      <c r="T1431" s="6">
        <f>10^-(14-Q1431)</f>
        <v>3.1622776601683699E-8</v>
      </c>
      <c r="U1431" s="6">
        <v>0</v>
      </c>
      <c r="V1431" s="6">
        <v>0</v>
      </c>
      <c r="W1431" s="6">
        <v>0</v>
      </c>
      <c r="X1431" s="6">
        <v>0</v>
      </c>
      <c r="Y1431" t="s">
        <v>171</v>
      </c>
      <c r="Z1431" s="5">
        <v>-150</v>
      </c>
      <c r="AD1431">
        <v>1</v>
      </c>
      <c r="AE1431">
        <v>260</v>
      </c>
      <c r="AF1431">
        <v>1</v>
      </c>
      <c r="AK1431" s="9">
        <v>0.16</v>
      </c>
    </row>
    <row r="1432" spans="1:39" x14ac:dyDescent="0.3">
      <c r="A1432" t="s">
        <v>763</v>
      </c>
      <c r="B1432" s="1" t="s">
        <v>1615</v>
      </c>
      <c r="C1432">
        <v>67</v>
      </c>
      <c r="D1432" s="8" t="s">
        <v>1630</v>
      </c>
      <c r="E1432">
        <v>14000</v>
      </c>
      <c r="G1432" t="s">
        <v>683</v>
      </c>
      <c r="H1432" t="s">
        <v>987</v>
      </c>
      <c r="I1432" s="4">
        <v>0.33</v>
      </c>
      <c r="J1432" s="3">
        <v>0.16666666666666666</v>
      </c>
      <c r="N1432" s="3">
        <v>0.5</v>
      </c>
      <c r="O1432" s="3">
        <v>0</v>
      </c>
      <c r="P1432">
        <v>28</v>
      </c>
      <c r="Q1432">
        <v>6.5</v>
      </c>
      <c r="R1432" t="s">
        <v>102</v>
      </c>
      <c r="S1432">
        <v>0</v>
      </c>
      <c r="T1432" s="6">
        <f>10^-(14-Q1432)</f>
        <v>3.1622776601683699E-8</v>
      </c>
      <c r="U1432" s="6">
        <v>0</v>
      </c>
      <c r="V1432" s="6">
        <v>0</v>
      </c>
      <c r="W1432" s="6">
        <v>0</v>
      </c>
      <c r="X1432" s="6">
        <v>0</v>
      </c>
      <c r="Y1432" t="s">
        <v>171</v>
      </c>
      <c r="Z1432" s="5">
        <v>-50</v>
      </c>
      <c r="AD1432">
        <v>1</v>
      </c>
      <c r="AE1432">
        <v>360</v>
      </c>
      <c r="AF1432">
        <v>1</v>
      </c>
      <c r="AK1432" s="9">
        <v>0.16</v>
      </c>
    </row>
    <row r="1433" spans="1:39" x14ac:dyDescent="0.3">
      <c r="A1433" t="s">
        <v>764</v>
      </c>
      <c r="B1433" s="1" t="s">
        <v>1615</v>
      </c>
      <c r="C1433">
        <v>67</v>
      </c>
      <c r="D1433" s="8" t="s">
        <v>1630</v>
      </c>
      <c r="E1433">
        <v>14000</v>
      </c>
      <c r="G1433" t="s">
        <v>683</v>
      </c>
      <c r="H1433" t="s">
        <v>987</v>
      </c>
      <c r="I1433" s="4">
        <v>0.33</v>
      </c>
      <c r="J1433" s="3">
        <v>0.5</v>
      </c>
      <c r="N1433" s="3">
        <v>0.5</v>
      </c>
      <c r="O1433" s="3">
        <v>0</v>
      </c>
      <c r="P1433">
        <v>28</v>
      </c>
      <c r="Q1433">
        <v>6.5</v>
      </c>
      <c r="R1433" t="s">
        <v>102</v>
      </c>
      <c r="S1433">
        <v>0</v>
      </c>
      <c r="T1433" s="6">
        <f>10^-(14-Q1433)</f>
        <v>3.1622776601683699E-8</v>
      </c>
      <c r="U1433" s="6">
        <v>0</v>
      </c>
      <c r="V1433" s="6">
        <v>0</v>
      </c>
      <c r="W1433" s="6">
        <v>0</v>
      </c>
      <c r="X1433" s="6">
        <v>0</v>
      </c>
      <c r="Y1433" t="s">
        <v>171</v>
      </c>
      <c r="Z1433" s="5">
        <v>-60</v>
      </c>
      <c r="AD1433">
        <v>1</v>
      </c>
      <c r="AE1433">
        <v>365</v>
      </c>
      <c r="AF1433">
        <v>1</v>
      </c>
      <c r="AK1433" s="9">
        <v>0.16</v>
      </c>
    </row>
    <row r="1434" spans="1:39" x14ac:dyDescent="0.3">
      <c r="A1434" t="s">
        <v>765</v>
      </c>
      <c r="B1434" s="1" t="s">
        <v>1615</v>
      </c>
      <c r="C1434">
        <v>67</v>
      </c>
      <c r="D1434" s="8" t="s">
        <v>1630</v>
      </c>
      <c r="E1434">
        <v>14000</v>
      </c>
      <c r="G1434" t="s">
        <v>683</v>
      </c>
      <c r="H1434" t="s">
        <v>987</v>
      </c>
      <c r="I1434" s="4">
        <v>0.33</v>
      </c>
      <c r="J1434" s="3">
        <v>1</v>
      </c>
      <c r="N1434" s="3">
        <v>0.5</v>
      </c>
      <c r="O1434" s="3">
        <v>0</v>
      </c>
      <c r="P1434">
        <v>28</v>
      </c>
      <c r="Q1434">
        <v>6.5</v>
      </c>
      <c r="R1434" t="s">
        <v>102</v>
      </c>
      <c r="S1434">
        <v>0</v>
      </c>
      <c r="T1434" s="6">
        <f>10^-(14-Q1434)</f>
        <v>3.1622776601683699E-8</v>
      </c>
      <c r="U1434" s="6">
        <v>0</v>
      </c>
      <c r="V1434" s="6">
        <v>0</v>
      </c>
      <c r="W1434" s="6">
        <v>0</v>
      </c>
      <c r="X1434" s="6">
        <v>0</v>
      </c>
      <c r="Y1434" t="s">
        <v>171</v>
      </c>
      <c r="Z1434" s="5">
        <v>-30</v>
      </c>
      <c r="AD1434">
        <v>1</v>
      </c>
      <c r="AE1434">
        <v>360</v>
      </c>
      <c r="AF1434">
        <v>1</v>
      </c>
      <c r="AK1434" s="9">
        <v>0.16</v>
      </c>
    </row>
    <row r="1435" spans="1:39" x14ac:dyDescent="0.3">
      <c r="A1435" t="s">
        <v>766</v>
      </c>
      <c r="B1435" s="1" t="s">
        <v>1615</v>
      </c>
      <c r="C1435">
        <v>67</v>
      </c>
      <c r="D1435" s="8" t="s">
        <v>1630</v>
      </c>
      <c r="E1435">
        <v>14000</v>
      </c>
      <c r="G1435" t="s">
        <v>683</v>
      </c>
      <c r="H1435" t="s">
        <v>987</v>
      </c>
      <c r="I1435" s="4">
        <v>0.33</v>
      </c>
      <c r="J1435" s="3">
        <v>10</v>
      </c>
      <c r="N1435" s="3">
        <v>0.5</v>
      </c>
      <c r="O1435" s="3">
        <v>0</v>
      </c>
      <c r="P1435">
        <v>28</v>
      </c>
      <c r="Q1435">
        <v>6.5</v>
      </c>
      <c r="R1435" t="s">
        <v>102</v>
      </c>
      <c r="S1435">
        <v>0</v>
      </c>
      <c r="T1435" s="6">
        <f>10^-(14-Q1435)</f>
        <v>3.1622776601683699E-8</v>
      </c>
      <c r="U1435" s="6">
        <v>0</v>
      </c>
      <c r="V1435" s="6">
        <v>0</v>
      </c>
      <c r="W1435" s="6">
        <v>0</v>
      </c>
      <c r="X1435" s="6">
        <v>0</v>
      </c>
      <c r="Y1435" t="s">
        <v>171</v>
      </c>
      <c r="Z1435" s="5">
        <v>20</v>
      </c>
      <c r="AD1435">
        <v>1</v>
      </c>
      <c r="AE1435">
        <v>365</v>
      </c>
      <c r="AF1435">
        <v>1</v>
      </c>
      <c r="AK1435" s="9">
        <v>0.16</v>
      </c>
    </row>
    <row r="1436" spans="1:39" x14ac:dyDescent="0.3">
      <c r="A1436" t="s">
        <v>767</v>
      </c>
      <c r="B1436" s="1" t="s">
        <v>1615</v>
      </c>
      <c r="C1436">
        <v>67</v>
      </c>
      <c r="D1436" s="8" t="s">
        <v>1630</v>
      </c>
      <c r="E1436">
        <v>14000</v>
      </c>
      <c r="G1436" t="s">
        <v>684</v>
      </c>
      <c r="H1436" t="s">
        <v>987</v>
      </c>
      <c r="I1436" s="4">
        <v>0.33</v>
      </c>
      <c r="J1436" s="3">
        <v>1</v>
      </c>
      <c r="N1436" s="3">
        <v>0.5</v>
      </c>
      <c r="O1436" s="3">
        <v>0</v>
      </c>
      <c r="P1436">
        <v>28</v>
      </c>
      <c r="Q1436">
        <v>6.5</v>
      </c>
      <c r="R1436" t="s">
        <v>102</v>
      </c>
      <c r="S1436">
        <v>0</v>
      </c>
      <c r="T1436" s="6">
        <f>10^-(14-Q1436)</f>
        <v>3.1622776601683699E-8</v>
      </c>
      <c r="U1436" s="6">
        <v>0</v>
      </c>
      <c r="V1436" s="6">
        <v>0</v>
      </c>
      <c r="W1436" s="6">
        <v>0</v>
      </c>
      <c r="X1436" s="6">
        <v>0</v>
      </c>
      <c r="Y1436" t="s">
        <v>171</v>
      </c>
      <c r="AD1436">
        <v>1</v>
      </c>
      <c r="AE1436">
        <v>350</v>
      </c>
      <c r="AF1436">
        <v>1</v>
      </c>
      <c r="AK1436" s="9">
        <v>0.16</v>
      </c>
    </row>
    <row r="1437" spans="1:39" x14ac:dyDescent="0.3">
      <c r="A1437" t="s">
        <v>768</v>
      </c>
      <c r="B1437" s="1" t="s">
        <v>1615</v>
      </c>
      <c r="C1437">
        <v>67</v>
      </c>
      <c r="D1437" s="8" t="s">
        <v>1630</v>
      </c>
      <c r="E1437">
        <v>14000</v>
      </c>
      <c r="G1437" t="s">
        <v>685</v>
      </c>
      <c r="H1437" t="s">
        <v>987</v>
      </c>
      <c r="I1437" s="4">
        <v>0.33</v>
      </c>
      <c r="J1437" s="3">
        <v>1</v>
      </c>
      <c r="N1437" s="3">
        <v>0.5</v>
      </c>
      <c r="O1437" s="3">
        <v>0</v>
      </c>
      <c r="P1437">
        <v>28</v>
      </c>
      <c r="Q1437">
        <v>6.5</v>
      </c>
      <c r="R1437" t="s">
        <v>102</v>
      </c>
      <c r="S1437">
        <v>0</v>
      </c>
      <c r="T1437" s="6">
        <f>10^-(14-Q1437)</f>
        <v>3.1622776601683699E-8</v>
      </c>
      <c r="U1437" s="6">
        <v>0</v>
      </c>
      <c r="V1437" s="6">
        <v>0</v>
      </c>
      <c r="W1437" s="6">
        <v>0</v>
      </c>
      <c r="X1437" s="6">
        <v>0</v>
      </c>
      <c r="Y1437" t="s">
        <v>171</v>
      </c>
      <c r="AD1437">
        <v>1</v>
      </c>
      <c r="AE1437">
        <v>370</v>
      </c>
      <c r="AF1437">
        <v>1</v>
      </c>
      <c r="AK1437" s="9">
        <v>0.16</v>
      </c>
    </row>
    <row r="1438" spans="1:39" x14ac:dyDescent="0.3">
      <c r="A1438" t="s">
        <v>769</v>
      </c>
      <c r="B1438" s="1" t="s">
        <v>1615</v>
      </c>
      <c r="C1438">
        <v>67</v>
      </c>
      <c r="D1438" s="8" t="s">
        <v>1630</v>
      </c>
      <c r="E1438">
        <v>14000</v>
      </c>
      <c r="G1438" t="s">
        <v>678</v>
      </c>
      <c r="H1438" t="s">
        <v>987</v>
      </c>
      <c r="I1438" s="4">
        <v>0.33</v>
      </c>
      <c r="J1438" s="3">
        <v>1</v>
      </c>
      <c r="N1438" s="3">
        <v>0.5</v>
      </c>
      <c r="O1438" s="3">
        <v>0</v>
      </c>
      <c r="P1438">
        <v>28</v>
      </c>
      <c r="Q1438">
        <v>6.5</v>
      </c>
      <c r="R1438" t="s">
        <v>102</v>
      </c>
      <c r="S1438">
        <v>0</v>
      </c>
      <c r="T1438" s="6">
        <f>10^-(14-Q1438)</f>
        <v>3.1622776601683699E-8</v>
      </c>
      <c r="U1438" s="6">
        <v>0</v>
      </c>
      <c r="V1438" s="6">
        <v>0</v>
      </c>
      <c r="W1438" s="6">
        <v>0</v>
      </c>
      <c r="X1438" s="6">
        <v>0</v>
      </c>
      <c r="Y1438" t="s">
        <v>171</v>
      </c>
      <c r="AD1438">
        <v>1</v>
      </c>
      <c r="AE1438">
        <v>375</v>
      </c>
      <c r="AF1438">
        <v>1</v>
      </c>
      <c r="AK1438" s="9">
        <v>0.16</v>
      </c>
    </row>
    <row r="1439" spans="1:39" x14ac:dyDescent="0.3">
      <c r="A1439" t="s">
        <v>770</v>
      </c>
      <c r="B1439" s="1" t="s">
        <v>1615</v>
      </c>
      <c r="C1439">
        <v>67</v>
      </c>
      <c r="D1439" s="8" t="s">
        <v>1630</v>
      </c>
      <c r="E1439">
        <v>14000</v>
      </c>
      <c r="G1439" t="s">
        <v>686</v>
      </c>
      <c r="H1439" t="s">
        <v>987</v>
      </c>
      <c r="I1439" s="4">
        <v>0.33</v>
      </c>
      <c r="J1439" s="3">
        <v>1</v>
      </c>
      <c r="N1439" s="3">
        <v>0.5</v>
      </c>
      <c r="O1439" s="3">
        <v>0</v>
      </c>
      <c r="P1439">
        <v>28</v>
      </c>
      <c r="Q1439">
        <v>6.5</v>
      </c>
      <c r="R1439" t="s">
        <v>102</v>
      </c>
      <c r="S1439">
        <v>0</v>
      </c>
      <c r="T1439" s="6">
        <f>10^-(14-Q1439)</f>
        <v>3.1622776601683699E-8</v>
      </c>
      <c r="U1439" s="6">
        <v>0</v>
      </c>
      <c r="V1439" s="6">
        <v>0</v>
      </c>
      <c r="W1439" s="6">
        <v>0</v>
      </c>
      <c r="X1439" s="6">
        <v>0</v>
      </c>
      <c r="Y1439" t="s">
        <v>171</v>
      </c>
      <c r="AD1439">
        <v>1</v>
      </c>
      <c r="AE1439">
        <v>370</v>
      </c>
      <c r="AF1439">
        <v>1</v>
      </c>
      <c r="AK1439" s="9">
        <v>0.16</v>
      </c>
    </row>
    <row r="1440" spans="1:39" x14ac:dyDescent="0.3">
      <c r="A1440" t="s">
        <v>1458</v>
      </c>
      <c r="B1440" s="1" t="s">
        <v>1594</v>
      </c>
      <c r="C1440">
        <v>68</v>
      </c>
      <c r="D1440" s="8">
        <v>303</v>
      </c>
      <c r="E1440">
        <v>600</v>
      </c>
      <c r="G1440" t="s">
        <v>29</v>
      </c>
      <c r="I1440"/>
      <c r="J1440">
        <v>1</v>
      </c>
      <c r="K1440">
        <v>1</v>
      </c>
      <c r="L1440" t="s">
        <v>172</v>
      </c>
      <c r="N1440">
        <v>0.51334702258726905</v>
      </c>
      <c r="O1440" s="3">
        <v>0</v>
      </c>
      <c r="P1440">
        <v>20</v>
      </c>
      <c r="Q1440">
        <v>6.5</v>
      </c>
      <c r="R1440" t="s">
        <v>102</v>
      </c>
      <c r="S1440">
        <v>0</v>
      </c>
      <c r="T1440" s="6">
        <f>10^-(14-Q1440)</f>
        <v>3.1622776601683699E-8</v>
      </c>
      <c r="U1440" s="6">
        <v>0</v>
      </c>
      <c r="V1440" s="6">
        <v>0</v>
      </c>
      <c r="W1440" s="6">
        <v>0</v>
      </c>
      <c r="X1440" s="6">
        <v>0</v>
      </c>
      <c r="Y1440" t="s">
        <v>171</v>
      </c>
      <c r="Z1440" s="5">
        <v>-350</v>
      </c>
      <c r="AA1440"/>
      <c r="AB1440"/>
      <c r="AC1440"/>
      <c r="AD1440">
        <v>0.5</v>
      </c>
      <c r="AE1440">
        <v>66</v>
      </c>
      <c r="AF1440">
        <v>1</v>
      </c>
      <c r="AG1440" s="9">
        <v>0.03</v>
      </c>
      <c r="AH1440" s="9">
        <v>0.61</v>
      </c>
      <c r="AI1440" s="9">
        <v>0.42</v>
      </c>
      <c r="AJ1440" s="9">
        <v>2.1000000000000001E-2</v>
      </c>
      <c r="AK1440" s="9">
        <v>0.18</v>
      </c>
      <c r="AL1440" s="9">
        <v>18.3</v>
      </c>
      <c r="AM1440" s="9">
        <v>9.4</v>
      </c>
    </row>
    <row r="1441" spans="1:41" x14ac:dyDescent="0.3">
      <c r="A1441" t="s">
        <v>1462</v>
      </c>
      <c r="B1441" s="1" t="s">
        <v>1594</v>
      </c>
      <c r="C1441">
        <v>68</v>
      </c>
      <c r="D1441" s="8">
        <v>303</v>
      </c>
      <c r="E1441">
        <v>600</v>
      </c>
      <c r="G1441" t="s">
        <v>29</v>
      </c>
      <c r="I1441"/>
      <c r="J1441">
        <v>1</v>
      </c>
      <c r="K1441">
        <v>1</v>
      </c>
      <c r="L1441" t="s">
        <v>172</v>
      </c>
      <c r="N1441">
        <v>0.25667351129363453</v>
      </c>
      <c r="O1441" s="3">
        <v>0</v>
      </c>
      <c r="P1441">
        <v>20</v>
      </c>
      <c r="Q1441">
        <v>6.5</v>
      </c>
      <c r="R1441" t="s">
        <v>102</v>
      </c>
      <c r="S1441">
        <v>0</v>
      </c>
      <c r="T1441" s="6">
        <f>10^-(14-Q1441)</f>
        <v>3.1622776601683699E-8</v>
      </c>
      <c r="U1441" s="6">
        <v>0</v>
      </c>
      <c r="V1441" s="6">
        <v>0</v>
      </c>
      <c r="W1441" s="6">
        <v>0</v>
      </c>
      <c r="X1441" s="6">
        <v>0</v>
      </c>
      <c r="Y1441" t="s">
        <v>171</v>
      </c>
      <c r="Z1441" s="5">
        <v>-500</v>
      </c>
      <c r="AA1441"/>
      <c r="AB1441"/>
      <c r="AC1441"/>
      <c r="AD1441">
        <v>0.5</v>
      </c>
      <c r="AE1441">
        <v>77</v>
      </c>
      <c r="AF1441">
        <v>1</v>
      </c>
      <c r="AG1441" s="9">
        <v>0.03</v>
      </c>
      <c r="AH1441" s="9">
        <v>0.61</v>
      </c>
      <c r="AI1441" s="9">
        <v>0.42</v>
      </c>
      <c r="AJ1441" s="9">
        <v>2.1000000000000001E-2</v>
      </c>
      <c r="AK1441" s="9">
        <v>0.18</v>
      </c>
      <c r="AL1441" s="9">
        <v>18.3</v>
      </c>
      <c r="AM1441" s="9">
        <v>9.4</v>
      </c>
    </row>
    <row r="1442" spans="1:41" x14ac:dyDescent="0.3">
      <c r="A1442" t="s">
        <v>1459</v>
      </c>
      <c r="B1442" s="1" t="s">
        <v>1594</v>
      </c>
      <c r="C1442">
        <v>68</v>
      </c>
      <c r="D1442" s="8">
        <v>303</v>
      </c>
      <c r="E1442">
        <v>600</v>
      </c>
      <c r="G1442" t="s">
        <v>29</v>
      </c>
      <c r="I1442"/>
      <c r="J1442">
        <v>1</v>
      </c>
      <c r="K1442">
        <v>1</v>
      </c>
      <c r="L1442" t="s">
        <v>172</v>
      </c>
      <c r="N1442">
        <v>0.51334702258726905</v>
      </c>
      <c r="O1442" s="3">
        <v>0</v>
      </c>
      <c r="P1442">
        <v>20</v>
      </c>
      <c r="Q1442">
        <v>6.5</v>
      </c>
      <c r="R1442" t="s">
        <v>102</v>
      </c>
      <c r="S1442">
        <v>0</v>
      </c>
      <c r="T1442" s="6">
        <f>10^-(14-Q1442)</f>
        <v>3.1622776601683699E-8</v>
      </c>
      <c r="U1442" s="6">
        <v>0</v>
      </c>
      <c r="V1442" s="6">
        <v>0</v>
      </c>
      <c r="W1442" s="6">
        <v>0</v>
      </c>
      <c r="X1442" s="6">
        <v>0</v>
      </c>
      <c r="Y1442" t="s">
        <v>171</v>
      </c>
      <c r="Z1442" s="5">
        <v>-450</v>
      </c>
      <c r="AA1442"/>
      <c r="AB1442"/>
      <c r="AC1442"/>
      <c r="AD1442">
        <v>0.5</v>
      </c>
      <c r="AE1442">
        <v>76</v>
      </c>
      <c r="AF1442">
        <v>1</v>
      </c>
      <c r="AG1442" s="9">
        <v>0.05</v>
      </c>
      <c r="AH1442" s="9">
        <v>0.66</v>
      </c>
      <c r="AI1442" s="9">
        <v>0.47</v>
      </c>
      <c r="AJ1442" s="9">
        <v>2.1000000000000001E-2</v>
      </c>
      <c r="AK1442" s="9">
        <v>0.19</v>
      </c>
      <c r="AL1442" s="9">
        <v>18.5</v>
      </c>
      <c r="AM1442" s="9">
        <v>9.5</v>
      </c>
    </row>
    <row r="1443" spans="1:41" x14ac:dyDescent="0.3">
      <c r="A1443" t="s">
        <v>1461</v>
      </c>
      <c r="B1443" s="1" t="s">
        <v>1594</v>
      </c>
      <c r="C1443">
        <v>68</v>
      </c>
      <c r="D1443" s="8">
        <v>1.4300999999999999</v>
      </c>
      <c r="E1443">
        <v>600</v>
      </c>
      <c r="G1443" t="s">
        <v>29</v>
      </c>
      <c r="I1443"/>
      <c r="J1443">
        <v>1</v>
      </c>
      <c r="K1443">
        <v>1</v>
      </c>
      <c r="L1443" t="s">
        <v>172</v>
      </c>
      <c r="N1443">
        <v>0.51334702258726905</v>
      </c>
      <c r="O1443" s="3">
        <v>0</v>
      </c>
      <c r="P1443">
        <v>20</v>
      </c>
      <c r="Q1443">
        <v>6.5</v>
      </c>
      <c r="R1443" t="s">
        <v>102</v>
      </c>
      <c r="S1443">
        <v>0</v>
      </c>
      <c r="T1443" s="6">
        <f>10^-(14-Q1443)</f>
        <v>3.1622776601683699E-8</v>
      </c>
      <c r="U1443" s="6">
        <v>0</v>
      </c>
      <c r="V1443" s="6">
        <v>0</v>
      </c>
      <c r="W1443" s="6">
        <v>0</v>
      </c>
      <c r="X1443" s="6">
        <v>0</v>
      </c>
      <c r="Y1443" t="s">
        <v>171</v>
      </c>
      <c r="Z1443" s="5">
        <v>-300</v>
      </c>
      <c r="AA1443"/>
      <c r="AB1443"/>
      <c r="AC1443"/>
      <c r="AD1443">
        <v>0.5</v>
      </c>
      <c r="AE1443">
        <v>192</v>
      </c>
      <c r="AF1443">
        <v>1</v>
      </c>
      <c r="AL1443" s="9">
        <v>18.5</v>
      </c>
      <c r="AM1443" s="9">
        <v>9</v>
      </c>
    </row>
    <row r="1444" spans="1:41" x14ac:dyDescent="0.3">
      <c r="A1444" t="s">
        <v>1463</v>
      </c>
      <c r="B1444" s="1" t="s">
        <v>1594</v>
      </c>
      <c r="C1444">
        <v>68</v>
      </c>
      <c r="D1444" s="8">
        <v>303</v>
      </c>
      <c r="E1444">
        <v>600</v>
      </c>
      <c r="G1444" t="s">
        <v>29</v>
      </c>
      <c r="I1444"/>
      <c r="J1444">
        <v>1</v>
      </c>
      <c r="K1444">
        <v>1</v>
      </c>
      <c r="L1444" t="s">
        <v>172</v>
      </c>
      <c r="N1444">
        <v>0.25667351129363453</v>
      </c>
      <c r="O1444" s="3">
        <v>0</v>
      </c>
      <c r="P1444">
        <v>20</v>
      </c>
      <c r="Q1444">
        <v>6.5</v>
      </c>
      <c r="R1444" t="s">
        <v>102</v>
      </c>
      <c r="S1444">
        <v>0</v>
      </c>
      <c r="T1444" s="6">
        <f>10^-(14-Q1444)</f>
        <v>3.1622776601683699E-8</v>
      </c>
      <c r="U1444" s="6">
        <v>0</v>
      </c>
      <c r="V1444" s="6">
        <v>0</v>
      </c>
      <c r="W1444" s="6">
        <v>0</v>
      </c>
      <c r="X1444" s="6">
        <v>0</v>
      </c>
      <c r="Y1444" t="s">
        <v>171</v>
      </c>
      <c r="Z1444" s="5">
        <v>-400</v>
      </c>
      <c r="AA1444"/>
      <c r="AB1444"/>
      <c r="AC1444"/>
      <c r="AD1444">
        <v>0.5</v>
      </c>
      <c r="AE1444">
        <v>86</v>
      </c>
      <c r="AF1444">
        <v>1</v>
      </c>
      <c r="AG1444" s="9">
        <v>0.05</v>
      </c>
      <c r="AH1444" s="9">
        <v>0.66</v>
      </c>
      <c r="AI1444" s="9">
        <v>0.47</v>
      </c>
      <c r="AJ1444" s="9">
        <v>2.1000000000000001E-2</v>
      </c>
      <c r="AK1444" s="9">
        <v>0.19</v>
      </c>
      <c r="AL1444" s="9">
        <v>18.5</v>
      </c>
      <c r="AM1444" s="9">
        <v>9.5</v>
      </c>
    </row>
    <row r="1445" spans="1:41" x14ac:dyDescent="0.3">
      <c r="A1445" t="s">
        <v>1465</v>
      </c>
      <c r="B1445" s="1" t="s">
        <v>1594</v>
      </c>
      <c r="C1445">
        <v>68</v>
      </c>
      <c r="D1445" s="8">
        <v>1.4300999999999999</v>
      </c>
      <c r="E1445">
        <v>600</v>
      </c>
      <c r="G1445" t="s">
        <v>29</v>
      </c>
      <c r="I1445"/>
      <c r="J1445">
        <v>1</v>
      </c>
      <c r="K1445">
        <v>1</v>
      </c>
      <c r="L1445" t="s">
        <v>172</v>
      </c>
      <c r="N1445">
        <v>0.25667351129363453</v>
      </c>
      <c r="O1445" s="3">
        <v>0</v>
      </c>
      <c r="P1445">
        <v>20</v>
      </c>
      <c r="Q1445">
        <v>6.5</v>
      </c>
      <c r="R1445" t="s">
        <v>102</v>
      </c>
      <c r="S1445">
        <v>0</v>
      </c>
      <c r="T1445" s="6">
        <f>10^-(14-Q1445)</f>
        <v>3.1622776601683699E-8</v>
      </c>
      <c r="U1445" s="6">
        <v>0</v>
      </c>
      <c r="V1445" s="6">
        <v>0</v>
      </c>
      <c r="W1445" s="6">
        <v>0</v>
      </c>
      <c r="X1445" s="6">
        <v>0</v>
      </c>
      <c r="Y1445" t="s">
        <v>171</v>
      </c>
      <c r="Z1445" s="5">
        <v>-450</v>
      </c>
      <c r="AA1445"/>
      <c r="AB1445"/>
      <c r="AC1445"/>
      <c r="AD1445">
        <v>0.5</v>
      </c>
      <c r="AE1445">
        <v>232</v>
      </c>
      <c r="AF1445">
        <v>1</v>
      </c>
      <c r="AL1445" s="9">
        <v>18.5</v>
      </c>
      <c r="AM1445" s="9">
        <v>9</v>
      </c>
    </row>
    <row r="1446" spans="1:41" x14ac:dyDescent="0.3">
      <c r="A1446" t="s">
        <v>1460</v>
      </c>
      <c r="B1446" s="1" t="s">
        <v>1594</v>
      </c>
      <c r="C1446">
        <v>68</v>
      </c>
      <c r="D1446" s="8">
        <v>303</v>
      </c>
      <c r="E1446">
        <v>600</v>
      </c>
      <c r="G1446" t="s">
        <v>29</v>
      </c>
      <c r="I1446"/>
      <c r="J1446">
        <v>1</v>
      </c>
      <c r="K1446">
        <v>1</v>
      </c>
      <c r="L1446" t="s">
        <v>172</v>
      </c>
      <c r="N1446">
        <v>0.51334702258726905</v>
      </c>
      <c r="O1446" s="3">
        <v>0</v>
      </c>
      <c r="P1446">
        <v>20</v>
      </c>
      <c r="Q1446">
        <v>6.5</v>
      </c>
      <c r="R1446" t="s">
        <v>102</v>
      </c>
      <c r="S1446">
        <v>0</v>
      </c>
      <c r="T1446" s="6">
        <f>10^-(14-Q1446)</f>
        <v>3.1622776601683699E-8</v>
      </c>
      <c r="U1446" s="6">
        <v>0</v>
      </c>
      <c r="V1446" s="6">
        <v>0</v>
      </c>
      <c r="W1446" s="6">
        <v>0</v>
      </c>
      <c r="X1446" s="6">
        <v>0</v>
      </c>
      <c r="Y1446" t="s">
        <v>171</v>
      </c>
      <c r="Z1446" s="5">
        <v>-475</v>
      </c>
      <c r="AA1446"/>
      <c r="AB1446"/>
      <c r="AC1446"/>
      <c r="AD1446">
        <v>0.5</v>
      </c>
      <c r="AE1446">
        <v>30</v>
      </c>
      <c r="AF1446">
        <v>1</v>
      </c>
      <c r="AG1446" s="9">
        <v>0.04</v>
      </c>
      <c r="AH1446" s="9">
        <v>0.75</v>
      </c>
      <c r="AI1446" s="9">
        <v>0.35</v>
      </c>
      <c r="AJ1446" s="9">
        <v>2.1000000000000001E-2</v>
      </c>
      <c r="AK1446" s="9">
        <v>0.17</v>
      </c>
      <c r="AL1446" s="9">
        <v>18.8</v>
      </c>
      <c r="AM1446" s="9">
        <v>9.4</v>
      </c>
    </row>
    <row r="1447" spans="1:41" x14ac:dyDescent="0.3">
      <c r="A1447" t="s">
        <v>1464</v>
      </c>
      <c r="B1447" s="1" t="s">
        <v>1594</v>
      </c>
      <c r="C1447">
        <v>68</v>
      </c>
      <c r="D1447" s="8">
        <v>303</v>
      </c>
      <c r="E1447">
        <v>600</v>
      </c>
      <c r="G1447" t="s">
        <v>29</v>
      </c>
      <c r="I1447"/>
      <c r="J1447">
        <v>1</v>
      </c>
      <c r="K1447">
        <v>1</v>
      </c>
      <c r="L1447" t="s">
        <v>172</v>
      </c>
      <c r="N1447">
        <v>0.25667351129363453</v>
      </c>
      <c r="O1447" s="3">
        <v>0</v>
      </c>
      <c r="P1447">
        <v>20</v>
      </c>
      <c r="Q1447">
        <v>6.5</v>
      </c>
      <c r="R1447" t="s">
        <v>102</v>
      </c>
      <c r="S1447">
        <v>0</v>
      </c>
      <c r="T1447" s="6">
        <f>10^-(14-Q1447)</f>
        <v>3.1622776601683699E-8</v>
      </c>
      <c r="U1447" s="6">
        <v>0</v>
      </c>
      <c r="V1447" s="6">
        <v>0</v>
      </c>
      <c r="W1447" s="6">
        <v>0</v>
      </c>
      <c r="X1447" s="6">
        <v>0</v>
      </c>
      <c r="Y1447" t="s">
        <v>171</v>
      </c>
      <c r="Z1447" s="5">
        <v>-450</v>
      </c>
      <c r="AA1447"/>
      <c r="AB1447"/>
      <c r="AC1447"/>
      <c r="AD1447">
        <v>0.5</v>
      </c>
      <c r="AE1447">
        <v>90</v>
      </c>
      <c r="AF1447">
        <v>1</v>
      </c>
      <c r="AG1447" s="9">
        <v>0.04</v>
      </c>
      <c r="AH1447" s="9">
        <v>0.75</v>
      </c>
      <c r="AI1447" s="9">
        <v>0.35</v>
      </c>
      <c r="AJ1447" s="9">
        <v>2.1000000000000001E-2</v>
      </c>
      <c r="AK1447" s="9">
        <v>0.17</v>
      </c>
      <c r="AL1447" s="9">
        <v>18.8</v>
      </c>
      <c r="AM1447" s="9">
        <v>9.4</v>
      </c>
    </row>
    <row r="1448" spans="1:41" x14ac:dyDescent="0.3">
      <c r="A1448" t="s">
        <v>1561</v>
      </c>
      <c r="B1448" s="1" t="s">
        <v>1597</v>
      </c>
      <c r="C1448">
        <v>69</v>
      </c>
      <c r="D1448" s="8">
        <v>1.4403999999999999</v>
      </c>
      <c r="E1448">
        <v>600</v>
      </c>
      <c r="G1448" t="s">
        <v>192</v>
      </c>
      <c r="H1448">
        <v>3.5</v>
      </c>
      <c r="I1448" s="4">
        <v>-1.3</v>
      </c>
      <c r="J1448" s="3">
        <v>0.05</v>
      </c>
      <c r="L1448" t="s">
        <v>172</v>
      </c>
      <c r="N1448" s="3">
        <v>0.01</v>
      </c>
      <c r="O1448" s="3">
        <v>0</v>
      </c>
      <c r="P1448">
        <v>2</v>
      </c>
      <c r="Q1448">
        <v>3.5</v>
      </c>
      <c r="R1448" t="s">
        <v>102</v>
      </c>
      <c r="S1448">
        <v>0</v>
      </c>
      <c r="T1448" s="6">
        <f>10^-(14-Q1448)</f>
        <v>3.162277660168371E-11</v>
      </c>
      <c r="U1448" s="6">
        <v>0</v>
      </c>
      <c r="V1448" s="6">
        <v>0</v>
      </c>
      <c r="W1448" s="6">
        <v>0</v>
      </c>
      <c r="X1448" s="6">
        <v>0</v>
      </c>
      <c r="Y1448" t="s">
        <v>171</v>
      </c>
      <c r="Z1448" s="5">
        <v>-210</v>
      </c>
      <c r="AD1448">
        <f>1/6</f>
        <v>0.16666666666666666</v>
      </c>
      <c r="AE1448" s="1">
        <v>1200</v>
      </c>
      <c r="AF1448">
        <v>2</v>
      </c>
      <c r="AG1448" s="12">
        <v>2.5999999999999999E-2</v>
      </c>
      <c r="AH1448" s="9">
        <v>1.6</v>
      </c>
      <c r="AI1448" s="9">
        <v>0.37</v>
      </c>
      <c r="AJ1448" s="9">
        <v>3.2000000000000001E-2</v>
      </c>
      <c r="AK1448" s="9">
        <v>0.01</v>
      </c>
      <c r="AL1448" s="9">
        <v>16.600000000000001</v>
      </c>
      <c r="AM1448" s="9">
        <v>10.199999999999999</v>
      </c>
      <c r="AN1448" s="9">
        <v>2.4</v>
      </c>
      <c r="AO1448" s="9">
        <v>2.5000000000000001E-2</v>
      </c>
    </row>
    <row r="1449" spans="1:41" x14ac:dyDescent="0.3">
      <c r="A1449" t="s">
        <v>1562</v>
      </c>
      <c r="B1449" s="1" t="s">
        <v>1597</v>
      </c>
      <c r="C1449">
        <v>69</v>
      </c>
      <c r="D1449" s="8">
        <v>1.4403999999999999</v>
      </c>
      <c r="E1449">
        <v>600</v>
      </c>
      <c r="G1449" t="s">
        <v>192</v>
      </c>
      <c r="H1449">
        <v>3.5</v>
      </c>
      <c r="I1449" s="4">
        <v>-1.3</v>
      </c>
      <c r="J1449" s="3">
        <v>0.05</v>
      </c>
      <c r="L1449" t="s">
        <v>172</v>
      </c>
      <c r="N1449" s="3">
        <v>0.01</v>
      </c>
      <c r="O1449" s="3">
        <v>0</v>
      </c>
      <c r="P1449">
        <v>10</v>
      </c>
      <c r="Q1449">
        <v>3.5</v>
      </c>
      <c r="R1449" t="s">
        <v>102</v>
      </c>
      <c r="S1449">
        <v>0</v>
      </c>
      <c r="T1449" s="6">
        <f>10^-(14-Q1449)</f>
        <v>3.162277660168371E-11</v>
      </c>
      <c r="U1449" s="6">
        <v>0</v>
      </c>
      <c r="V1449" s="6">
        <v>0</v>
      </c>
      <c r="W1449" s="6">
        <v>0</v>
      </c>
      <c r="X1449" s="6">
        <v>0</v>
      </c>
      <c r="Y1449" t="s">
        <v>171</v>
      </c>
      <c r="Z1449" s="5">
        <v>-220</v>
      </c>
      <c r="AD1449">
        <f>1/6</f>
        <v>0.16666666666666666</v>
      </c>
      <c r="AE1449" s="1">
        <v>650</v>
      </c>
      <c r="AF1449">
        <v>1</v>
      </c>
      <c r="AG1449" s="12">
        <v>2.5999999999999999E-2</v>
      </c>
      <c r="AH1449" s="9">
        <v>1.6</v>
      </c>
      <c r="AI1449" s="9">
        <v>0.37</v>
      </c>
      <c r="AJ1449" s="9">
        <v>3.2000000000000001E-2</v>
      </c>
      <c r="AK1449" s="9">
        <v>0.01</v>
      </c>
      <c r="AL1449" s="9">
        <v>16.600000000000001</v>
      </c>
      <c r="AM1449" s="9">
        <v>10.199999999999999</v>
      </c>
      <c r="AN1449" s="9">
        <v>2.4</v>
      </c>
      <c r="AO1449" s="9">
        <v>2.5000000000000001E-2</v>
      </c>
    </row>
    <row r="1450" spans="1:41" x14ac:dyDescent="0.3">
      <c r="A1450" t="s">
        <v>1563</v>
      </c>
      <c r="B1450" s="1" t="s">
        <v>1597</v>
      </c>
      <c r="C1450">
        <v>69</v>
      </c>
      <c r="D1450" s="8">
        <v>1.4403999999999999</v>
      </c>
      <c r="E1450">
        <v>600</v>
      </c>
      <c r="G1450" t="s">
        <v>192</v>
      </c>
      <c r="H1450">
        <v>3.5</v>
      </c>
      <c r="I1450" s="4">
        <v>-1.3</v>
      </c>
      <c r="J1450" s="3">
        <v>0.05</v>
      </c>
      <c r="L1450" t="s">
        <v>172</v>
      </c>
      <c r="N1450" s="3">
        <v>0.01</v>
      </c>
      <c r="O1450" s="3">
        <v>0</v>
      </c>
      <c r="P1450">
        <v>75</v>
      </c>
      <c r="Q1450">
        <v>3.5</v>
      </c>
      <c r="R1450" t="s">
        <v>102</v>
      </c>
      <c r="S1450">
        <v>0</v>
      </c>
      <c r="T1450" s="6">
        <f>10^-(14-Q1450)</f>
        <v>3.162277660168371E-11</v>
      </c>
      <c r="U1450" s="6">
        <v>0</v>
      </c>
      <c r="V1450" s="6">
        <v>0</v>
      </c>
      <c r="W1450" s="6">
        <v>0</v>
      </c>
      <c r="X1450" s="6">
        <v>0</v>
      </c>
      <c r="Y1450" t="s">
        <v>171</v>
      </c>
      <c r="Z1450" s="5">
        <v>-190</v>
      </c>
      <c r="AD1450">
        <f>1/6</f>
        <v>0.16666666666666666</v>
      </c>
      <c r="AE1450" s="1">
        <v>200</v>
      </c>
      <c r="AF1450">
        <v>1</v>
      </c>
      <c r="AG1450" s="12">
        <v>2.5999999999999999E-2</v>
      </c>
      <c r="AH1450" s="9">
        <v>1.6</v>
      </c>
      <c r="AI1450" s="9">
        <v>0.37</v>
      </c>
      <c r="AJ1450" s="9">
        <v>3.2000000000000001E-2</v>
      </c>
      <c r="AK1450" s="9">
        <v>0.01</v>
      </c>
      <c r="AL1450" s="9">
        <v>16.600000000000001</v>
      </c>
      <c r="AM1450" s="9">
        <v>10.199999999999999</v>
      </c>
      <c r="AN1450" s="9">
        <v>2.4</v>
      </c>
      <c r="AO1450" s="9">
        <v>2.5000000000000001E-2</v>
      </c>
    </row>
    <row r="1451" spans="1:41" x14ac:dyDescent="0.3">
      <c r="A1451" t="s">
        <v>1564</v>
      </c>
      <c r="B1451" s="1" t="s">
        <v>1597</v>
      </c>
      <c r="C1451">
        <v>69</v>
      </c>
      <c r="D1451" s="8">
        <v>1.4403999999999999</v>
      </c>
      <c r="E1451">
        <v>600</v>
      </c>
      <c r="G1451" t="s">
        <v>192</v>
      </c>
      <c r="H1451">
        <v>3.5</v>
      </c>
      <c r="I1451" s="4">
        <v>-1.3</v>
      </c>
      <c r="J1451" s="3">
        <v>0.05</v>
      </c>
      <c r="L1451" t="s">
        <v>172</v>
      </c>
      <c r="N1451" s="3">
        <v>0.05</v>
      </c>
      <c r="O1451" s="3">
        <v>0</v>
      </c>
      <c r="P1451">
        <v>10</v>
      </c>
      <c r="Q1451">
        <v>3.5</v>
      </c>
      <c r="R1451" t="s">
        <v>102</v>
      </c>
      <c r="S1451">
        <v>0</v>
      </c>
      <c r="T1451" s="6">
        <f>10^-(14-Q1451)</f>
        <v>3.162277660168371E-11</v>
      </c>
      <c r="U1451" s="6">
        <v>0</v>
      </c>
      <c r="V1451" s="6">
        <v>0</v>
      </c>
      <c r="W1451" s="6">
        <v>0</v>
      </c>
      <c r="X1451" s="6">
        <v>0</v>
      </c>
      <c r="Y1451" t="s">
        <v>171</v>
      </c>
      <c r="Z1451" s="5">
        <v>-250</v>
      </c>
      <c r="AD1451">
        <f>1/6</f>
        <v>0.16666666666666666</v>
      </c>
      <c r="AE1451" s="1">
        <v>1200</v>
      </c>
      <c r="AF1451">
        <v>2</v>
      </c>
      <c r="AG1451" s="12">
        <v>2.5999999999999999E-2</v>
      </c>
      <c r="AH1451" s="9">
        <v>1.6</v>
      </c>
      <c r="AI1451" s="9">
        <v>0.37</v>
      </c>
      <c r="AJ1451" s="9">
        <v>3.2000000000000001E-2</v>
      </c>
      <c r="AK1451" s="9">
        <v>0.01</v>
      </c>
      <c r="AL1451" s="9">
        <v>16.600000000000001</v>
      </c>
      <c r="AM1451" s="9">
        <v>10.199999999999999</v>
      </c>
      <c r="AN1451" s="9">
        <v>2.4</v>
      </c>
      <c r="AO1451" s="9">
        <v>2.5000000000000001E-2</v>
      </c>
    </row>
    <row r="1452" spans="1:41" x14ac:dyDescent="0.3">
      <c r="A1452" t="s">
        <v>1565</v>
      </c>
      <c r="B1452" s="1" t="s">
        <v>1597</v>
      </c>
      <c r="C1452">
        <v>69</v>
      </c>
      <c r="D1452" s="8">
        <v>1.4403999999999999</v>
      </c>
      <c r="E1452">
        <v>600</v>
      </c>
      <c r="G1452" t="s">
        <v>192</v>
      </c>
      <c r="H1452">
        <v>3.5</v>
      </c>
      <c r="I1452" s="4">
        <v>-1.3</v>
      </c>
      <c r="J1452" s="3">
        <v>0.05</v>
      </c>
      <c r="L1452" t="s">
        <v>172</v>
      </c>
      <c r="N1452" s="3">
        <v>0.05</v>
      </c>
      <c r="O1452" s="3">
        <v>0</v>
      </c>
      <c r="P1452">
        <v>20</v>
      </c>
      <c r="Q1452">
        <v>3.5</v>
      </c>
      <c r="R1452" t="s">
        <v>102</v>
      </c>
      <c r="S1452">
        <v>0</v>
      </c>
      <c r="T1452" s="6">
        <f>10^-(14-Q1452)</f>
        <v>3.162277660168371E-11</v>
      </c>
      <c r="U1452" s="6">
        <v>0</v>
      </c>
      <c r="V1452" s="6">
        <v>0</v>
      </c>
      <c r="W1452" s="6">
        <v>0</v>
      </c>
      <c r="X1452" s="6">
        <v>0</v>
      </c>
      <c r="Y1452" t="s">
        <v>171</v>
      </c>
      <c r="Z1452" s="5">
        <v>-250</v>
      </c>
      <c r="AD1452">
        <f>1/6</f>
        <v>0.16666666666666666</v>
      </c>
      <c r="AE1452" s="1">
        <v>650</v>
      </c>
      <c r="AF1452">
        <v>1</v>
      </c>
      <c r="AG1452" s="12">
        <v>2.5999999999999999E-2</v>
      </c>
      <c r="AH1452" s="9">
        <v>1.6</v>
      </c>
      <c r="AI1452" s="9">
        <v>0.37</v>
      </c>
      <c r="AJ1452" s="9">
        <v>3.2000000000000001E-2</v>
      </c>
      <c r="AK1452" s="9">
        <v>0.01</v>
      </c>
      <c r="AL1452" s="9">
        <v>16.600000000000001</v>
      </c>
      <c r="AM1452" s="9">
        <v>10.199999999999999</v>
      </c>
      <c r="AN1452" s="9">
        <v>2.4</v>
      </c>
      <c r="AO1452" s="9">
        <v>2.5000000000000001E-2</v>
      </c>
    </row>
    <row r="1453" spans="1:41" x14ac:dyDescent="0.3">
      <c r="A1453" t="s">
        <v>1566</v>
      </c>
      <c r="B1453" s="1" t="s">
        <v>1597</v>
      </c>
      <c r="C1453">
        <v>69</v>
      </c>
      <c r="D1453" s="8">
        <v>1.4403999999999999</v>
      </c>
      <c r="E1453">
        <v>600</v>
      </c>
      <c r="G1453" t="s">
        <v>192</v>
      </c>
      <c r="H1453">
        <v>3.5</v>
      </c>
      <c r="I1453" s="4">
        <v>-1.3</v>
      </c>
      <c r="J1453" s="3">
        <v>0.05</v>
      </c>
      <c r="L1453" t="s">
        <v>172</v>
      </c>
      <c r="N1453" s="3">
        <v>0.05</v>
      </c>
      <c r="O1453" s="3">
        <v>0</v>
      </c>
      <c r="P1453">
        <v>75</v>
      </c>
      <c r="Q1453">
        <v>3.5</v>
      </c>
      <c r="R1453" t="s">
        <v>102</v>
      </c>
      <c r="S1453">
        <v>0</v>
      </c>
      <c r="T1453" s="6">
        <f>10^-(14-Q1453)</f>
        <v>3.162277660168371E-11</v>
      </c>
      <c r="U1453" s="6">
        <v>0</v>
      </c>
      <c r="V1453" s="6">
        <v>0</v>
      </c>
      <c r="W1453" s="6">
        <v>0</v>
      </c>
      <c r="X1453" s="6">
        <v>0</v>
      </c>
      <c r="Y1453" t="s">
        <v>171</v>
      </c>
      <c r="Z1453" s="5">
        <v>-180</v>
      </c>
      <c r="AD1453">
        <f>1/6</f>
        <v>0.16666666666666666</v>
      </c>
      <c r="AE1453">
        <v>220</v>
      </c>
      <c r="AF1453">
        <v>1</v>
      </c>
      <c r="AG1453" s="12">
        <v>2.5999999999999999E-2</v>
      </c>
      <c r="AH1453" s="9">
        <v>1.6</v>
      </c>
      <c r="AI1453" s="9">
        <v>0.37</v>
      </c>
      <c r="AJ1453" s="9">
        <v>3.2000000000000001E-2</v>
      </c>
      <c r="AK1453" s="9">
        <v>0.01</v>
      </c>
      <c r="AL1453" s="9">
        <v>16.600000000000001</v>
      </c>
      <c r="AM1453" s="9">
        <v>10.199999999999999</v>
      </c>
      <c r="AN1453" s="9">
        <v>2.4</v>
      </c>
      <c r="AO1453" s="9">
        <v>2.5000000000000001E-2</v>
      </c>
    </row>
    <row r="1454" spans="1:41" x14ac:dyDescent="0.3">
      <c r="A1454" t="s">
        <v>1567</v>
      </c>
      <c r="B1454" s="1" t="s">
        <v>1597</v>
      </c>
      <c r="C1454">
        <v>69</v>
      </c>
      <c r="D1454" s="8">
        <v>1.4403999999999999</v>
      </c>
      <c r="E1454">
        <v>600</v>
      </c>
      <c r="G1454" t="s">
        <v>192</v>
      </c>
      <c r="H1454">
        <v>8.5</v>
      </c>
      <c r="I1454" s="4">
        <v>-1.3</v>
      </c>
      <c r="J1454" s="3">
        <v>0.05</v>
      </c>
      <c r="L1454" t="s">
        <v>172</v>
      </c>
      <c r="N1454" s="3">
        <v>0.05</v>
      </c>
      <c r="O1454" s="3">
        <v>0</v>
      </c>
      <c r="P1454">
        <v>5</v>
      </c>
      <c r="Q1454">
        <v>8.5</v>
      </c>
      <c r="R1454" t="s">
        <v>102</v>
      </c>
      <c r="S1454">
        <v>0</v>
      </c>
      <c r="T1454" s="6">
        <f>10^-(14-Q1454)</f>
        <v>3.1622776601683767E-6</v>
      </c>
      <c r="U1454" s="6">
        <v>0</v>
      </c>
      <c r="V1454" s="6">
        <v>0</v>
      </c>
      <c r="W1454" s="6">
        <v>0</v>
      </c>
      <c r="X1454" s="6">
        <v>0</v>
      </c>
      <c r="Y1454" t="s">
        <v>171</v>
      </c>
      <c r="Z1454" s="5">
        <v>-210</v>
      </c>
      <c r="AD1454">
        <f>1/6</f>
        <v>0.16666666666666666</v>
      </c>
      <c r="AE1454" s="1">
        <v>750</v>
      </c>
      <c r="AF1454">
        <v>1</v>
      </c>
      <c r="AG1454" s="12">
        <v>2.5999999999999999E-2</v>
      </c>
      <c r="AH1454" s="9">
        <v>1.6</v>
      </c>
      <c r="AI1454" s="9">
        <v>0.37</v>
      </c>
      <c r="AJ1454" s="9">
        <v>3.2000000000000001E-2</v>
      </c>
      <c r="AK1454" s="9">
        <v>0.01</v>
      </c>
      <c r="AL1454" s="9">
        <v>16.600000000000001</v>
      </c>
      <c r="AM1454" s="9">
        <v>10.199999999999999</v>
      </c>
      <c r="AN1454" s="9">
        <v>2.4</v>
      </c>
      <c r="AO1454" s="9">
        <v>2.5000000000000001E-2</v>
      </c>
    </row>
    <row r="1455" spans="1:41" x14ac:dyDescent="0.3">
      <c r="A1455" t="s">
        <v>1568</v>
      </c>
      <c r="B1455" s="1" t="s">
        <v>1597</v>
      </c>
      <c r="C1455">
        <v>69</v>
      </c>
      <c r="D1455" s="8">
        <v>1.4403999999999999</v>
      </c>
      <c r="E1455">
        <v>600</v>
      </c>
      <c r="G1455" t="s">
        <v>192</v>
      </c>
      <c r="H1455">
        <v>8.5</v>
      </c>
      <c r="I1455" s="4">
        <v>-1.3</v>
      </c>
      <c r="J1455" s="3">
        <v>0.05</v>
      </c>
      <c r="L1455" t="s">
        <v>172</v>
      </c>
      <c r="N1455" s="3">
        <v>0.05</v>
      </c>
      <c r="O1455" s="3">
        <v>0</v>
      </c>
      <c r="P1455">
        <v>15</v>
      </c>
      <c r="Q1455">
        <v>8.5</v>
      </c>
      <c r="R1455" t="s">
        <v>102</v>
      </c>
      <c r="S1455">
        <v>0</v>
      </c>
      <c r="T1455" s="6">
        <f>10^-(14-Q1455)</f>
        <v>3.1622776601683767E-6</v>
      </c>
      <c r="U1455" s="6">
        <v>0</v>
      </c>
      <c r="V1455" s="6">
        <v>0</v>
      </c>
      <c r="W1455" s="6">
        <v>0</v>
      </c>
      <c r="X1455" s="6">
        <v>0</v>
      </c>
      <c r="Y1455" t="s">
        <v>171</v>
      </c>
      <c r="Z1455" s="5">
        <v>-220</v>
      </c>
      <c r="AD1455">
        <f>1/6</f>
        <v>0.16666666666666666</v>
      </c>
      <c r="AE1455" s="1">
        <v>600</v>
      </c>
      <c r="AF1455">
        <v>1</v>
      </c>
      <c r="AG1455" s="12">
        <v>2.5999999999999999E-2</v>
      </c>
      <c r="AH1455" s="9">
        <v>1.6</v>
      </c>
      <c r="AI1455" s="9">
        <v>0.37</v>
      </c>
      <c r="AJ1455" s="9">
        <v>3.2000000000000001E-2</v>
      </c>
      <c r="AK1455" s="9">
        <v>0.01</v>
      </c>
      <c r="AL1455" s="9">
        <v>16.600000000000001</v>
      </c>
      <c r="AM1455" s="9">
        <v>10.199999999999999</v>
      </c>
      <c r="AN1455" s="9">
        <v>2.4</v>
      </c>
      <c r="AO1455" s="9">
        <v>2.5000000000000001E-2</v>
      </c>
    </row>
    <row r="1456" spans="1:41" x14ac:dyDescent="0.3">
      <c r="A1456" t="s">
        <v>1569</v>
      </c>
      <c r="B1456" s="1" t="s">
        <v>1597</v>
      </c>
      <c r="C1456">
        <v>69</v>
      </c>
      <c r="D1456" s="8">
        <v>1.4403999999999999</v>
      </c>
      <c r="E1456">
        <v>600</v>
      </c>
      <c r="G1456" t="s">
        <v>192</v>
      </c>
      <c r="H1456">
        <v>8.5</v>
      </c>
      <c r="I1456" s="4">
        <v>-1.3</v>
      </c>
      <c r="J1456" s="3">
        <v>0.05</v>
      </c>
      <c r="L1456" t="s">
        <v>172</v>
      </c>
      <c r="N1456" s="3">
        <v>0.05</v>
      </c>
      <c r="O1456" s="3">
        <v>0</v>
      </c>
      <c r="P1456">
        <v>50</v>
      </c>
      <c r="Q1456">
        <v>8.5</v>
      </c>
      <c r="R1456" t="s">
        <v>102</v>
      </c>
      <c r="S1456">
        <v>0</v>
      </c>
      <c r="T1456" s="6">
        <f>10^-(14-Q1456)</f>
        <v>3.1622776601683767E-6</v>
      </c>
      <c r="U1456" s="6">
        <v>0</v>
      </c>
      <c r="V1456" s="6">
        <v>0</v>
      </c>
      <c r="W1456" s="6">
        <v>0</v>
      </c>
      <c r="X1456" s="6">
        <v>0</v>
      </c>
      <c r="Y1456" t="s">
        <v>171</v>
      </c>
      <c r="Z1456" s="5">
        <v>-190</v>
      </c>
      <c r="AD1456">
        <f>1/6</f>
        <v>0.16666666666666666</v>
      </c>
      <c r="AE1456">
        <v>500</v>
      </c>
      <c r="AF1456">
        <v>1</v>
      </c>
      <c r="AG1456" s="12">
        <v>2.5999999999999999E-2</v>
      </c>
      <c r="AH1456" s="9">
        <v>1.6</v>
      </c>
      <c r="AI1456" s="9">
        <v>0.37</v>
      </c>
      <c r="AJ1456" s="9">
        <v>3.2000000000000001E-2</v>
      </c>
      <c r="AK1456" s="9">
        <v>0.01</v>
      </c>
      <c r="AL1456" s="9">
        <v>16.600000000000001</v>
      </c>
      <c r="AM1456" s="9">
        <v>10.199999999999999</v>
      </c>
      <c r="AN1456" s="9">
        <v>2.4</v>
      </c>
      <c r="AO1456" s="9">
        <v>2.5000000000000001E-2</v>
      </c>
    </row>
    <row r="1457" spans="1:41" x14ac:dyDescent="0.3">
      <c r="A1457" t="s">
        <v>428</v>
      </c>
      <c r="B1457" s="1" t="s">
        <v>1597</v>
      </c>
      <c r="C1457">
        <v>69</v>
      </c>
      <c r="D1457" s="8">
        <v>1.4403999999999999</v>
      </c>
      <c r="E1457">
        <v>600</v>
      </c>
      <c r="G1457" t="s">
        <v>192</v>
      </c>
      <c r="H1457">
        <v>5.5</v>
      </c>
      <c r="I1457" s="4">
        <v>-1.3</v>
      </c>
      <c r="J1457" s="3">
        <v>0.05</v>
      </c>
      <c r="L1457" t="s">
        <v>172</v>
      </c>
      <c r="N1457" s="3">
        <v>0.05</v>
      </c>
      <c r="O1457" s="3">
        <v>0</v>
      </c>
      <c r="P1457">
        <v>5</v>
      </c>
      <c r="Q1457">
        <v>5.5</v>
      </c>
      <c r="R1457" t="s">
        <v>102</v>
      </c>
      <c r="S1457">
        <v>0</v>
      </c>
      <c r="T1457" s="6">
        <f>10^-(14-Q1457)</f>
        <v>3.1622776601683779E-9</v>
      </c>
      <c r="U1457" s="6">
        <v>0</v>
      </c>
      <c r="V1457" s="6">
        <v>0</v>
      </c>
      <c r="W1457" s="6">
        <v>0</v>
      </c>
      <c r="X1457" s="6">
        <v>0</v>
      </c>
      <c r="Y1457" t="s">
        <v>171</v>
      </c>
      <c r="Z1457" s="5">
        <v>-210</v>
      </c>
      <c r="AD1457">
        <f>1/6</f>
        <v>0.16666666666666666</v>
      </c>
      <c r="AE1457" s="1">
        <v>1000</v>
      </c>
      <c r="AF1457">
        <v>1</v>
      </c>
      <c r="AG1457" s="12">
        <v>2.5999999999999999E-2</v>
      </c>
      <c r="AH1457" s="9">
        <v>1.6</v>
      </c>
      <c r="AI1457" s="9">
        <v>0.37</v>
      </c>
      <c r="AJ1457" s="9">
        <v>3.2000000000000001E-2</v>
      </c>
      <c r="AK1457" s="9">
        <v>0.01</v>
      </c>
      <c r="AL1457" s="9">
        <v>16.600000000000001</v>
      </c>
      <c r="AM1457" s="9">
        <v>10.199999999999999</v>
      </c>
      <c r="AN1457" s="9">
        <v>2.4</v>
      </c>
      <c r="AO1457" s="9">
        <v>2.5000000000000001E-2</v>
      </c>
    </row>
    <row r="1458" spans="1:41" x14ac:dyDescent="0.3">
      <c r="A1458" t="s">
        <v>429</v>
      </c>
      <c r="B1458" s="1" t="s">
        <v>1597</v>
      </c>
      <c r="C1458">
        <v>69</v>
      </c>
      <c r="D1458" s="8">
        <v>1.4403999999999999</v>
      </c>
      <c r="E1458">
        <v>600</v>
      </c>
      <c r="G1458" t="s">
        <v>192</v>
      </c>
      <c r="H1458">
        <v>5.5</v>
      </c>
      <c r="I1458" s="4">
        <v>-1.3</v>
      </c>
      <c r="J1458" s="3">
        <v>0.05</v>
      </c>
      <c r="L1458" t="s">
        <v>172</v>
      </c>
      <c r="N1458" s="3">
        <v>0.05</v>
      </c>
      <c r="O1458" s="3">
        <v>0</v>
      </c>
      <c r="P1458">
        <v>25</v>
      </c>
      <c r="Q1458">
        <v>5.5</v>
      </c>
      <c r="R1458" t="s">
        <v>102</v>
      </c>
      <c r="S1458">
        <v>0</v>
      </c>
      <c r="T1458" s="6">
        <f>10^-(14-Q1458)</f>
        <v>3.1622776601683779E-9</v>
      </c>
      <c r="U1458" s="6">
        <v>0</v>
      </c>
      <c r="V1458" s="6">
        <v>0</v>
      </c>
      <c r="W1458" s="6">
        <v>0</v>
      </c>
      <c r="X1458" s="6">
        <v>0</v>
      </c>
      <c r="Y1458" t="s">
        <v>171</v>
      </c>
      <c r="Z1458" s="5">
        <v>-220</v>
      </c>
      <c r="AD1458">
        <f>1/6</f>
        <v>0.16666666666666666</v>
      </c>
      <c r="AE1458" s="1">
        <v>700</v>
      </c>
      <c r="AF1458">
        <v>1</v>
      </c>
      <c r="AG1458" s="12">
        <v>2.5999999999999999E-2</v>
      </c>
      <c r="AH1458" s="9">
        <v>1.6</v>
      </c>
      <c r="AI1458" s="9">
        <v>0.37</v>
      </c>
      <c r="AJ1458" s="9">
        <v>3.2000000000000001E-2</v>
      </c>
      <c r="AK1458" s="9">
        <v>0.01</v>
      </c>
      <c r="AL1458" s="9">
        <v>16.600000000000001</v>
      </c>
      <c r="AM1458" s="9">
        <v>10.199999999999999</v>
      </c>
      <c r="AN1458" s="9">
        <v>2.4</v>
      </c>
      <c r="AO1458" s="9">
        <v>2.5000000000000001E-2</v>
      </c>
    </row>
    <row r="1459" spans="1:41" x14ac:dyDescent="0.3">
      <c r="A1459" t="s">
        <v>430</v>
      </c>
      <c r="B1459" s="1" t="s">
        <v>1597</v>
      </c>
      <c r="C1459">
        <v>69</v>
      </c>
      <c r="D1459" s="8">
        <v>1.4403999999999999</v>
      </c>
      <c r="E1459">
        <v>600</v>
      </c>
      <c r="G1459" t="s">
        <v>192</v>
      </c>
      <c r="H1459">
        <v>5.5</v>
      </c>
      <c r="I1459" s="4">
        <v>-1.3</v>
      </c>
      <c r="J1459" s="3">
        <v>0.05</v>
      </c>
      <c r="L1459" t="s">
        <v>172</v>
      </c>
      <c r="N1459" s="3">
        <v>0.05</v>
      </c>
      <c r="O1459" s="3">
        <v>0</v>
      </c>
      <c r="P1459">
        <v>75</v>
      </c>
      <c r="Q1459">
        <v>5.5</v>
      </c>
      <c r="R1459" t="s">
        <v>102</v>
      </c>
      <c r="S1459">
        <v>0</v>
      </c>
      <c r="T1459" s="6">
        <f>10^-(14-Q1459)</f>
        <v>3.1622776601683779E-9</v>
      </c>
      <c r="U1459" s="6">
        <v>0</v>
      </c>
      <c r="V1459" s="6">
        <v>0</v>
      </c>
      <c r="W1459" s="6">
        <v>0</v>
      </c>
      <c r="X1459" s="6">
        <v>0</v>
      </c>
      <c r="Y1459" t="s">
        <v>171</v>
      </c>
      <c r="Z1459" s="5">
        <v>-190</v>
      </c>
      <c r="AD1459">
        <f>1/6</f>
        <v>0.16666666666666666</v>
      </c>
      <c r="AE1459">
        <v>400</v>
      </c>
      <c r="AF1459">
        <v>1</v>
      </c>
      <c r="AG1459" s="12">
        <v>2.5999999999999999E-2</v>
      </c>
      <c r="AH1459" s="9">
        <v>1.6</v>
      </c>
      <c r="AI1459" s="9">
        <v>0.37</v>
      </c>
      <c r="AJ1459" s="9">
        <v>3.2000000000000001E-2</v>
      </c>
      <c r="AK1459" s="9">
        <v>0.01</v>
      </c>
      <c r="AL1459" s="9">
        <v>16.600000000000001</v>
      </c>
      <c r="AM1459" s="9">
        <v>10.199999999999999</v>
      </c>
      <c r="AN1459" s="9">
        <v>2.4</v>
      </c>
      <c r="AO1459" s="9">
        <v>2.5000000000000001E-2</v>
      </c>
    </row>
    <row r="1460" spans="1:41" x14ac:dyDescent="0.3">
      <c r="A1460" t="s">
        <v>431</v>
      </c>
      <c r="B1460" s="1" t="s">
        <v>1597</v>
      </c>
      <c r="C1460">
        <v>69</v>
      </c>
      <c r="D1460" s="8">
        <v>1.4403999999999999</v>
      </c>
      <c r="E1460">
        <v>600</v>
      </c>
      <c r="G1460" t="s">
        <v>192</v>
      </c>
      <c r="H1460">
        <v>5.5</v>
      </c>
      <c r="I1460" s="4">
        <v>-1.3</v>
      </c>
      <c r="J1460" s="3">
        <v>0.05</v>
      </c>
      <c r="L1460" t="s">
        <v>172</v>
      </c>
      <c r="N1460" s="3">
        <v>0.05</v>
      </c>
      <c r="O1460" s="3">
        <v>0</v>
      </c>
      <c r="P1460">
        <v>2</v>
      </c>
      <c r="Q1460">
        <v>5.5</v>
      </c>
      <c r="R1460" t="s">
        <v>102</v>
      </c>
      <c r="S1460">
        <v>0</v>
      </c>
      <c r="T1460" s="6">
        <f>10^-(14-Q1460)</f>
        <v>3.1622776601683779E-9</v>
      </c>
      <c r="U1460" s="6">
        <v>0</v>
      </c>
      <c r="V1460" s="6">
        <v>0</v>
      </c>
      <c r="W1460" s="6">
        <v>0</v>
      </c>
      <c r="X1460" s="6">
        <v>0</v>
      </c>
      <c r="Y1460" t="s">
        <v>171</v>
      </c>
      <c r="Z1460" s="5">
        <v>-190</v>
      </c>
      <c r="AD1460">
        <f>1/6</f>
        <v>0.16666666666666666</v>
      </c>
      <c r="AE1460">
        <v>1200</v>
      </c>
      <c r="AF1460">
        <v>2</v>
      </c>
      <c r="AG1460" s="12">
        <v>2.5999999999999999E-2</v>
      </c>
      <c r="AH1460" s="9">
        <v>1.6</v>
      </c>
      <c r="AI1460" s="9">
        <v>0.37</v>
      </c>
      <c r="AJ1460" s="9">
        <v>3.2000000000000001E-2</v>
      </c>
      <c r="AK1460" s="9">
        <v>0.01</v>
      </c>
      <c r="AL1460" s="9">
        <v>16.600000000000001</v>
      </c>
      <c r="AM1460" s="9">
        <v>10.199999999999999</v>
      </c>
      <c r="AN1460" s="9">
        <v>2.4</v>
      </c>
      <c r="AO1460" s="9">
        <v>2.5000000000000001E-2</v>
      </c>
    </row>
    <row r="1461" spans="1:41" x14ac:dyDescent="0.3">
      <c r="A1461" t="s">
        <v>432</v>
      </c>
      <c r="B1461" s="1" t="s">
        <v>1597</v>
      </c>
      <c r="C1461">
        <v>69</v>
      </c>
      <c r="D1461" s="8">
        <v>1.4403999999999999</v>
      </c>
      <c r="E1461">
        <v>600</v>
      </c>
      <c r="G1461" t="s">
        <v>192</v>
      </c>
      <c r="H1461">
        <v>5.5</v>
      </c>
      <c r="I1461" s="4">
        <v>-1.3</v>
      </c>
      <c r="J1461" s="3">
        <v>0.05</v>
      </c>
      <c r="L1461" t="s">
        <v>172</v>
      </c>
      <c r="N1461" s="3">
        <v>0.05</v>
      </c>
      <c r="O1461" s="3">
        <v>0</v>
      </c>
      <c r="P1461">
        <v>10</v>
      </c>
      <c r="Q1461">
        <v>5.5</v>
      </c>
      <c r="R1461" t="s">
        <v>102</v>
      </c>
      <c r="S1461">
        <v>0</v>
      </c>
      <c r="T1461" s="6">
        <f>10^-(14-Q1461)</f>
        <v>3.1622776601683779E-9</v>
      </c>
      <c r="U1461" s="6">
        <v>0</v>
      </c>
      <c r="V1461" s="6">
        <v>0</v>
      </c>
      <c r="W1461" s="6">
        <v>0</v>
      </c>
      <c r="X1461" s="6">
        <v>0</v>
      </c>
      <c r="Y1461" t="s">
        <v>171</v>
      </c>
      <c r="Z1461" s="5">
        <v>-210</v>
      </c>
      <c r="AD1461">
        <f>1/6</f>
        <v>0.16666666666666666</v>
      </c>
      <c r="AE1461" s="1">
        <v>900</v>
      </c>
      <c r="AF1461">
        <v>1</v>
      </c>
      <c r="AG1461" s="12">
        <v>2.5999999999999999E-2</v>
      </c>
      <c r="AH1461" s="9">
        <v>1.6</v>
      </c>
      <c r="AI1461" s="9">
        <v>0.37</v>
      </c>
      <c r="AJ1461" s="9">
        <v>3.2000000000000001E-2</v>
      </c>
      <c r="AK1461" s="9">
        <v>0.01</v>
      </c>
      <c r="AL1461" s="9">
        <v>16.600000000000001</v>
      </c>
      <c r="AM1461" s="9">
        <v>10.199999999999999</v>
      </c>
      <c r="AN1461" s="9">
        <v>2.4</v>
      </c>
      <c r="AO1461" s="9">
        <v>2.5000000000000001E-2</v>
      </c>
    </row>
    <row r="1462" spans="1:41" x14ac:dyDescent="0.3">
      <c r="A1462" t="s">
        <v>433</v>
      </c>
      <c r="B1462" s="1" t="s">
        <v>1597</v>
      </c>
      <c r="C1462">
        <v>69</v>
      </c>
      <c r="D1462" s="8">
        <v>1.4403999999999999</v>
      </c>
      <c r="E1462">
        <v>600</v>
      </c>
      <c r="G1462" t="s">
        <v>192</v>
      </c>
      <c r="H1462">
        <v>5.5</v>
      </c>
      <c r="I1462" s="4">
        <v>-1.3</v>
      </c>
      <c r="J1462" s="3">
        <v>0.05</v>
      </c>
      <c r="L1462" t="s">
        <v>172</v>
      </c>
      <c r="N1462" s="3">
        <v>0.05</v>
      </c>
      <c r="O1462" s="3">
        <v>0</v>
      </c>
      <c r="P1462">
        <v>20</v>
      </c>
      <c r="Q1462">
        <v>5.5</v>
      </c>
      <c r="R1462" t="s">
        <v>102</v>
      </c>
      <c r="S1462">
        <v>0</v>
      </c>
      <c r="T1462" s="6">
        <f>10^-(14-Q1462)</f>
        <v>3.1622776601683779E-9</v>
      </c>
      <c r="U1462" s="6">
        <v>0</v>
      </c>
      <c r="V1462" s="6">
        <v>0</v>
      </c>
      <c r="W1462" s="6">
        <v>0</v>
      </c>
      <c r="X1462" s="6">
        <v>0</v>
      </c>
      <c r="Y1462" t="s">
        <v>171</v>
      </c>
      <c r="Z1462" s="5">
        <v>-220</v>
      </c>
      <c r="AD1462">
        <f>1/6</f>
        <v>0.16666666666666666</v>
      </c>
      <c r="AE1462" s="1">
        <v>750</v>
      </c>
      <c r="AF1462">
        <v>1</v>
      </c>
      <c r="AG1462" s="12">
        <v>2.5999999999999999E-2</v>
      </c>
      <c r="AH1462" s="9">
        <v>1.6</v>
      </c>
      <c r="AI1462" s="9">
        <v>0.37</v>
      </c>
      <c r="AJ1462" s="9">
        <v>3.2000000000000001E-2</v>
      </c>
      <c r="AK1462" s="9">
        <v>0.01</v>
      </c>
      <c r="AL1462" s="9">
        <v>16.600000000000001</v>
      </c>
      <c r="AM1462" s="9">
        <v>10.199999999999999</v>
      </c>
      <c r="AN1462" s="9">
        <v>2.4</v>
      </c>
      <c r="AO1462" s="9">
        <v>2.5000000000000001E-2</v>
      </c>
    </row>
    <row r="1463" spans="1:41" x14ac:dyDescent="0.3">
      <c r="A1463" t="s">
        <v>434</v>
      </c>
      <c r="B1463" s="1" t="s">
        <v>1597</v>
      </c>
      <c r="C1463">
        <v>69</v>
      </c>
      <c r="D1463" s="8">
        <v>1.4403999999999999</v>
      </c>
      <c r="E1463">
        <v>600</v>
      </c>
      <c r="G1463" t="s">
        <v>192</v>
      </c>
      <c r="H1463">
        <v>5.5</v>
      </c>
      <c r="I1463" s="4">
        <v>-1.3</v>
      </c>
      <c r="J1463" s="3">
        <v>0.05</v>
      </c>
      <c r="L1463" t="s">
        <v>172</v>
      </c>
      <c r="N1463" s="3">
        <v>0.05</v>
      </c>
      <c r="O1463" s="3">
        <v>0</v>
      </c>
      <c r="P1463">
        <v>75</v>
      </c>
      <c r="Q1463">
        <v>5.5</v>
      </c>
      <c r="R1463" t="s">
        <v>102</v>
      </c>
      <c r="S1463">
        <v>0</v>
      </c>
      <c r="T1463" s="6">
        <f>10^-(14-Q1463)</f>
        <v>3.1622776601683779E-9</v>
      </c>
      <c r="U1463" s="6">
        <v>0</v>
      </c>
      <c r="V1463" s="6">
        <v>0</v>
      </c>
      <c r="W1463" s="6">
        <v>0</v>
      </c>
      <c r="X1463" s="6">
        <v>0</v>
      </c>
      <c r="Y1463" t="s">
        <v>171</v>
      </c>
      <c r="Z1463" s="5">
        <v>-190</v>
      </c>
      <c r="AD1463">
        <f>1/6</f>
        <v>0.16666666666666666</v>
      </c>
      <c r="AE1463">
        <v>400</v>
      </c>
      <c r="AF1463">
        <v>1</v>
      </c>
      <c r="AG1463" s="12">
        <v>2.5999999999999999E-2</v>
      </c>
      <c r="AH1463" s="9">
        <v>1.6</v>
      </c>
      <c r="AI1463" s="9">
        <v>0.37</v>
      </c>
      <c r="AJ1463" s="9">
        <v>3.2000000000000001E-2</v>
      </c>
      <c r="AK1463" s="9">
        <v>0.01</v>
      </c>
      <c r="AL1463" s="9">
        <v>16.600000000000001</v>
      </c>
      <c r="AM1463" s="9">
        <v>10.199999999999999</v>
      </c>
      <c r="AN1463" s="9">
        <v>2.4</v>
      </c>
      <c r="AO1463" s="9">
        <v>2.5000000000000001E-2</v>
      </c>
    </row>
    <row r="1464" spans="1:41" x14ac:dyDescent="0.3">
      <c r="A1464" t="s">
        <v>1321</v>
      </c>
      <c r="B1464" s="8" t="s">
        <v>1584</v>
      </c>
      <c r="C1464">
        <v>70</v>
      </c>
      <c r="D1464" s="8">
        <v>1.4432</v>
      </c>
      <c r="E1464">
        <v>320</v>
      </c>
      <c r="G1464" t="s">
        <v>29</v>
      </c>
      <c r="H1464" t="s">
        <v>987</v>
      </c>
      <c r="J1464" s="3">
        <v>24</v>
      </c>
      <c r="K1464" s="4">
        <v>0.16666666666666666</v>
      </c>
      <c r="L1464" t="s">
        <v>172</v>
      </c>
      <c r="M1464" t="s">
        <v>171</v>
      </c>
      <c r="N1464" s="3">
        <v>2.8208744710860363</v>
      </c>
      <c r="O1464" s="3">
        <v>0</v>
      </c>
      <c r="P1464">
        <v>90</v>
      </c>
      <c r="Q1464">
        <v>6.5</v>
      </c>
      <c r="R1464" t="s">
        <v>102</v>
      </c>
      <c r="S1464">
        <v>0</v>
      </c>
      <c r="T1464" s="6">
        <f>10^-(14-Q1464)</f>
        <v>3.1622776601683699E-8</v>
      </c>
      <c r="U1464" s="6">
        <v>0</v>
      </c>
      <c r="V1464" s="6">
        <v>0</v>
      </c>
      <c r="W1464" s="6">
        <v>0</v>
      </c>
      <c r="X1464" s="6">
        <v>0</v>
      </c>
      <c r="Y1464" t="s">
        <v>171</v>
      </c>
      <c r="AD1464">
        <v>0.33333333333333331</v>
      </c>
      <c r="AE1464">
        <v>120</v>
      </c>
      <c r="AF1464">
        <v>1</v>
      </c>
      <c r="AL1464" s="9">
        <v>16.899999999999999</v>
      </c>
      <c r="AM1464" s="9">
        <v>10.7</v>
      </c>
      <c r="AN1464" s="9">
        <v>2.6</v>
      </c>
    </row>
    <row r="1465" spans="1:41" x14ac:dyDescent="0.3">
      <c r="A1465" t="s">
        <v>1322</v>
      </c>
      <c r="B1465" s="8" t="s">
        <v>1584</v>
      </c>
      <c r="C1465">
        <v>70</v>
      </c>
      <c r="D1465" s="8">
        <v>1.4432</v>
      </c>
      <c r="E1465">
        <v>320</v>
      </c>
      <c r="G1465" t="s">
        <v>29</v>
      </c>
      <c r="H1465" t="s">
        <v>987</v>
      </c>
      <c r="J1465" s="3">
        <v>24</v>
      </c>
      <c r="K1465" s="4">
        <v>0.16666666666666666</v>
      </c>
      <c r="L1465" t="s">
        <v>172</v>
      </c>
      <c r="M1465" t="s">
        <v>171</v>
      </c>
      <c r="N1465" s="3">
        <v>2.8208744710860363</v>
      </c>
      <c r="O1465" s="3">
        <v>0</v>
      </c>
      <c r="P1465">
        <v>90</v>
      </c>
      <c r="Q1465">
        <v>6.5</v>
      </c>
      <c r="R1465" t="s">
        <v>102</v>
      </c>
      <c r="S1465">
        <v>0</v>
      </c>
      <c r="T1465" s="6">
        <f>10^-(14-Q1465)</f>
        <v>3.1622776601683699E-8</v>
      </c>
      <c r="U1465" s="6">
        <v>0</v>
      </c>
      <c r="V1465" s="6">
        <v>0</v>
      </c>
      <c r="W1465" s="6">
        <v>0</v>
      </c>
      <c r="X1465" s="6">
        <v>0</v>
      </c>
      <c r="Y1465" t="s">
        <v>171</v>
      </c>
      <c r="AD1465">
        <v>0.33333333333333331</v>
      </c>
      <c r="AE1465">
        <v>100</v>
      </c>
      <c r="AF1465">
        <v>1</v>
      </c>
      <c r="AL1465" s="9">
        <v>16.899999999999999</v>
      </c>
      <c r="AM1465" s="9">
        <v>10.7</v>
      </c>
      <c r="AN1465" s="9">
        <v>2.6</v>
      </c>
    </row>
    <row r="1466" spans="1:41" x14ac:dyDescent="0.3">
      <c r="A1466" t="s">
        <v>1323</v>
      </c>
      <c r="B1466" s="8" t="s">
        <v>1584</v>
      </c>
      <c r="C1466">
        <v>70</v>
      </c>
      <c r="D1466" s="8">
        <v>1.4432</v>
      </c>
      <c r="E1466">
        <v>320</v>
      </c>
      <c r="G1466" t="s">
        <v>29</v>
      </c>
      <c r="H1466" t="s">
        <v>987</v>
      </c>
      <c r="J1466" s="3">
        <v>24</v>
      </c>
      <c r="K1466" s="4">
        <v>0.16666666666666666</v>
      </c>
      <c r="L1466" t="s">
        <v>172</v>
      </c>
      <c r="M1466" t="s">
        <v>171</v>
      </c>
      <c r="N1466" s="3">
        <v>2.8208744710860363</v>
      </c>
      <c r="O1466" s="3">
        <v>0</v>
      </c>
      <c r="P1466">
        <v>90</v>
      </c>
      <c r="Q1466">
        <v>6.5</v>
      </c>
      <c r="R1466" t="s">
        <v>102</v>
      </c>
      <c r="S1466">
        <v>0</v>
      </c>
      <c r="T1466" s="6">
        <f>10^-(14-Q1466)</f>
        <v>3.1622776601683699E-8</v>
      </c>
      <c r="U1466" s="6">
        <v>0</v>
      </c>
      <c r="V1466" s="6">
        <v>0</v>
      </c>
      <c r="W1466" s="6">
        <v>0</v>
      </c>
      <c r="X1466" s="6">
        <v>0</v>
      </c>
      <c r="Y1466" t="s">
        <v>171</v>
      </c>
      <c r="AD1466">
        <v>0.33333333333333331</v>
      </c>
      <c r="AE1466">
        <v>80</v>
      </c>
      <c r="AF1466">
        <v>1</v>
      </c>
      <c r="AL1466" s="9">
        <v>16.899999999999999</v>
      </c>
      <c r="AM1466" s="9">
        <v>10.7</v>
      </c>
      <c r="AN1466" s="9">
        <v>2.6</v>
      </c>
    </row>
    <row r="1467" spans="1:41" x14ac:dyDescent="0.3">
      <c r="A1467" t="s">
        <v>1324</v>
      </c>
      <c r="B1467" s="8" t="s">
        <v>1584</v>
      </c>
      <c r="C1467">
        <v>70</v>
      </c>
      <c r="D1467" s="8">
        <v>1.4432</v>
      </c>
      <c r="E1467">
        <v>320</v>
      </c>
      <c r="G1467" t="s">
        <v>29</v>
      </c>
      <c r="H1467" t="s">
        <v>987</v>
      </c>
      <c r="J1467" s="3">
        <v>24</v>
      </c>
      <c r="K1467" s="4">
        <v>0.16666666666666666</v>
      </c>
      <c r="L1467" t="s">
        <v>139</v>
      </c>
      <c r="M1467" t="s">
        <v>171</v>
      </c>
      <c r="N1467" s="3">
        <v>2.8208744710860363</v>
      </c>
      <c r="O1467" s="3">
        <v>0</v>
      </c>
      <c r="P1467">
        <v>90</v>
      </c>
      <c r="Q1467">
        <v>6.5</v>
      </c>
      <c r="R1467" t="s">
        <v>102</v>
      </c>
      <c r="S1467">
        <v>0</v>
      </c>
      <c r="T1467" s="6">
        <f>10^-(14-Q1467)</f>
        <v>3.1622776601683699E-8</v>
      </c>
      <c r="U1467" s="6">
        <v>0</v>
      </c>
      <c r="V1467" s="6">
        <v>0</v>
      </c>
      <c r="W1467" s="6">
        <v>0</v>
      </c>
      <c r="X1467" s="6">
        <v>0</v>
      </c>
      <c r="Y1467" t="s">
        <v>171</v>
      </c>
      <c r="AD1467">
        <v>0.33333333333333331</v>
      </c>
      <c r="AE1467">
        <v>100</v>
      </c>
      <c r="AF1467">
        <v>1</v>
      </c>
      <c r="AL1467" s="9">
        <v>16.899999999999999</v>
      </c>
      <c r="AM1467" s="9">
        <v>10.7</v>
      </c>
      <c r="AN1467" s="9">
        <v>2.6</v>
      </c>
    </row>
    <row r="1468" spans="1:41" x14ac:dyDescent="0.3">
      <c r="A1468" t="s">
        <v>1325</v>
      </c>
      <c r="B1468" s="8" t="s">
        <v>1584</v>
      </c>
      <c r="C1468">
        <v>70</v>
      </c>
      <c r="D1468" s="8">
        <v>1.4432</v>
      </c>
      <c r="E1468">
        <v>320</v>
      </c>
      <c r="G1468" t="s">
        <v>29</v>
      </c>
      <c r="H1468" t="s">
        <v>987</v>
      </c>
      <c r="J1468" s="3">
        <v>24</v>
      </c>
      <c r="K1468" s="4">
        <v>0.16666666666666666</v>
      </c>
      <c r="L1468" t="s">
        <v>139</v>
      </c>
      <c r="M1468" t="s">
        <v>171</v>
      </c>
      <c r="N1468" s="3">
        <v>2.8208744710860363</v>
      </c>
      <c r="O1468" s="3">
        <v>0</v>
      </c>
      <c r="P1468">
        <v>90</v>
      </c>
      <c r="Q1468">
        <v>6.5</v>
      </c>
      <c r="R1468" t="s">
        <v>102</v>
      </c>
      <c r="S1468">
        <v>0</v>
      </c>
      <c r="T1468" s="6">
        <f>10^-(14-Q1468)</f>
        <v>3.1622776601683699E-8</v>
      </c>
      <c r="U1468" s="6">
        <v>0</v>
      </c>
      <c r="V1468" s="6">
        <v>0</v>
      </c>
      <c r="W1468" s="6">
        <v>0</v>
      </c>
      <c r="X1468" s="6">
        <v>0</v>
      </c>
      <c r="Y1468" t="s">
        <v>171</v>
      </c>
      <c r="AD1468">
        <v>0.33333333333333331</v>
      </c>
      <c r="AE1468">
        <v>80</v>
      </c>
      <c r="AF1468">
        <v>1</v>
      </c>
      <c r="AL1468" s="9">
        <v>16.899999999999999</v>
      </c>
      <c r="AM1468" s="9">
        <v>10.7</v>
      </c>
      <c r="AN1468" s="9">
        <v>2.6</v>
      </c>
    </row>
    <row r="1469" spans="1:41" x14ac:dyDescent="0.3">
      <c r="A1469" t="s">
        <v>1326</v>
      </c>
      <c r="B1469" s="8" t="s">
        <v>1584</v>
      </c>
      <c r="C1469">
        <v>70</v>
      </c>
      <c r="D1469" s="8">
        <v>1.4432</v>
      </c>
      <c r="E1469">
        <v>320</v>
      </c>
      <c r="G1469" t="s">
        <v>29</v>
      </c>
      <c r="H1469" t="s">
        <v>987</v>
      </c>
      <c r="J1469" s="3">
        <v>24</v>
      </c>
      <c r="K1469" s="4">
        <v>0.16666666666666666</v>
      </c>
      <c r="L1469" t="s">
        <v>139</v>
      </c>
      <c r="M1469" t="s">
        <v>171</v>
      </c>
      <c r="N1469" s="3">
        <v>2.8208744710860363</v>
      </c>
      <c r="O1469" s="3">
        <v>0</v>
      </c>
      <c r="P1469">
        <v>90</v>
      </c>
      <c r="Q1469">
        <v>6.5</v>
      </c>
      <c r="R1469" t="s">
        <v>102</v>
      </c>
      <c r="S1469">
        <v>0</v>
      </c>
      <c r="T1469" s="6">
        <f>10^-(14-Q1469)</f>
        <v>3.1622776601683699E-8</v>
      </c>
      <c r="U1469" s="6">
        <v>0</v>
      </c>
      <c r="V1469" s="6">
        <v>0</v>
      </c>
      <c r="W1469" s="6">
        <v>0</v>
      </c>
      <c r="X1469" s="6">
        <v>0</v>
      </c>
      <c r="Y1469" t="s">
        <v>171</v>
      </c>
      <c r="AD1469">
        <v>0.33333333333333331</v>
      </c>
      <c r="AE1469">
        <v>60</v>
      </c>
      <c r="AF1469">
        <v>1</v>
      </c>
      <c r="AL1469" s="9">
        <v>16.899999999999999</v>
      </c>
      <c r="AM1469" s="9">
        <v>10.7</v>
      </c>
      <c r="AN1469" s="9">
        <v>2.6</v>
      </c>
    </row>
    <row r="1470" spans="1:41" x14ac:dyDescent="0.3">
      <c r="A1470" t="s">
        <v>1327</v>
      </c>
      <c r="B1470" s="8" t="s">
        <v>1584</v>
      </c>
      <c r="C1470">
        <v>70</v>
      </c>
      <c r="D1470" s="8">
        <v>1.4539</v>
      </c>
      <c r="E1470">
        <v>320</v>
      </c>
      <c r="G1470" t="s">
        <v>29</v>
      </c>
      <c r="H1470" t="s">
        <v>987</v>
      </c>
      <c r="J1470" s="3">
        <v>24</v>
      </c>
      <c r="K1470" s="4">
        <v>0.16666666666666666</v>
      </c>
      <c r="L1470" t="s">
        <v>172</v>
      </c>
      <c r="M1470" t="s">
        <v>171</v>
      </c>
      <c r="N1470" s="3">
        <v>2.8208744710860363</v>
      </c>
      <c r="O1470" s="3">
        <v>0</v>
      </c>
      <c r="P1470">
        <v>90</v>
      </c>
      <c r="Q1470">
        <v>6.5</v>
      </c>
      <c r="R1470" t="s">
        <v>102</v>
      </c>
      <c r="S1470">
        <v>0</v>
      </c>
      <c r="T1470" s="6">
        <f>10^-(14-Q1470)</f>
        <v>3.1622776601683699E-8</v>
      </c>
      <c r="U1470" s="6">
        <v>0</v>
      </c>
      <c r="V1470" s="6">
        <v>0</v>
      </c>
      <c r="W1470" s="6">
        <v>0</v>
      </c>
      <c r="X1470" s="6">
        <v>0</v>
      </c>
      <c r="Y1470" t="s">
        <v>171</v>
      </c>
      <c r="AD1470">
        <v>0.33333333333333331</v>
      </c>
      <c r="AE1470">
        <v>350</v>
      </c>
      <c r="AF1470">
        <v>1</v>
      </c>
      <c r="AL1470" s="9">
        <v>20</v>
      </c>
      <c r="AM1470" s="9">
        <v>25</v>
      </c>
      <c r="AN1470" s="9">
        <v>4.3</v>
      </c>
    </row>
    <row r="1471" spans="1:41" x14ac:dyDescent="0.3">
      <c r="A1471" t="s">
        <v>1328</v>
      </c>
      <c r="B1471" s="8" t="s">
        <v>1584</v>
      </c>
      <c r="C1471">
        <v>70</v>
      </c>
      <c r="D1471" s="8">
        <v>1.4539</v>
      </c>
      <c r="E1471">
        <v>320</v>
      </c>
      <c r="G1471" t="s">
        <v>29</v>
      </c>
      <c r="H1471" t="s">
        <v>987</v>
      </c>
      <c r="J1471" s="3">
        <v>24</v>
      </c>
      <c r="K1471" s="4">
        <v>0.16666666666666666</v>
      </c>
      <c r="L1471" t="s">
        <v>172</v>
      </c>
      <c r="M1471" t="s">
        <v>171</v>
      </c>
      <c r="N1471" s="3">
        <v>2.8208744710860363</v>
      </c>
      <c r="O1471" s="3">
        <v>0</v>
      </c>
      <c r="P1471">
        <v>90</v>
      </c>
      <c r="Q1471">
        <v>6.5</v>
      </c>
      <c r="R1471" t="s">
        <v>102</v>
      </c>
      <c r="S1471">
        <v>0</v>
      </c>
      <c r="T1471" s="6">
        <f>10^-(14-Q1471)</f>
        <v>3.1622776601683699E-8</v>
      </c>
      <c r="U1471" s="6">
        <v>0</v>
      </c>
      <c r="V1471" s="6">
        <v>0</v>
      </c>
      <c r="W1471" s="6">
        <v>0</v>
      </c>
      <c r="X1471" s="6">
        <v>0</v>
      </c>
      <c r="Y1471" t="s">
        <v>171</v>
      </c>
      <c r="AD1471">
        <v>0.33333333333333331</v>
      </c>
      <c r="AE1471">
        <v>330</v>
      </c>
      <c r="AF1471">
        <v>1</v>
      </c>
      <c r="AL1471" s="9">
        <v>20</v>
      </c>
      <c r="AM1471" s="9">
        <v>25</v>
      </c>
      <c r="AN1471" s="9">
        <v>4.3</v>
      </c>
    </row>
    <row r="1472" spans="1:41" x14ac:dyDescent="0.3">
      <c r="A1472" t="s">
        <v>1329</v>
      </c>
      <c r="B1472" s="8" t="s">
        <v>1584</v>
      </c>
      <c r="C1472">
        <v>70</v>
      </c>
      <c r="D1472" s="8">
        <v>1.4539</v>
      </c>
      <c r="E1472">
        <v>320</v>
      </c>
      <c r="G1472" t="s">
        <v>29</v>
      </c>
      <c r="H1472" t="s">
        <v>987</v>
      </c>
      <c r="J1472" s="3">
        <v>24</v>
      </c>
      <c r="K1472" s="4">
        <v>0.16666666666666666</v>
      </c>
      <c r="L1472" t="s">
        <v>172</v>
      </c>
      <c r="M1472" t="s">
        <v>171</v>
      </c>
      <c r="N1472" s="3">
        <v>2.8208744710860363</v>
      </c>
      <c r="O1472" s="3">
        <v>0</v>
      </c>
      <c r="P1472">
        <v>90</v>
      </c>
      <c r="Q1472">
        <v>6.5</v>
      </c>
      <c r="R1472" t="s">
        <v>102</v>
      </c>
      <c r="S1472">
        <v>0</v>
      </c>
      <c r="T1472" s="6">
        <f>10^-(14-Q1472)</f>
        <v>3.1622776601683699E-8</v>
      </c>
      <c r="U1472" s="6">
        <v>0</v>
      </c>
      <c r="V1472" s="6">
        <v>0</v>
      </c>
      <c r="W1472" s="6">
        <v>0</v>
      </c>
      <c r="X1472" s="6">
        <v>0</v>
      </c>
      <c r="Y1472" t="s">
        <v>171</v>
      </c>
      <c r="AD1472">
        <v>0.33333333333333331</v>
      </c>
      <c r="AE1472">
        <v>310</v>
      </c>
      <c r="AF1472">
        <v>1</v>
      </c>
      <c r="AL1472" s="9">
        <v>20</v>
      </c>
      <c r="AM1472" s="9">
        <v>25</v>
      </c>
      <c r="AN1472" s="9">
        <v>4.3</v>
      </c>
    </row>
    <row r="1473" spans="1:41" x14ac:dyDescent="0.3">
      <c r="A1473" t="s">
        <v>1330</v>
      </c>
      <c r="B1473" s="8" t="s">
        <v>1584</v>
      </c>
      <c r="C1473">
        <v>70</v>
      </c>
      <c r="D1473" s="8">
        <v>1.4539</v>
      </c>
      <c r="E1473">
        <v>320</v>
      </c>
      <c r="G1473" t="s">
        <v>29</v>
      </c>
      <c r="H1473" t="s">
        <v>987</v>
      </c>
      <c r="J1473" s="3">
        <v>24</v>
      </c>
      <c r="K1473" s="4">
        <v>0.16666666666666666</v>
      </c>
      <c r="L1473" t="s">
        <v>139</v>
      </c>
      <c r="M1473" t="s">
        <v>171</v>
      </c>
      <c r="N1473" s="3">
        <v>2.8208744710860363</v>
      </c>
      <c r="O1473" s="3">
        <v>0</v>
      </c>
      <c r="P1473">
        <v>90</v>
      </c>
      <c r="Q1473">
        <v>6.5</v>
      </c>
      <c r="R1473" t="s">
        <v>102</v>
      </c>
      <c r="S1473">
        <v>0</v>
      </c>
      <c r="T1473" s="6">
        <f>10^-(14-Q1473)</f>
        <v>3.1622776601683699E-8</v>
      </c>
      <c r="U1473" s="6">
        <v>0</v>
      </c>
      <c r="V1473" s="6">
        <v>0</v>
      </c>
      <c r="W1473" s="6">
        <v>0</v>
      </c>
      <c r="X1473" s="6">
        <v>0</v>
      </c>
      <c r="Y1473" t="s">
        <v>171</v>
      </c>
      <c r="AD1473">
        <v>0.33333333333333331</v>
      </c>
      <c r="AE1473">
        <v>150</v>
      </c>
      <c r="AF1473">
        <v>1</v>
      </c>
      <c r="AL1473" s="9">
        <v>20</v>
      </c>
      <c r="AM1473" s="9">
        <v>25</v>
      </c>
      <c r="AN1473" s="9">
        <v>4.3</v>
      </c>
    </row>
    <row r="1474" spans="1:41" x14ac:dyDescent="0.3">
      <c r="A1474" t="s">
        <v>1331</v>
      </c>
      <c r="B1474" s="8" t="s">
        <v>1584</v>
      </c>
      <c r="C1474">
        <v>70</v>
      </c>
      <c r="D1474" s="8">
        <v>1.4539</v>
      </c>
      <c r="E1474">
        <v>320</v>
      </c>
      <c r="G1474" t="s">
        <v>29</v>
      </c>
      <c r="H1474" t="s">
        <v>987</v>
      </c>
      <c r="J1474" s="3">
        <v>24</v>
      </c>
      <c r="K1474" s="4">
        <v>0.16666666666666666</v>
      </c>
      <c r="L1474" t="s">
        <v>139</v>
      </c>
      <c r="M1474" t="s">
        <v>171</v>
      </c>
      <c r="N1474" s="3">
        <v>2.8208744710860363</v>
      </c>
      <c r="O1474" s="3">
        <v>0</v>
      </c>
      <c r="P1474">
        <v>90</v>
      </c>
      <c r="Q1474">
        <v>6.5</v>
      </c>
      <c r="R1474" t="s">
        <v>102</v>
      </c>
      <c r="S1474">
        <v>0</v>
      </c>
      <c r="T1474" s="6">
        <f>10^-(14-Q1474)</f>
        <v>3.1622776601683699E-8</v>
      </c>
      <c r="U1474" s="6">
        <v>0</v>
      </c>
      <c r="V1474" s="6">
        <v>0</v>
      </c>
      <c r="W1474" s="6">
        <v>0</v>
      </c>
      <c r="X1474" s="6">
        <v>0</v>
      </c>
      <c r="Y1474" t="s">
        <v>171</v>
      </c>
      <c r="AD1474">
        <v>0.33333333333333331</v>
      </c>
      <c r="AE1474">
        <v>175</v>
      </c>
      <c r="AF1474">
        <v>1</v>
      </c>
      <c r="AL1474" s="9">
        <v>20</v>
      </c>
      <c r="AM1474" s="9">
        <v>25</v>
      </c>
      <c r="AN1474" s="9">
        <v>4.3</v>
      </c>
    </row>
    <row r="1475" spans="1:41" x14ac:dyDescent="0.3">
      <c r="A1475" t="s">
        <v>1331</v>
      </c>
      <c r="B1475" s="8" t="s">
        <v>1584</v>
      </c>
      <c r="C1475">
        <v>70</v>
      </c>
      <c r="D1475" s="8">
        <v>1.4539</v>
      </c>
      <c r="E1475">
        <v>320</v>
      </c>
      <c r="G1475" t="s">
        <v>29</v>
      </c>
      <c r="H1475" t="s">
        <v>987</v>
      </c>
      <c r="J1475" s="3">
        <v>24</v>
      </c>
      <c r="K1475" s="4">
        <v>0.16666666666666666</v>
      </c>
      <c r="L1475" t="s">
        <v>139</v>
      </c>
      <c r="M1475" t="s">
        <v>171</v>
      </c>
      <c r="N1475" s="3">
        <v>2.8208744710860363</v>
      </c>
      <c r="O1475" s="3">
        <v>0</v>
      </c>
      <c r="P1475">
        <v>90</v>
      </c>
      <c r="Q1475">
        <v>6.5</v>
      </c>
      <c r="R1475" t="s">
        <v>102</v>
      </c>
      <c r="S1475">
        <v>0</v>
      </c>
      <c r="T1475" s="6">
        <f>10^-(14-Q1475)</f>
        <v>3.1622776601683699E-8</v>
      </c>
      <c r="U1475" s="6">
        <v>0</v>
      </c>
      <c r="V1475" s="6">
        <v>0</v>
      </c>
      <c r="W1475" s="6">
        <v>0</v>
      </c>
      <c r="X1475" s="6">
        <v>0</v>
      </c>
      <c r="Y1475" t="s">
        <v>171</v>
      </c>
      <c r="AD1475">
        <v>0.33333333333333331</v>
      </c>
      <c r="AE1475">
        <v>200</v>
      </c>
      <c r="AF1475">
        <v>1</v>
      </c>
      <c r="AL1475" s="9">
        <v>20</v>
      </c>
      <c r="AM1475" s="9">
        <v>25</v>
      </c>
      <c r="AN1475" s="9">
        <v>4.3</v>
      </c>
    </row>
    <row r="1476" spans="1:41" x14ac:dyDescent="0.3">
      <c r="A1476" t="s">
        <v>1345</v>
      </c>
      <c r="B1476" s="8" t="s">
        <v>1584</v>
      </c>
      <c r="C1476">
        <v>70</v>
      </c>
      <c r="D1476" s="8" t="s">
        <v>1346</v>
      </c>
      <c r="E1476">
        <v>320</v>
      </c>
      <c r="G1476" t="s">
        <v>29</v>
      </c>
      <c r="H1476" t="s">
        <v>987</v>
      </c>
      <c r="J1476" s="3">
        <v>24</v>
      </c>
      <c r="K1476" s="4">
        <v>0.16666666666666666</v>
      </c>
      <c r="L1476" t="s">
        <v>172</v>
      </c>
      <c r="M1476" t="s">
        <v>171</v>
      </c>
      <c r="N1476" s="3">
        <v>2.8208744710860363</v>
      </c>
      <c r="O1476" s="3">
        <v>0</v>
      </c>
      <c r="P1476">
        <v>90</v>
      </c>
      <c r="Q1476">
        <v>6.5</v>
      </c>
      <c r="R1476" t="s">
        <v>102</v>
      </c>
      <c r="S1476">
        <v>0</v>
      </c>
      <c r="T1476" s="6">
        <f>10^-(14-Q1476)</f>
        <v>3.1622776601683699E-8</v>
      </c>
      <c r="U1476" s="6">
        <v>0</v>
      </c>
      <c r="V1476" s="6">
        <v>0</v>
      </c>
      <c r="W1476" s="6">
        <v>0</v>
      </c>
      <c r="X1476" s="6">
        <v>0</v>
      </c>
      <c r="Y1476" t="s">
        <v>171</v>
      </c>
      <c r="AD1476">
        <v>0.33333333333333331</v>
      </c>
      <c r="AE1476">
        <v>1040</v>
      </c>
      <c r="AF1476">
        <v>1</v>
      </c>
      <c r="AL1476" s="9">
        <v>20</v>
      </c>
      <c r="AM1476" s="9">
        <v>18</v>
      </c>
      <c r="AN1476" s="9">
        <v>6.1</v>
      </c>
      <c r="AO1476" s="9">
        <v>0.2</v>
      </c>
    </row>
    <row r="1477" spans="1:41" x14ac:dyDescent="0.3">
      <c r="A1477" t="s">
        <v>1347</v>
      </c>
      <c r="B1477" s="8" t="s">
        <v>1584</v>
      </c>
      <c r="C1477">
        <v>70</v>
      </c>
      <c r="D1477" s="8" t="s">
        <v>1346</v>
      </c>
      <c r="E1477">
        <v>320</v>
      </c>
      <c r="G1477" t="s">
        <v>29</v>
      </c>
      <c r="H1477" t="s">
        <v>987</v>
      </c>
      <c r="J1477" s="3">
        <v>24</v>
      </c>
      <c r="K1477" s="4">
        <v>0.16666666666666666</v>
      </c>
      <c r="L1477" t="s">
        <v>172</v>
      </c>
      <c r="M1477" t="s">
        <v>171</v>
      </c>
      <c r="N1477" s="3">
        <v>2.8208744710860363</v>
      </c>
      <c r="O1477" s="3">
        <v>0</v>
      </c>
      <c r="P1477">
        <v>90</v>
      </c>
      <c r="Q1477">
        <v>6.5</v>
      </c>
      <c r="R1477" t="s">
        <v>102</v>
      </c>
      <c r="S1477">
        <v>0</v>
      </c>
      <c r="T1477" s="6">
        <f>10^-(14-Q1477)</f>
        <v>3.1622776601683699E-8</v>
      </c>
      <c r="U1477" s="6">
        <v>0</v>
      </c>
      <c r="V1477" s="6">
        <v>0</v>
      </c>
      <c r="W1477" s="6">
        <v>0</v>
      </c>
      <c r="X1477" s="6">
        <v>0</v>
      </c>
      <c r="Y1477" t="s">
        <v>171</v>
      </c>
      <c r="AD1477">
        <v>0.33333333333333331</v>
      </c>
      <c r="AE1477">
        <v>1050</v>
      </c>
      <c r="AF1477">
        <v>1</v>
      </c>
      <c r="AL1477" s="9">
        <v>20</v>
      </c>
      <c r="AM1477" s="9">
        <v>18</v>
      </c>
      <c r="AN1477" s="9">
        <v>6.1</v>
      </c>
      <c r="AO1477" s="9">
        <v>0.2</v>
      </c>
    </row>
    <row r="1478" spans="1:41" x14ac:dyDescent="0.3">
      <c r="A1478" t="s">
        <v>1348</v>
      </c>
      <c r="B1478" s="8" t="s">
        <v>1584</v>
      </c>
      <c r="C1478">
        <v>70</v>
      </c>
      <c r="D1478" s="8" t="s">
        <v>1346</v>
      </c>
      <c r="E1478">
        <v>320</v>
      </c>
      <c r="G1478" t="s">
        <v>29</v>
      </c>
      <c r="H1478" t="s">
        <v>987</v>
      </c>
      <c r="J1478" s="3">
        <v>24</v>
      </c>
      <c r="K1478" s="4">
        <v>0.16666666666666666</v>
      </c>
      <c r="L1478" t="s">
        <v>172</v>
      </c>
      <c r="M1478" t="s">
        <v>171</v>
      </c>
      <c r="N1478" s="3">
        <v>2.8208744710860363</v>
      </c>
      <c r="O1478" s="3">
        <v>0</v>
      </c>
      <c r="P1478">
        <v>90</v>
      </c>
      <c r="Q1478">
        <v>6.5</v>
      </c>
      <c r="R1478" t="s">
        <v>102</v>
      </c>
      <c r="S1478">
        <v>0</v>
      </c>
      <c r="T1478" s="6">
        <f>10^-(14-Q1478)</f>
        <v>3.1622776601683699E-8</v>
      </c>
      <c r="U1478" s="6">
        <v>0</v>
      </c>
      <c r="V1478" s="6">
        <v>0</v>
      </c>
      <c r="W1478" s="6">
        <v>0</v>
      </c>
      <c r="X1478" s="6">
        <v>0</v>
      </c>
      <c r="Y1478" t="s">
        <v>171</v>
      </c>
      <c r="AD1478">
        <v>0.33333333333333331</v>
      </c>
      <c r="AE1478">
        <v>1060</v>
      </c>
      <c r="AF1478">
        <v>1</v>
      </c>
      <c r="AL1478" s="9">
        <v>20</v>
      </c>
      <c r="AM1478" s="9">
        <v>18</v>
      </c>
      <c r="AN1478" s="9">
        <v>6.1</v>
      </c>
      <c r="AO1478" s="9">
        <v>0.2</v>
      </c>
    </row>
    <row r="1479" spans="1:41" x14ac:dyDescent="0.3">
      <c r="A1479" t="s">
        <v>1349</v>
      </c>
      <c r="B1479" s="8" t="s">
        <v>1584</v>
      </c>
      <c r="C1479">
        <v>70</v>
      </c>
      <c r="D1479" s="8" t="s">
        <v>1346</v>
      </c>
      <c r="E1479">
        <v>320</v>
      </c>
      <c r="G1479" t="s">
        <v>29</v>
      </c>
      <c r="H1479" t="s">
        <v>987</v>
      </c>
      <c r="J1479" s="3">
        <v>24</v>
      </c>
      <c r="K1479" s="4">
        <v>0.16666666666666666</v>
      </c>
      <c r="L1479" t="s">
        <v>139</v>
      </c>
      <c r="M1479" t="s">
        <v>171</v>
      </c>
      <c r="N1479" s="3">
        <v>2.8208744710860363</v>
      </c>
      <c r="O1479" s="3">
        <v>0</v>
      </c>
      <c r="P1479">
        <v>90</v>
      </c>
      <c r="Q1479">
        <v>6.5</v>
      </c>
      <c r="R1479" t="s">
        <v>102</v>
      </c>
      <c r="S1479">
        <v>0</v>
      </c>
      <c r="T1479" s="6">
        <f>10^-(14-Q1479)</f>
        <v>3.1622776601683699E-8</v>
      </c>
      <c r="U1479" s="6">
        <v>0</v>
      </c>
      <c r="V1479" s="6">
        <v>0</v>
      </c>
      <c r="W1479" s="6">
        <v>0</v>
      </c>
      <c r="X1479" s="6">
        <v>0</v>
      </c>
      <c r="Y1479" t="s">
        <v>171</v>
      </c>
      <c r="AD1479">
        <v>0.33333333333333331</v>
      </c>
      <c r="AE1479">
        <v>1050</v>
      </c>
      <c r="AF1479">
        <v>1</v>
      </c>
      <c r="AL1479" s="9">
        <v>20</v>
      </c>
      <c r="AM1479" s="9">
        <v>18</v>
      </c>
      <c r="AN1479" s="9">
        <v>6.1</v>
      </c>
      <c r="AO1479" s="9">
        <v>0.2</v>
      </c>
    </row>
    <row r="1480" spans="1:41" x14ac:dyDescent="0.3">
      <c r="A1480" t="s">
        <v>1350</v>
      </c>
      <c r="B1480" s="8" t="s">
        <v>1584</v>
      </c>
      <c r="C1480">
        <v>70</v>
      </c>
      <c r="D1480" s="8" t="s">
        <v>1346</v>
      </c>
      <c r="E1480">
        <v>320</v>
      </c>
      <c r="G1480" t="s">
        <v>29</v>
      </c>
      <c r="H1480" t="s">
        <v>987</v>
      </c>
      <c r="J1480" s="3">
        <v>24</v>
      </c>
      <c r="K1480" s="4">
        <v>0.16666666666666666</v>
      </c>
      <c r="L1480" t="s">
        <v>139</v>
      </c>
      <c r="M1480" t="s">
        <v>171</v>
      </c>
      <c r="N1480" s="3">
        <v>2.8208744710860363</v>
      </c>
      <c r="O1480" s="3">
        <v>0</v>
      </c>
      <c r="P1480">
        <v>90</v>
      </c>
      <c r="Q1480">
        <v>6.5</v>
      </c>
      <c r="R1480" t="s">
        <v>102</v>
      </c>
      <c r="S1480">
        <v>0</v>
      </c>
      <c r="T1480" s="6">
        <f>10^-(14-Q1480)</f>
        <v>3.1622776601683699E-8</v>
      </c>
      <c r="U1480" s="6">
        <v>0</v>
      </c>
      <c r="V1480" s="6">
        <v>0</v>
      </c>
      <c r="W1480" s="6">
        <v>0</v>
      </c>
      <c r="X1480" s="6">
        <v>0</v>
      </c>
      <c r="Y1480" t="s">
        <v>171</v>
      </c>
      <c r="AD1480">
        <v>0.33333333333333331</v>
      </c>
      <c r="AE1480">
        <v>1025</v>
      </c>
      <c r="AF1480">
        <v>1</v>
      </c>
      <c r="AL1480" s="9">
        <v>20</v>
      </c>
      <c r="AM1480" s="9">
        <v>18</v>
      </c>
      <c r="AN1480" s="9">
        <v>6.1</v>
      </c>
      <c r="AO1480" s="9">
        <v>0.2</v>
      </c>
    </row>
    <row r="1481" spans="1:41" x14ac:dyDescent="0.3">
      <c r="A1481" t="s">
        <v>1351</v>
      </c>
      <c r="B1481" s="8" t="s">
        <v>1584</v>
      </c>
      <c r="C1481">
        <v>70</v>
      </c>
      <c r="D1481" s="8" t="s">
        <v>1346</v>
      </c>
      <c r="E1481">
        <v>320</v>
      </c>
      <c r="G1481" t="s">
        <v>29</v>
      </c>
      <c r="H1481" t="s">
        <v>987</v>
      </c>
      <c r="J1481" s="3">
        <v>24</v>
      </c>
      <c r="K1481" s="4">
        <v>0.16666666666666666</v>
      </c>
      <c r="L1481" t="s">
        <v>139</v>
      </c>
      <c r="M1481" t="s">
        <v>171</v>
      </c>
      <c r="N1481" s="3">
        <v>2.8208744710860363</v>
      </c>
      <c r="O1481" s="3">
        <v>0</v>
      </c>
      <c r="P1481">
        <v>90</v>
      </c>
      <c r="Q1481">
        <v>6.5</v>
      </c>
      <c r="R1481" t="s">
        <v>102</v>
      </c>
      <c r="S1481">
        <v>0</v>
      </c>
      <c r="T1481" s="6">
        <f>10^-(14-Q1481)</f>
        <v>3.1622776601683699E-8</v>
      </c>
      <c r="U1481" s="6">
        <v>0</v>
      </c>
      <c r="V1481" s="6">
        <v>0</v>
      </c>
      <c r="W1481" s="6">
        <v>0</v>
      </c>
      <c r="X1481" s="6">
        <v>0</v>
      </c>
      <c r="Y1481" t="s">
        <v>171</v>
      </c>
      <c r="AD1481">
        <v>0.33333333333333331</v>
      </c>
      <c r="AE1481">
        <v>1000</v>
      </c>
      <c r="AF1481">
        <v>1</v>
      </c>
      <c r="AL1481" s="9">
        <v>20</v>
      </c>
      <c r="AM1481" s="9">
        <v>18</v>
      </c>
      <c r="AN1481" s="9">
        <v>6.1</v>
      </c>
      <c r="AO1481" s="9">
        <v>0.2</v>
      </c>
    </row>
    <row r="1482" spans="1:41" x14ac:dyDescent="0.3">
      <c r="A1482" t="s">
        <v>1332</v>
      </c>
      <c r="B1482" s="8" t="s">
        <v>1584</v>
      </c>
      <c r="C1482">
        <v>70</v>
      </c>
      <c r="D1482" s="8">
        <v>1.4461999999999999</v>
      </c>
      <c r="E1482">
        <v>320</v>
      </c>
      <c r="G1482" t="s">
        <v>29</v>
      </c>
      <c r="H1482" t="s">
        <v>987</v>
      </c>
      <c r="J1482" s="3">
        <v>24</v>
      </c>
      <c r="K1482" s="4">
        <v>0.16666666666666666</v>
      </c>
      <c r="L1482" t="s">
        <v>172</v>
      </c>
      <c r="M1482" t="s">
        <v>171</v>
      </c>
      <c r="N1482" s="3">
        <v>2.8208744710860363</v>
      </c>
      <c r="O1482" s="3">
        <v>0</v>
      </c>
      <c r="P1482">
        <v>90</v>
      </c>
      <c r="Q1482">
        <v>6.5</v>
      </c>
      <c r="R1482" t="s">
        <v>102</v>
      </c>
      <c r="S1482">
        <v>0</v>
      </c>
      <c r="T1482" s="6">
        <f>10^-(14-Q1482)</f>
        <v>3.1622776601683699E-8</v>
      </c>
      <c r="U1482" s="6">
        <v>0</v>
      </c>
      <c r="V1482" s="6">
        <v>0</v>
      </c>
      <c r="W1482" s="6">
        <v>0</v>
      </c>
      <c r="X1482" s="6">
        <v>0</v>
      </c>
      <c r="Y1482" t="s">
        <v>171</v>
      </c>
      <c r="AD1482">
        <v>0.33333333333333331</v>
      </c>
      <c r="AE1482">
        <v>310</v>
      </c>
      <c r="AF1482">
        <v>1</v>
      </c>
      <c r="AL1482" s="9">
        <v>22</v>
      </c>
      <c r="AM1482" s="9">
        <v>5.7</v>
      </c>
      <c r="AN1482" s="9">
        <v>3.1</v>
      </c>
      <c r="AO1482" s="9">
        <v>0.17</v>
      </c>
    </row>
    <row r="1483" spans="1:41" x14ac:dyDescent="0.3">
      <c r="A1483" t="s">
        <v>1333</v>
      </c>
      <c r="B1483" s="8" t="s">
        <v>1584</v>
      </c>
      <c r="C1483">
        <v>70</v>
      </c>
      <c r="D1483" s="8">
        <v>1.4461999999999999</v>
      </c>
      <c r="E1483">
        <v>320</v>
      </c>
      <c r="G1483" t="s">
        <v>29</v>
      </c>
      <c r="H1483" t="s">
        <v>987</v>
      </c>
      <c r="J1483" s="3">
        <v>24</v>
      </c>
      <c r="K1483" s="4">
        <v>0.16666666666666666</v>
      </c>
      <c r="L1483" t="s">
        <v>172</v>
      </c>
      <c r="M1483" t="s">
        <v>171</v>
      </c>
      <c r="N1483" s="3">
        <v>2.8208744710860363</v>
      </c>
      <c r="O1483" s="3">
        <v>0</v>
      </c>
      <c r="P1483">
        <v>90</v>
      </c>
      <c r="Q1483">
        <v>6.5</v>
      </c>
      <c r="R1483" t="s">
        <v>102</v>
      </c>
      <c r="S1483">
        <v>0</v>
      </c>
      <c r="T1483" s="6">
        <f>10^-(14-Q1483)</f>
        <v>3.1622776601683699E-8</v>
      </c>
      <c r="U1483" s="6">
        <v>0</v>
      </c>
      <c r="V1483" s="6">
        <v>0</v>
      </c>
      <c r="W1483" s="6">
        <v>0</v>
      </c>
      <c r="X1483" s="6">
        <v>0</v>
      </c>
      <c r="Y1483" t="s">
        <v>171</v>
      </c>
      <c r="AD1483">
        <v>0.33333333333333331</v>
      </c>
      <c r="AE1483">
        <v>320</v>
      </c>
      <c r="AF1483">
        <v>1</v>
      </c>
      <c r="AL1483" s="9">
        <v>22</v>
      </c>
      <c r="AM1483" s="9">
        <v>5.7</v>
      </c>
      <c r="AN1483" s="9">
        <v>3.1</v>
      </c>
      <c r="AO1483" s="9">
        <v>0.17</v>
      </c>
    </row>
    <row r="1484" spans="1:41" x14ac:dyDescent="0.3">
      <c r="A1484" t="s">
        <v>1334</v>
      </c>
      <c r="B1484" s="8" t="s">
        <v>1584</v>
      </c>
      <c r="C1484">
        <v>70</v>
      </c>
      <c r="D1484" s="8">
        <v>1.4461999999999999</v>
      </c>
      <c r="E1484">
        <v>320</v>
      </c>
      <c r="G1484" t="s">
        <v>29</v>
      </c>
      <c r="H1484" t="s">
        <v>987</v>
      </c>
      <c r="J1484" s="3">
        <v>24</v>
      </c>
      <c r="K1484" s="4">
        <v>0.16666666666666666</v>
      </c>
      <c r="L1484" t="s">
        <v>172</v>
      </c>
      <c r="M1484" t="s">
        <v>171</v>
      </c>
      <c r="N1484" s="3">
        <v>2.8208744710860363</v>
      </c>
      <c r="O1484" s="3">
        <v>0</v>
      </c>
      <c r="P1484">
        <v>90</v>
      </c>
      <c r="Q1484">
        <v>6.5</v>
      </c>
      <c r="R1484" t="s">
        <v>102</v>
      </c>
      <c r="S1484">
        <v>0</v>
      </c>
      <c r="T1484" s="6">
        <f>10^-(14-Q1484)</f>
        <v>3.1622776601683699E-8</v>
      </c>
      <c r="U1484" s="6">
        <v>0</v>
      </c>
      <c r="V1484" s="6">
        <v>0</v>
      </c>
      <c r="W1484" s="6">
        <v>0</v>
      </c>
      <c r="X1484" s="6">
        <v>0</v>
      </c>
      <c r="Y1484" t="s">
        <v>171</v>
      </c>
      <c r="AD1484">
        <v>0.33333333333333331</v>
      </c>
      <c r="AE1484">
        <v>330</v>
      </c>
      <c r="AF1484">
        <v>1</v>
      </c>
      <c r="AL1484" s="9">
        <v>22</v>
      </c>
      <c r="AM1484" s="9">
        <v>5.7</v>
      </c>
      <c r="AN1484" s="9">
        <v>3.1</v>
      </c>
      <c r="AO1484" s="9">
        <v>0.17</v>
      </c>
    </row>
    <row r="1485" spans="1:41" x14ac:dyDescent="0.3">
      <c r="A1485" t="s">
        <v>1335</v>
      </c>
      <c r="B1485" s="8" t="s">
        <v>1584</v>
      </c>
      <c r="C1485">
        <v>70</v>
      </c>
      <c r="D1485" s="8">
        <v>1.4461999999999999</v>
      </c>
      <c r="E1485">
        <v>320</v>
      </c>
      <c r="G1485" t="s">
        <v>29</v>
      </c>
      <c r="H1485" t="s">
        <v>987</v>
      </c>
      <c r="J1485" s="3">
        <v>24</v>
      </c>
      <c r="K1485" s="4">
        <v>0.16666666666666666</v>
      </c>
      <c r="L1485" t="s">
        <v>139</v>
      </c>
      <c r="M1485" t="s">
        <v>171</v>
      </c>
      <c r="N1485" s="3">
        <v>2.8208744710860363</v>
      </c>
      <c r="O1485" s="3">
        <v>0</v>
      </c>
      <c r="P1485">
        <v>90</v>
      </c>
      <c r="Q1485">
        <v>6.5</v>
      </c>
      <c r="R1485" t="s">
        <v>102</v>
      </c>
      <c r="S1485">
        <v>0</v>
      </c>
      <c r="T1485" s="6">
        <f>10^-(14-Q1485)</f>
        <v>3.1622776601683699E-8</v>
      </c>
      <c r="U1485" s="6">
        <v>0</v>
      </c>
      <c r="V1485" s="6">
        <v>0</v>
      </c>
      <c r="W1485" s="6">
        <v>0</v>
      </c>
      <c r="X1485" s="6">
        <v>0</v>
      </c>
      <c r="Y1485" t="s">
        <v>171</v>
      </c>
      <c r="AD1485">
        <v>0.33333333333333331</v>
      </c>
      <c r="AE1485">
        <v>370</v>
      </c>
      <c r="AF1485">
        <v>1</v>
      </c>
      <c r="AL1485" s="9">
        <v>22</v>
      </c>
      <c r="AM1485" s="9">
        <v>5.7</v>
      </c>
      <c r="AN1485" s="9">
        <v>3.1</v>
      </c>
      <c r="AO1485" s="9">
        <v>0.17</v>
      </c>
    </row>
    <row r="1486" spans="1:41" x14ac:dyDescent="0.3">
      <c r="A1486" t="s">
        <v>1336</v>
      </c>
      <c r="B1486" s="8" t="s">
        <v>1584</v>
      </c>
      <c r="C1486">
        <v>70</v>
      </c>
      <c r="D1486" s="8">
        <v>1.4461999999999999</v>
      </c>
      <c r="E1486">
        <v>320</v>
      </c>
      <c r="G1486" t="s">
        <v>29</v>
      </c>
      <c r="H1486" t="s">
        <v>987</v>
      </c>
      <c r="J1486" s="3">
        <v>24</v>
      </c>
      <c r="K1486" s="4">
        <v>0.16666666666666666</v>
      </c>
      <c r="L1486" t="s">
        <v>139</v>
      </c>
      <c r="M1486" t="s">
        <v>171</v>
      </c>
      <c r="N1486" s="3">
        <v>2.8208744710860363</v>
      </c>
      <c r="O1486" s="3">
        <v>0</v>
      </c>
      <c r="P1486">
        <v>90</v>
      </c>
      <c r="Q1486">
        <v>6.5</v>
      </c>
      <c r="R1486" t="s">
        <v>102</v>
      </c>
      <c r="S1486">
        <v>0</v>
      </c>
      <c r="T1486" s="6">
        <f>10^-(14-Q1486)</f>
        <v>3.1622776601683699E-8</v>
      </c>
      <c r="U1486" s="6">
        <v>0</v>
      </c>
      <c r="V1486" s="6">
        <v>0</v>
      </c>
      <c r="W1486" s="6">
        <v>0</v>
      </c>
      <c r="X1486" s="6">
        <v>0</v>
      </c>
      <c r="Y1486" t="s">
        <v>171</v>
      </c>
      <c r="AD1486">
        <v>0.33333333333333331</v>
      </c>
      <c r="AE1486">
        <v>350</v>
      </c>
      <c r="AF1486">
        <v>1</v>
      </c>
      <c r="AL1486" s="9">
        <v>22</v>
      </c>
      <c r="AM1486" s="9">
        <v>5.7</v>
      </c>
      <c r="AN1486" s="9">
        <v>3.1</v>
      </c>
      <c r="AO1486" s="9">
        <v>0.17</v>
      </c>
    </row>
    <row r="1487" spans="1:41" x14ac:dyDescent="0.3">
      <c r="A1487" t="s">
        <v>1337</v>
      </c>
      <c r="B1487" s="8" t="s">
        <v>1584</v>
      </c>
      <c r="C1487">
        <v>70</v>
      </c>
      <c r="D1487" s="8">
        <v>1.4461999999999999</v>
      </c>
      <c r="E1487">
        <v>320</v>
      </c>
      <c r="G1487" t="s">
        <v>29</v>
      </c>
      <c r="H1487" t="s">
        <v>987</v>
      </c>
      <c r="J1487" s="3">
        <v>24</v>
      </c>
      <c r="K1487" s="4">
        <v>0.16666666666666666</v>
      </c>
      <c r="L1487" t="s">
        <v>139</v>
      </c>
      <c r="M1487" t="s">
        <v>171</v>
      </c>
      <c r="N1487" s="3">
        <v>2.8208744710860363</v>
      </c>
      <c r="O1487" s="3">
        <v>0</v>
      </c>
      <c r="P1487">
        <v>90</v>
      </c>
      <c r="Q1487">
        <v>6.5</v>
      </c>
      <c r="R1487" t="s">
        <v>102</v>
      </c>
      <c r="S1487">
        <v>0</v>
      </c>
      <c r="T1487" s="6">
        <f>10^-(14-Q1487)</f>
        <v>3.1622776601683699E-8</v>
      </c>
      <c r="U1487" s="6">
        <v>0</v>
      </c>
      <c r="V1487" s="6">
        <v>0</v>
      </c>
      <c r="W1487" s="6">
        <v>0</v>
      </c>
      <c r="X1487" s="6">
        <v>0</v>
      </c>
      <c r="Y1487" t="s">
        <v>171</v>
      </c>
      <c r="AD1487">
        <v>0.33333333333333331</v>
      </c>
      <c r="AE1487">
        <v>330</v>
      </c>
      <c r="AF1487">
        <v>1</v>
      </c>
      <c r="AL1487" s="9">
        <v>22</v>
      </c>
      <c r="AM1487" s="9">
        <v>5.7</v>
      </c>
      <c r="AN1487" s="9">
        <v>3.1</v>
      </c>
      <c r="AO1487" s="9">
        <v>0.17</v>
      </c>
    </row>
    <row r="1488" spans="1:41" x14ac:dyDescent="0.3">
      <c r="A1488" t="s">
        <v>1352</v>
      </c>
      <c r="B1488" s="8" t="s">
        <v>1584</v>
      </c>
      <c r="C1488">
        <v>70</v>
      </c>
      <c r="D1488" s="8" t="s">
        <v>1353</v>
      </c>
      <c r="E1488">
        <v>320</v>
      </c>
      <c r="G1488" t="s">
        <v>29</v>
      </c>
      <c r="H1488" t="s">
        <v>987</v>
      </c>
      <c r="J1488" s="3">
        <v>24</v>
      </c>
      <c r="K1488" s="4">
        <v>0.16666666666666666</v>
      </c>
      <c r="L1488" t="s">
        <v>172</v>
      </c>
      <c r="M1488" t="s">
        <v>171</v>
      </c>
      <c r="N1488" s="3">
        <v>2.8208744710860363</v>
      </c>
      <c r="O1488" s="3">
        <v>0</v>
      </c>
      <c r="P1488">
        <v>90</v>
      </c>
      <c r="Q1488">
        <v>6.5</v>
      </c>
      <c r="R1488" t="s">
        <v>102</v>
      </c>
      <c r="S1488">
        <v>0</v>
      </c>
      <c r="T1488" s="6">
        <f>10^-(14-Q1488)</f>
        <v>3.1622776601683699E-8</v>
      </c>
      <c r="U1488" s="6">
        <v>0</v>
      </c>
      <c r="V1488" s="6">
        <v>0</v>
      </c>
      <c r="W1488" s="6">
        <v>0</v>
      </c>
      <c r="X1488" s="6">
        <v>0</v>
      </c>
      <c r="Y1488" t="s">
        <v>171</v>
      </c>
      <c r="AD1488">
        <v>0.33333333333333331</v>
      </c>
      <c r="AE1488">
        <v>1000</v>
      </c>
      <c r="AF1488">
        <v>2</v>
      </c>
      <c r="AH1488" s="9">
        <v>5.5</v>
      </c>
      <c r="AL1488" s="9">
        <v>24</v>
      </c>
      <c r="AM1488" s="9">
        <v>17</v>
      </c>
      <c r="AN1488" s="9">
        <v>4.5</v>
      </c>
      <c r="AO1488" s="9">
        <v>0.45</v>
      </c>
    </row>
    <row r="1489" spans="1:41" x14ac:dyDescent="0.3">
      <c r="A1489" t="s">
        <v>1354</v>
      </c>
      <c r="B1489" s="8" t="s">
        <v>1584</v>
      </c>
      <c r="C1489">
        <v>70</v>
      </c>
      <c r="D1489" s="8" t="s">
        <v>1353</v>
      </c>
      <c r="E1489">
        <v>320</v>
      </c>
      <c r="G1489" t="s">
        <v>29</v>
      </c>
      <c r="H1489" t="s">
        <v>987</v>
      </c>
      <c r="J1489" s="3">
        <v>24</v>
      </c>
      <c r="K1489" s="4">
        <v>0.16666666666666666</v>
      </c>
      <c r="L1489" t="s">
        <v>172</v>
      </c>
      <c r="M1489" t="s">
        <v>171</v>
      </c>
      <c r="N1489" s="3">
        <v>2.8208744710860363</v>
      </c>
      <c r="O1489" s="3">
        <v>0</v>
      </c>
      <c r="P1489">
        <v>90</v>
      </c>
      <c r="Q1489">
        <v>6.5</v>
      </c>
      <c r="R1489" t="s">
        <v>102</v>
      </c>
      <c r="S1489">
        <v>0</v>
      </c>
      <c r="T1489" s="6">
        <f>10^-(14-Q1489)</f>
        <v>3.1622776601683699E-8</v>
      </c>
      <c r="U1489" s="6">
        <v>0</v>
      </c>
      <c r="V1489" s="6">
        <v>0</v>
      </c>
      <c r="W1489" s="6">
        <v>0</v>
      </c>
      <c r="X1489" s="6">
        <v>0</v>
      </c>
      <c r="Y1489" t="s">
        <v>171</v>
      </c>
      <c r="AD1489">
        <v>0.33333333333333331</v>
      </c>
      <c r="AE1489">
        <v>1000</v>
      </c>
      <c r="AF1489">
        <v>2</v>
      </c>
      <c r="AH1489" s="9">
        <v>5.5</v>
      </c>
      <c r="AL1489" s="9">
        <v>24</v>
      </c>
      <c r="AM1489" s="9">
        <v>17</v>
      </c>
      <c r="AN1489" s="9">
        <v>4.5</v>
      </c>
      <c r="AO1489" s="9">
        <v>0.45</v>
      </c>
    </row>
    <row r="1490" spans="1:41" x14ac:dyDescent="0.3">
      <c r="A1490" t="s">
        <v>1355</v>
      </c>
      <c r="B1490" s="8" t="s">
        <v>1584</v>
      </c>
      <c r="C1490">
        <v>70</v>
      </c>
      <c r="D1490" s="8" t="s">
        <v>1353</v>
      </c>
      <c r="E1490">
        <v>320</v>
      </c>
      <c r="G1490" t="s">
        <v>29</v>
      </c>
      <c r="H1490" t="s">
        <v>987</v>
      </c>
      <c r="J1490" s="3">
        <v>24</v>
      </c>
      <c r="K1490" s="4">
        <v>0.16666666666666666</v>
      </c>
      <c r="L1490" t="s">
        <v>172</v>
      </c>
      <c r="M1490" t="s">
        <v>171</v>
      </c>
      <c r="N1490" s="3">
        <v>2.8208744710860363</v>
      </c>
      <c r="O1490" s="3">
        <v>0</v>
      </c>
      <c r="P1490">
        <v>90</v>
      </c>
      <c r="Q1490">
        <v>6.5</v>
      </c>
      <c r="R1490" t="s">
        <v>102</v>
      </c>
      <c r="S1490">
        <v>0</v>
      </c>
      <c r="T1490" s="6">
        <f>10^-(14-Q1490)</f>
        <v>3.1622776601683699E-8</v>
      </c>
      <c r="U1490" s="6">
        <v>0</v>
      </c>
      <c r="V1490" s="6">
        <v>0</v>
      </c>
      <c r="W1490" s="6">
        <v>0</v>
      </c>
      <c r="X1490" s="6">
        <v>0</v>
      </c>
      <c r="Y1490" t="s">
        <v>171</v>
      </c>
      <c r="AD1490">
        <v>0.33333333333333331</v>
      </c>
      <c r="AE1490">
        <v>1000</v>
      </c>
      <c r="AF1490">
        <v>2</v>
      </c>
      <c r="AH1490" s="9">
        <v>5.5</v>
      </c>
      <c r="AL1490" s="9">
        <v>24</v>
      </c>
      <c r="AM1490" s="9">
        <v>17</v>
      </c>
      <c r="AN1490" s="9">
        <v>4.5</v>
      </c>
      <c r="AO1490" s="9">
        <v>0.45</v>
      </c>
    </row>
    <row r="1491" spans="1:41" x14ac:dyDescent="0.3">
      <c r="A1491" t="s">
        <v>1356</v>
      </c>
      <c r="B1491" s="8" t="s">
        <v>1584</v>
      </c>
      <c r="C1491">
        <v>70</v>
      </c>
      <c r="D1491" s="8" t="s">
        <v>1353</v>
      </c>
      <c r="E1491">
        <v>320</v>
      </c>
      <c r="G1491" t="s">
        <v>29</v>
      </c>
      <c r="H1491" t="s">
        <v>987</v>
      </c>
      <c r="J1491" s="3">
        <v>24</v>
      </c>
      <c r="K1491" s="4">
        <v>0.16666666666666666</v>
      </c>
      <c r="L1491" t="s">
        <v>139</v>
      </c>
      <c r="M1491" t="s">
        <v>171</v>
      </c>
      <c r="N1491" s="3">
        <v>2.8208744710860363</v>
      </c>
      <c r="O1491" s="3">
        <v>0</v>
      </c>
      <c r="P1491">
        <v>90</v>
      </c>
      <c r="Q1491">
        <v>6.5</v>
      </c>
      <c r="R1491" t="s">
        <v>102</v>
      </c>
      <c r="S1491">
        <v>0</v>
      </c>
      <c r="T1491" s="6">
        <f>10^-(14-Q1491)</f>
        <v>3.1622776601683699E-8</v>
      </c>
      <c r="U1491" s="6">
        <v>0</v>
      </c>
      <c r="V1491" s="6">
        <v>0</v>
      </c>
      <c r="W1491" s="6">
        <v>0</v>
      </c>
      <c r="X1491" s="6">
        <v>0</v>
      </c>
      <c r="Y1491" t="s">
        <v>171</v>
      </c>
      <c r="AD1491">
        <v>0.33333333333333331</v>
      </c>
      <c r="AE1491">
        <v>890</v>
      </c>
      <c r="AF1491">
        <v>1</v>
      </c>
      <c r="AH1491" s="9">
        <v>5.5</v>
      </c>
      <c r="AL1491" s="9">
        <v>24</v>
      </c>
      <c r="AM1491" s="9">
        <v>17</v>
      </c>
      <c r="AN1491" s="9">
        <v>4.5</v>
      </c>
      <c r="AO1491" s="9">
        <v>0.45</v>
      </c>
    </row>
    <row r="1492" spans="1:41" x14ac:dyDescent="0.3">
      <c r="A1492" t="s">
        <v>1357</v>
      </c>
      <c r="B1492" s="8" t="s">
        <v>1584</v>
      </c>
      <c r="C1492">
        <v>70</v>
      </c>
      <c r="D1492" s="8" t="s">
        <v>1353</v>
      </c>
      <c r="E1492">
        <v>320</v>
      </c>
      <c r="G1492" t="s">
        <v>29</v>
      </c>
      <c r="H1492" t="s">
        <v>987</v>
      </c>
      <c r="J1492" s="3">
        <v>24</v>
      </c>
      <c r="K1492" s="4">
        <v>0.16666666666666666</v>
      </c>
      <c r="L1492" t="s">
        <v>139</v>
      </c>
      <c r="M1492" t="s">
        <v>171</v>
      </c>
      <c r="N1492" s="3">
        <v>2.8208744710860363</v>
      </c>
      <c r="O1492" s="3">
        <v>0</v>
      </c>
      <c r="P1492">
        <v>90</v>
      </c>
      <c r="Q1492">
        <v>6.5</v>
      </c>
      <c r="R1492" t="s">
        <v>102</v>
      </c>
      <c r="S1492">
        <v>0</v>
      </c>
      <c r="T1492" s="6">
        <f>10^-(14-Q1492)</f>
        <v>3.1622776601683699E-8</v>
      </c>
      <c r="U1492" s="6">
        <v>0</v>
      </c>
      <c r="V1492" s="6">
        <v>0</v>
      </c>
      <c r="W1492" s="6">
        <v>0</v>
      </c>
      <c r="X1492" s="6">
        <v>0</v>
      </c>
      <c r="Y1492" t="s">
        <v>171</v>
      </c>
      <c r="AD1492">
        <v>0.33333333333333331</v>
      </c>
      <c r="AE1492">
        <v>900</v>
      </c>
      <c r="AF1492">
        <v>1</v>
      </c>
      <c r="AH1492" s="9">
        <v>5.5</v>
      </c>
      <c r="AL1492" s="9">
        <v>24</v>
      </c>
      <c r="AM1492" s="9">
        <v>17</v>
      </c>
      <c r="AN1492" s="9">
        <v>4.5</v>
      </c>
      <c r="AO1492" s="9">
        <v>0.45</v>
      </c>
    </row>
    <row r="1493" spans="1:41" x14ac:dyDescent="0.3">
      <c r="A1493" t="s">
        <v>1358</v>
      </c>
      <c r="B1493" s="8" t="s">
        <v>1584</v>
      </c>
      <c r="C1493">
        <v>70</v>
      </c>
      <c r="D1493" s="8" t="s">
        <v>1353</v>
      </c>
      <c r="E1493">
        <v>320</v>
      </c>
      <c r="G1493" t="s">
        <v>29</v>
      </c>
      <c r="H1493" t="s">
        <v>987</v>
      </c>
      <c r="J1493" s="3">
        <v>24</v>
      </c>
      <c r="K1493" s="4">
        <v>0.16666666666666666</v>
      </c>
      <c r="L1493" t="s">
        <v>139</v>
      </c>
      <c r="M1493" t="s">
        <v>171</v>
      </c>
      <c r="N1493" s="3">
        <v>2.8208744710860363</v>
      </c>
      <c r="O1493" s="3">
        <v>0</v>
      </c>
      <c r="P1493">
        <v>90</v>
      </c>
      <c r="Q1493">
        <v>6.5</v>
      </c>
      <c r="R1493" t="s">
        <v>102</v>
      </c>
      <c r="S1493">
        <v>0</v>
      </c>
      <c r="T1493" s="6">
        <f>10^-(14-Q1493)</f>
        <v>3.1622776601683699E-8</v>
      </c>
      <c r="U1493" s="6">
        <v>0</v>
      </c>
      <c r="V1493" s="6">
        <v>0</v>
      </c>
      <c r="W1493" s="6">
        <v>0</v>
      </c>
      <c r="X1493" s="6">
        <v>0</v>
      </c>
      <c r="Y1493" t="s">
        <v>171</v>
      </c>
      <c r="AD1493">
        <v>0.33333333333333331</v>
      </c>
      <c r="AE1493">
        <v>910</v>
      </c>
      <c r="AF1493">
        <v>1</v>
      </c>
      <c r="AH1493" s="9">
        <v>5.5</v>
      </c>
      <c r="AL1493" s="9">
        <v>24</v>
      </c>
      <c r="AM1493" s="9">
        <v>17</v>
      </c>
      <c r="AN1493" s="9">
        <v>4.5</v>
      </c>
      <c r="AO1493" s="9">
        <v>0.45</v>
      </c>
    </row>
    <row r="1494" spans="1:41" x14ac:dyDescent="0.3">
      <c r="A1494" t="s">
        <v>1359</v>
      </c>
      <c r="B1494" s="8" t="s">
        <v>1584</v>
      </c>
      <c r="C1494">
        <v>70</v>
      </c>
      <c r="D1494" s="8" t="s">
        <v>1360</v>
      </c>
      <c r="E1494">
        <v>320</v>
      </c>
      <c r="G1494" t="s">
        <v>29</v>
      </c>
      <c r="H1494" t="s">
        <v>987</v>
      </c>
      <c r="J1494" s="3">
        <v>24</v>
      </c>
      <c r="K1494" s="4">
        <v>0.16666666666666666</v>
      </c>
      <c r="L1494" t="s">
        <v>172</v>
      </c>
      <c r="M1494" t="s">
        <v>171</v>
      </c>
      <c r="N1494" s="3">
        <v>2.8208744710860363</v>
      </c>
      <c r="O1494" s="3">
        <v>0</v>
      </c>
      <c r="P1494">
        <v>90</v>
      </c>
      <c r="Q1494">
        <v>6.5</v>
      </c>
      <c r="R1494" t="s">
        <v>102</v>
      </c>
      <c r="S1494">
        <v>0</v>
      </c>
      <c r="T1494" s="6">
        <f>10^-(14-Q1494)</f>
        <v>3.1622776601683699E-8</v>
      </c>
      <c r="U1494" s="6">
        <v>0</v>
      </c>
      <c r="V1494" s="6">
        <v>0</v>
      </c>
      <c r="W1494" s="6">
        <v>0</v>
      </c>
      <c r="X1494" s="6">
        <v>0</v>
      </c>
      <c r="Y1494" t="s">
        <v>171</v>
      </c>
      <c r="AD1494">
        <v>0.33333333333333331</v>
      </c>
      <c r="AE1494">
        <v>1000</v>
      </c>
      <c r="AF1494">
        <v>2</v>
      </c>
      <c r="AH1494" s="9">
        <v>3.5</v>
      </c>
      <c r="AL1494" s="9">
        <v>24</v>
      </c>
      <c r="AM1494" s="9">
        <v>22</v>
      </c>
      <c r="AN1494" s="9">
        <v>7.3</v>
      </c>
      <c r="AO1494" s="9">
        <v>0.5</v>
      </c>
    </row>
    <row r="1495" spans="1:41" x14ac:dyDescent="0.3">
      <c r="A1495" t="s">
        <v>1361</v>
      </c>
      <c r="B1495" s="8" t="s">
        <v>1584</v>
      </c>
      <c r="C1495">
        <v>70</v>
      </c>
      <c r="D1495" s="8" t="s">
        <v>1360</v>
      </c>
      <c r="E1495">
        <v>320</v>
      </c>
      <c r="G1495" t="s">
        <v>29</v>
      </c>
      <c r="H1495" t="s">
        <v>987</v>
      </c>
      <c r="J1495" s="3">
        <v>24</v>
      </c>
      <c r="K1495" s="4">
        <v>0.16666666666666666</v>
      </c>
      <c r="L1495" t="s">
        <v>172</v>
      </c>
      <c r="M1495" t="s">
        <v>171</v>
      </c>
      <c r="N1495" s="3">
        <v>2.8208744710860363</v>
      </c>
      <c r="O1495" s="3">
        <v>0</v>
      </c>
      <c r="P1495">
        <v>90</v>
      </c>
      <c r="Q1495">
        <v>6.5</v>
      </c>
      <c r="R1495" t="s">
        <v>102</v>
      </c>
      <c r="S1495">
        <v>0</v>
      </c>
      <c r="T1495" s="6">
        <f>10^-(14-Q1495)</f>
        <v>3.1622776601683699E-8</v>
      </c>
      <c r="U1495" s="6">
        <v>0</v>
      </c>
      <c r="V1495" s="6">
        <v>0</v>
      </c>
      <c r="W1495" s="6">
        <v>0</v>
      </c>
      <c r="X1495" s="6">
        <v>0</v>
      </c>
      <c r="Y1495" t="s">
        <v>171</v>
      </c>
      <c r="AD1495">
        <v>0.33333333333333331</v>
      </c>
      <c r="AE1495">
        <v>1000</v>
      </c>
      <c r="AF1495">
        <v>2</v>
      </c>
      <c r="AH1495" s="9">
        <v>3.5</v>
      </c>
      <c r="AL1495" s="9">
        <v>24</v>
      </c>
      <c r="AM1495" s="9">
        <v>22</v>
      </c>
      <c r="AN1495" s="9">
        <v>7.3</v>
      </c>
      <c r="AO1495" s="9">
        <v>0.5</v>
      </c>
    </row>
    <row r="1496" spans="1:41" x14ac:dyDescent="0.3">
      <c r="A1496" t="s">
        <v>1362</v>
      </c>
      <c r="B1496" s="8" t="s">
        <v>1584</v>
      </c>
      <c r="C1496">
        <v>70</v>
      </c>
      <c r="D1496" s="8" t="s">
        <v>1360</v>
      </c>
      <c r="E1496">
        <v>320</v>
      </c>
      <c r="G1496" t="s">
        <v>29</v>
      </c>
      <c r="H1496" t="s">
        <v>987</v>
      </c>
      <c r="J1496" s="3">
        <v>24</v>
      </c>
      <c r="K1496" s="4">
        <v>0.16666666666666666</v>
      </c>
      <c r="L1496" t="s">
        <v>172</v>
      </c>
      <c r="M1496" t="s">
        <v>171</v>
      </c>
      <c r="N1496" s="3">
        <v>2.8208744710860363</v>
      </c>
      <c r="O1496" s="3">
        <v>0</v>
      </c>
      <c r="P1496">
        <v>90</v>
      </c>
      <c r="Q1496">
        <v>6.5</v>
      </c>
      <c r="R1496" t="s">
        <v>102</v>
      </c>
      <c r="S1496">
        <v>0</v>
      </c>
      <c r="T1496" s="6">
        <f>10^-(14-Q1496)</f>
        <v>3.1622776601683699E-8</v>
      </c>
      <c r="U1496" s="6">
        <v>0</v>
      </c>
      <c r="V1496" s="6">
        <v>0</v>
      </c>
      <c r="W1496" s="6">
        <v>0</v>
      </c>
      <c r="X1496" s="6">
        <v>0</v>
      </c>
      <c r="Y1496" t="s">
        <v>171</v>
      </c>
      <c r="AA1496"/>
      <c r="AB1496"/>
      <c r="AC1496"/>
      <c r="AD1496">
        <v>0.33333333333333331</v>
      </c>
      <c r="AE1496">
        <v>1000</v>
      </c>
      <c r="AF1496">
        <v>2</v>
      </c>
      <c r="AH1496" s="9">
        <v>3.5</v>
      </c>
      <c r="AL1496" s="9">
        <v>24</v>
      </c>
      <c r="AM1496" s="9">
        <v>22</v>
      </c>
      <c r="AN1496" s="9">
        <v>7.3</v>
      </c>
      <c r="AO1496" s="9">
        <v>0.5</v>
      </c>
    </row>
    <row r="1497" spans="1:41" x14ac:dyDescent="0.3">
      <c r="A1497" t="s">
        <v>1363</v>
      </c>
      <c r="B1497" s="8" t="s">
        <v>1584</v>
      </c>
      <c r="C1497">
        <v>70</v>
      </c>
      <c r="D1497" s="8" t="s">
        <v>1360</v>
      </c>
      <c r="E1497">
        <v>320</v>
      </c>
      <c r="G1497" t="s">
        <v>29</v>
      </c>
      <c r="H1497" t="s">
        <v>987</v>
      </c>
      <c r="J1497" s="3">
        <v>24</v>
      </c>
      <c r="K1497" s="4">
        <v>0.16666666666666666</v>
      </c>
      <c r="L1497" t="s">
        <v>139</v>
      </c>
      <c r="M1497" t="s">
        <v>171</v>
      </c>
      <c r="N1497" s="3">
        <v>2.8208744710860363</v>
      </c>
      <c r="O1497" s="3">
        <v>0</v>
      </c>
      <c r="P1497">
        <v>90</v>
      </c>
      <c r="Q1497">
        <v>6.5</v>
      </c>
      <c r="R1497" t="s">
        <v>102</v>
      </c>
      <c r="S1497">
        <v>0</v>
      </c>
      <c r="T1497" s="6">
        <f>10^-(14-Q1497)</f>
        <v>3.1622776601683699E-8</v>
      </c>
      <c r="U1497" s="6">
        <v>0</v>
      </c>
      <c r="V1497" s="6">
        <v>0</v>
      </c>
      <c r="W1497" s="6">
        <v>0</v>
      </c>
      <c r="X1497" s="6">
        <v>0</v>
      </c>
      <c r="Y1497" t="s">
        <v>171</v>
      </c>
      <c r="AA1497"/>
      <c r="AB1497"/>
      <c r="AC1497"/>
      <c r="AD1497">
        <v>0.33333333333333331</v>
      </c>
      <c r="AE1497">
        <v>1000</v>
      </c>
      <c r="AF1497">
        <v>2</v>
      </c>
      <c r="AH1497" s="9">
        <v>3.5</v>
      </c>
      <c r="AL1497" s="9">
        <v>24</v>
      </c>
      <c r="AM1497" s="9">
        <v>22</v>
      </c>
      <c r="AN1497" s="9">
        <v>7.3</v>
      </c>
      <c r="AO1497" s="9">
        <v>0.5</v>
      </c>
    </row>
    <row r="1498" spans="1:41" x14ac:dyDescent="0.3">
      <c r="A1498" t="s">
        <v>1364</v>
      </c>
      <c r="B1498" s="8" t="s">
        <v>1584</v>
      </c>
      <c r="C1498">
        <v>70</v>
      </c>
      <c r="D1498" s="8" t="s">
        <v>1360</v>
      </c>
      <c r="E1498">
        <v>320</v>
      </c>
      <c r="G1498" t="s">
        <v>29</v>
      </c>
      <c r="H1498" t="s">
        <v>987</v>
      </c>
      <c r="J1498" s="3">
        <v>24</v>
      </c>
      <c r="K1498" s="4">
        <v>0.16666666666666666</v>
      </c>
      <c r="L1498" t="s">
        <v>139</v>
      </c>
      <c r="M1498" t="s">
        <v>171</v>
      </c>
      <c r="N1498" s="3">
        <v>2.8208744710860363</v>
      </c>
      <c r="O1498" s="3">
        <v>0</v>
      </c>
      <c r="P1498">
        <v>90</v>
      </c>
      <c r="Q1498">
        <v>6.5</v>
      </c>
      <c r="R1498" t="s">
        <v>102</v>
      </c>
      <c r="S1498">
        <v>0</v>
      </c>
      <c r="T1498" s="6">
        <f>10^-(14-Q1498)</f>
        <v>3.1622776601683699E-8</v>
      </c>
      <c r="U1498" s="6">
        <v>0</v>
      </c>
      <c r="V1498" s="6">
        <v>0</v>
      </c>
      <c r="W1498" s="6">
        <v>0</v>
      </c>
      <c r="X1498" s="6">
        <v>0</v>
      </c>
      <c r="Y1498" t="s">
        <v>171</v>
      </c>
      <c r="AA1498"/>
      <c r="AB1498"/>
      <c r="AC1498"/>
      <c r="AD1498">
        <v>0.33333333333333331</v>
      </c>
      <c r="AE1498">
        <v>1000</v>
      </c>
      <c r="AF1498">
        <v>2</v>
      </c>
      <c r="AH1498" s="9">
        <v>3.5</v>
      </c>
      <c r="AL1498" s="9">
        <v>24</v>
      </c>
      <c r="AM1498" s="9">
        <v>22</v>
      </c>
      <c r="AN1498" s="9">
        <v>7.3</v>
      </c>
      <c r="AO1498" s="9">
        <v>0.5</v>
      </c>
    </row>
    <row r="1499" spans="1:41" x14ac:dyDescent="0.3">
      <c r="A1499" t="s">
        <v>1365</v>
      </c>
      <c r="B1499" s="8" t="s">
        <v>1584</v>
      </c>
      <c r="C1499">
        <v>70</v>
      </c>
      <c r="D1499" s="8" t="s">
        <v>1360</v>
      </c>
      <c r="E1499">
        <v>320</v>
      </c>
      <c r="G1499" t="s">
        <v>29</v>
      </c>
      <c r="H1499" t="s">
        <v>987</v>
      </c>
      <c r="J1499" s="3">
        <v>24</v>
      </c>
      <c r="K1499" s="4">
        <v>0.16666666666666666</v>
      </c>
      <c r="L1499" t="s">
        <v>139</v>
      </c>
      <c r="M1499" t="s">
        <v>171</v>
      </c>
      <c r="N1499" s="3">
        <v>2.8208744710860363</v>
      </c>
      <c r="O1499" s="3">
        <v>0</v>
      </c>
      <c r="P1499">
        <v>90</v>
      </c>
      <c r="Q1499">
        <v>6.5</v>
      </c>
      <c r="R1499" t="s">
        <v>102</v>
      </c>
      <c r="S1499">
        <v>0</v>
      </c>
      <c r="T1499" s="6">
        <f>10^-(14-Q1499)</f>
        <v>3.1622776601683699E-8</v>
      </c>
      <c r="U1499" s="6">
        <v>0</v>
      </c>
      <c r="V1499" s="6">
        <v>0</v>
      </c>
      <c r="W1499" s="6">
        <v>0</v>
      </c>
      <c r="X1499" s="6">
        <v>0</v>
      </c>
      <c r="Y1499" t="s">
        <v>171</v>
      </c>
      <c r="AA1499"/>
      <c r="AB1499"/>
      <c r="AC1499"/>
      <c r="AD1499">
        <v>0.33333333333333331</v>
      </c>
      <c r="AE1499">
        <v>1000</v>
      </c>
      <c r="AF1499">
        <v>2</v>
      </c>
      <c r="AH1499" s="9">
        <v>3.5</v>
      </c>
      <c r="AL1499" s="9">
        <v>24</v>
      </c>
      <c r="AM1499" s="9">
        <v>22</v>
      </c>
      <c r="AN1499" s="9">
        <v>7.3</v>
      </c>
      <c r="AO1499" s="9">
        <v>0.5</v>
      </c>
    </row>
    <row r="1500" spans="1:41" x14ac:dyDescent="0.3">
      <c r="A1500" t="s">
        <v>1338</v>
      </c>
      <c r="B1500" s="8" t="s">
        <v>1584</v>
      </c>
      <c r="C1500">
        <v>70</v>
      </c>
      <c r="D1500" s="8" t="s">
        <v>1339</v>
      </c>
      <c r="E1500">
        <v>320</v>
      </c>
      <c r="G1500" t="s">
        <v>29</v>
      </c>
      <c r="H1500" t="s">
        <v>987</v>
      </c>
      <c r="J1500" s="3">
        <v>24</v>
      </c>
      <c r="K1500" s="4">
        <v>0.16666666666666666</v>
      </c>
      <c r="L1500" t="s">
        <v>172</v>
      </c>
      <c r="M1500" t="s">
        <v>171</v>
      </c>
      <c r="N1500" s="3">
        <v>2.8208744710860363</v>
      </c>
      <c r="O1500" s="3">
        <v>0</v>
      </c>
      <c r="P1500">
        <v>90</v>
      </c>
      <c r="Q1500">
        <v>6.5</v>
      </c>
      <c r="R1500" t="s">
        <v>102</v>
      </c>
      <c r="S1500">
        <v>0</v>
      </c>
      <c r="T1500" s="6">
        <f>10^-(14-Q1500)</f>
        <v>3.1622776601683699E-8</v>
      </c>
      <c r="U1500" s="6">
        <v>0</v>
      </c>
      <c r="V1500" s="6">
        <v>0</v>
      </c>
      <c r="W1500" s="6">
        <v>0</v>
      </c>
      <c r="X1500" s="6">
        <v>0</v>
      </c>
      <c r="Y1500" t="s">
        <v>171</v>
      </c>
      <c r="AD1500">
        <v>0.33333333333333331</v>
      </c>
      <c r="AE1500">
        <v>1060</v>
      </c>
      <c r="AF1500">
        <v>1</v>
      </c>
      <c r="AL1500" s="9">
        <v>25</v>
      </c>
      <c r="AM1500" s="9">
        <v>7</v>
      </c>
      <c r="AN1500" s="9">
        <v>4</v>
      </c>
      <c r="AO1500" s="9">
        <v>0.27</v>
      </c>
    </row>
    <row r="1501" spans="1:41" x14ac:dyDescent="0.3">
      <c r="A1501" t="s">
        <v>1340</v>
      </c>
      <c r="B1501" s="8" t="s">
        <v>1584</v>
      </c>
      <c r="C1501">
        <v>70</v>
      </c>
      <c r="D1501" s="8" t="s">
        <v>1339</v>
      </c>
      <c r="E1501">
        <v>320</v>
      </c>
      <c r="G1501" t="s">
        <v>29</v>
      </c>
      <c r="H1501" t="s">
        <v>987</v>
      </c>
      <c r="J1501" s="3">
        <v>24</v>
      </c>
      <c r="K1501" s="4">
        <v>0.16666666666666666</v>
      </c>
      <c r="L1501" t="s">
        <v>172</v>
      </c>
      <c r="M1501" t="s">
        <v>171</v>
      </c>
      <c r="N1501" s="3">
        <v>2.8208744710860363</v>
      </c>
      <c r="O1501" s="3">
        <v>0</v>
      </c>
      <c r="P1501">
        <v>90</v>
      </c>
      <c r="Q1501">
        <v>6.5</v>
      </c>
      <c r="R1501" t="s">
        <v>102</v>
      </c>
      <c r="S1501">
        <v>0</v>
      </c>
      <c r="T1501" s="6">
        <f>10^-(14-Q1501)</f>
        <v>3.1622776601683699E-8</v>
      </c>
      <c r="U1501" s="6">
        <v>0</v>
      </c>
      <c r="V1501" s="6">
        <v>0</v>
      </c>
      <c r="W1501" s="6">
        <v>0</v>
      </c>
      <c r="X1501" s="6">
        <v>0</v>
      </c>
      <c r="Y1501" t="s">
        <v>171</v>
      </c>
      <c r="AD1501">
        <v>0.33333333333333331</v>
      </c>
      <c r="AE1501">
        <v>1080</v>
      </c>
      <c r="AF1501">
        <v>1</v>
      </c>
      <c r="AL1501" s="9">
        <v>25</v>
      </c>
      <c r="AM1501" s="9">
        <v>7</v>
      </c>
      <c r="AN1501" s="9">
        <v>4</v>
      </c>
      <c r="AO1501" s="9">
        <v>0.27</v>
      </c>
    </row>
    <row r="1502" spans="1:41" x14ac:dyDescent="0.3">
      <c r="A1502" t="s">
        <v>1341</v>
      </c>
      <c r="B1502" s="8" t="s">
        <v>1584</v>
      </c>
      <c r="C1502">
        <v>70</v>
      </c>
      <c r="D1502" s="8" t="s">
        <v>1339</v>
      </c>
      <c r="E1502">
        <v>320</v>
      </c>
      <c r="G1502" t="s">
        <v>29</v>
      </c>
      <c r="H1502" t="s">
        <v>987</v>
      </c>
      <c r="J1502" s="3">
        <v>24</v>
      </c>
      <c r="K1502" s="4">
        <v>0.16666666666666666</v>
      </c>
      <c r="L1502" t="s">
        <v>172</v>
      </c>
      <c r="M1502" t="s">
        <v>171</v>
      </c>
      <c r="N1502" s="3">
        <v>2.8208744710860363</v>
      </c>
      <c r="O1502" s="3">
        <v>0</v>
      </c>
      <c r="P1502">
        <v>90</v>
      </c>
      <c r="Q1502">
        <v>6.5</v>
      </c>
      <c r="R1502" t="s">
        <v>102</v>
      </c>
      <c r="S1502">
        <v>0</v>
      </c>
      <c r="T1502" s="6">
        <f>10^-(14-Q1502)</f>
        <v>3.1622776601683699E-8</v>
      </c>
      <c r="U1502" s="6">
        <v>0</v>
      </c>
      <c r="V1502" s="6">
        <v>0</v>
      </c>
      <c r="W1502" s="6">
        <v>0</v>
      </c>
      <c r="X1502" s="6">
        <v>0</v>
      </c>
      <c r="Y1502" t="s">
        <v>171</v>
      </c>
      <c r="AD1502">
        <v>0.33333333333333331</v>
      </c>
      <c r="AE1502">
        <v>1100</v>
      </c>
      <c r="AF1502">
        <v>1</v>
      </c>
      <c r="AL1502" s="9">
        <v>25</v>
      </c>
      <c r="AM1502" s="9">
        <v>7</v>
      </c>
      <c r="AN1502" s="9">
        <v>4</v>
      </c>
      <c r="AO1502" s="9">
        <v>0.27</v>
      </c>
    </row>
    <row r="1503" spans="1:41" x14ac:dyDescent="0.3">
      <c r="A1503" t="s">
        <v>1342</v>
      </c>
      <c r="B1503" s="8" t="s">
        <v>1584</v>
      </c>
      <c r="C1503">
        <v>70</v>
      </c>
      <c r="D1503" s="8" t="s">
        <v>1339</v>
      </c>
      <c r="E1503">
        <v>320</v>
      </c>
      <c r="G1503" t="s">
        <v>29</v>
      </c>
      <c r="H1503" t="s">
        <v>987</v>
      </c>
      <c r="J1503" s="3">
        <v>24</v>
      </c>
      <c r="K1503" s="4">
        <v>0.16666666666666666</v>
      </c>
      <c r="L1503" t="s">
        <v>139</v>
      </c>
      <c r="M1503" t="s">
        <v>171</v>
      </c>
      <c r="N1503" s="3">
        <v>2.8208744710860363</v>
      </c>
      <c r="O1503" s="3">
        <v>0</v>
      </c>
      <c r="P1503">
        <v>90</v>
      </c>
      <c r="Q1503">
        <v>6.5</v>
      </c>
      <c r="R1503" t="s">
        <v>102</v>
      </c>
      <c r="S1503">
        <v>0</v>
      </c>
      <c r="T1503" s="6">
        <f>10^-(14-Q1503)</f>
        <v>3.1622776601683699E-8</v>
      </c>
      <c r="U1503" s="6">
        <v>0</v>
      </c>
      <c r="V1503" s="6">
        <v>0</v>
      </c>
      <c r="W1503" s="6">
        <v>0</v>
      </c>
      <c r="X1503" s="6">
        <v>0</v>
      </c>
      <c r="Y1503" t="s">
        <v>171</v>
      </c>
      <c r="AD1503">
        <v>0.33333333333333331</v>
      </c>
      <c r="AE1503">
        <v>480</v>
      </c>
      <c r="AF1503">
        <v>1</v>
      </c>
      <c r="AL1503" s="9">
        <v>25</v>
      </c>
      <c r="AM1503" s="9">
        <v>7</v>
      </c>
      <c r="AN1503" s="9">
        <v>4</v>
      </c>
      <c r="AO1503" s="9">
        <v>0.27</v>
      </c>
    </row>
    <row r="1504" spans="1:41" x14ac:dyDescent="0.3">
      <c r="A1504" t="s">
        <v>1343</v>
      </c>
      <c r="B1504" s="8" t="s">
        <v>1584</v>
      </c>
      <c r="C1504">
        <v>70</v>
      </c>
      <c r="D1504" s="8" t="s">
        <v>1339</v>
      </c>
      <c r="E1504">
        <v>320</v>
      </c>
      <c r="G1504" t="s">
        <v>29</v>
      </c>
      <c r="H1504" t="s">
        <v>987</v>
      </c>
      <c r="J1504" s="3">
        <v>24</v>
      </c>
      <c r="K1504" s="4">
        <v>0.16666666666666666</v>
      </c>
      <c r="L1504" t="s">
        <v>139</v>
      </c>
      <c r="M1504" t="s">
        <v>171</v>
      </c>
      <c r="N1504" s="3">
        <v>2.8208744710860363</v>
      </c>
      <c r="O1504" s="3">
        <v>0</v>
      </c>
      <c r="P1504">
        <v>90</v>
      </c>
      <c r="Q1504">
        <v>6.5</v>
      </c>
      <c r="R1504" t="s">
        <v>102</v>
      </c>
      <c r="S1504">
        <v>0</v>
      </c>
      <c r="T1504" s="6">
        <f>10^-(14-Q1504)</f>
        <v>3.1622776601683699E-8</v>
      </c>
      <c r="U1504" s="6">
        <v>0</v>
      </c>
      <c r="V1504" s="6">
        <v>0</v>
      </c>
      <c r="W1504" s="6">
        <v>0</v>
      </c>
      <c r="X1504" s="6">
        <v>0</v>
      </c>
      <c r="Y1504" t="s">
        <v>171</v>
      </c>
      <c r="AD1504">
        <v>0.33333333333333331</v>
      </c>
      <c r="AE1504">
        <v>500</v>
      </c>
      <c r="AF1504">
        <v>1</v>
      </c>
      <c r="AL1504" s="9">
        <v>25</v>
      </c>
      <c r="AM1504" s="9">
        <v>7</v>
      </c>
      <c r="AN1504" s="9">
        <v>4</v>
      </c>
      <c r="AO1504" s="9">
        <v>0.27</v>
      </c>
    </row>
    <row r="1505" spans="1:41" x14ac:dyDescent="0.3">
      <c r="A1505" t="s">
        <v>1344</v>
      </c>
      <c r="B1505" s="8" t="s">
        <v>1584</v>
      </c>
      <c r="C1505">
        <v>70</v>
      </c>
      <c r="D1505" s="8" t="s">
        <v>1339</v>
      </c>
      <c r="E1505">
        <v>320</v>
      </c>
      <c r="G1505" t="s">
        <v>29</v>
      </c>
      <c r="H1505" t="s">
        <v>987</v>
      </c>
      <c r="J1505" s="3">
        <v>24</v>
      </c>
      <c r="K1505" s="4">
        <v>0.16666666666666666</v>
      </c>
      <c r="L1505" t="s">
        <v>139</v>
      </c>
      <c r="M1505" t="s">
        <v>171</v>
      </c>
      <c r="N1505" s="3">
        <v>2.8208744710860363</v>
      </c>
      <c r="O1505" s="3">
        <v>0</v>
      </c>
      <c r="P1505">
        <v>90</v>
      </c>
      <c r="Q1505">
        <v>6.5</v>
      </c>
      <c r="R1505" t="s">
        <v>102</v>
      </c>
      <c r="S1505">
        <v>0</v>
      </c>
      <c r="T1505" s="6">
        <f>10^-(14-Q1505)</f>
        <v>3.1622776601683699E-8</v>
      </c>
      <c r="U1505" s="6">
        <v>0</v>
      </c>
      <c r="V1505" s="6">
        <v>0</v>
      </c>
      <c r="W1505" s="6">
        <v>0</v>
      </c>
      <c r="X1505" s="6">
        <v>0</v>
      </c>
      <c r="Y1505" t="s">
        <v>171</v>
      </c>
      <c r="AD1505">
        <v>0.33333333333333331</v>
      </c>
      <c r="AE1505">
        <v>520</v>
      </c>
      <c r="AF1505">
        <v>1</v>
      </c>
      <c r="AL1505" s="9">
        <v>25</v>
      </c>
      <c r="AM1505" s="9">
        <v>7</v>
      </c>
      <c r="AN1505" s="9">
        <v>4</v>
      </c>
      <c r="AO1505" s="9">
        <v>0.27</v>
      </c>
    </row>
    <row r="1506" spans="1:41" x14ac:dyDescent="0.3">
      <c r="A1506" t="s">
        <v>1285</v>
      </c>
      <c r="B1506" s="8" t="s">
        <v>1585</v>
      </c>
      <c r="C1506">
        <v>71</v>
      </c>
      <c r="D1506" s="8" t="s">
        <v>1623</v>
      </c>
      <c r="E1506">
        <v>1200</v>
      </c>
      <c r="G1506" t="s">
        <v>29</v>
      </c>
      <c r="H1506">
        <v>5.5</v>
      </c>
      <c r="I1506" s="4">
        <v>-1</v>
      </c>
      <c r="J1506" s="3">
        <v>0.05</v>
      </c>
      <c r="K1506" s="4">
        <v>1</v>
      </c>
      <c r="L1506" t="s">
        <v>172</v>
      </c>
      <c r="M1506" t="s">
        <v>171</v>
      </c>
      <c r="N1506" s="3">
        <v>0.51334702258726905</v>
      </c>
      <c r="O1506" s="3">
        <v>0</v>
      </c>
      <c r="P1506">
        <v>22.5</v>
      </c>
      <c r="Q1506">
        <v>5.5</v>
      </c>
      <c r="R1506" t="s">
        <v>102</v>
      </c>
      <c r="S1506">
        <v>0</v>
      </c>
      <c r="T1506" s="6">
        <f>10^-(14-Q1506)</f>
        <v>3.1622776601683779E-9</v>
      </c>
      <c r="U1506" s="6">
        <v>0</v>
      </c>
      <c r="V1506" s="6">
        <v>0</v>
      </c>
      <c r="W1506" s="6">
        <v>0</v>
      </c>
      <c r="X1506" s="6">
        <v>0</v>
      </c>
      <c r="Y1506" t="s">
        <v>171</v>
      </c>
      <c r="Z1506" s="5">
        <v>-131</v>
      </c>
      <c r="AD1506">
        <v>0.16666666666666666</v>
      </c>
      <c r="AE1506">
        <v>932</v>
      </c>
      <c r="AF1506">
        <v>1</v>
      </c>
      <c r="AH1506" s="9">
        <v>2</v>
      </c>
      <c r="AI1506" s="9">
        <v>1</v>
      </c>
      <c r="AJ1506" s="9">
        <v>4.4999999999999998E-2</v>
      </c>
      <c r="AK1506" s="9">
        <v>5.0000000000000001E-3</v>
      </c>
      <c r="AL1506" s="9">
        <v>18</v>
      </c>
      <c r="AM1506" s="9">
        <v>10</v>
      </c>
      <c r="AN1506" s="9">
        <v>8</v>
      </c>
    </row>
    <row r="1507" spans="1:41" x14ac:dyDescent="0.3">
      <c r="A1507" t="s">
        <v>1286</v>
      </c>
      <c r="B1507" s="8" t="s">
        <v>1585</v>
      </c>
      <c r="C1507">
        <v>71</v>
      </c>
      <c r="D1507" s="8" t="s">
        <v>1623</v>
      </c>
      <c r="E1507">
        <v>1200</v>
      </c>
      <c r="G1507" t="s">
        <v>29</v>
      </c>
      <c r="H1507">
        <v>5.5</v>
      </c>
      <c r="I1507" s="4">
        <v>-1</v>
      </c>
      <c r="J1507" s="3">
        <v>0.05</v>
      </c>
      <c r="K1507" s="4">
        <v>1</v>
      </c>
      <c r="L1507" t="s">
        <v>172</v>
      </c>
      <c r="M1507" t="s">
        <v>171</v>
      </c>
      <c r="N1507" s="3">
        <v>0.51334702258726905</v>
      </c>
      <c r="O1507" s="3">
        <v>0</v>
      </c>
      <c r="P1507">
        <v>22.5</v>
      </c>
      <c r="Q1507">
        <v>5.5</v>
      </c>
      <c r="R1507" t="s">
        <v>102</v>
      </c>
      <c r="S1507">
        <v>0</v>
      </c>
      <c r="T1507" s="6">
        <f>10^-(14-Q1507)</f>
        <v>3.1622776601683779E-9</v>
      </c>
      <c r="U1507" s="6">
        <v>0</v>
      </c>
      <c r="V1507" s="6">
        <v>0</v>
      </c>
      <c r="W1507" s="6">
        <v>0</v>
      </c>
      <c r="X1507" s="6">
        <v>0</v>
      </c>
      <c r="Y1507" t="s">
        <v>171</v>
      </c>
      <c r="Z1507" s="5">
        <v>-540</v>
      </c>
      <c r="AD1507">
        <v>0.16666666666666666</v>
      </c>
      <c r="AE1507">
        <v>845</v>
      </c>
      <c r="AF1507">
        <v>1</v>
      </c>
      <c r="AH1507" s="9">
        <v>2</v>
      </c>
      <c r="AI1507" s="9">
        <v>1</v>
      </c>
      <c r="AJ1507" s="9">
        <v>4.4999999999999998E-2</v>
      </c>
      <c r="AK1507" s="9">
        <v>5.0000000000000001E-3</v>
      </c>
      <c r="AL1507" s="9">
        <v>18</v>
      </c>
      <c r="AM1507" s="9">
        <v>10</v>
      </c>
      <c r="AN1507" s="9">
        <v>8</v>
      </c>
    </row>
    <row r="1508" spans="1:41" x14ac:dyDescent="0.3">
      <c r="A1508" t="s">
        <v>1287</v>
      </c>
      <c r="B1508" s="8" t="s">
        <v>1585</v>
      </c>
      <c r="C1508">
        <v>71</v>
      </c>
      <c r="D1508" s="8" t="s">
        <v>1623</v>
      </c>
      <c r="E1508">
        <v>1200</v>
      </c>
      <c r="G1508" t="s">
        <v>29</v>
      </c>
      <c r="H1508">
        <v>5.5</v>
      </c>
      <c r="I1508" s="4">
        <v>-1</v>
      </c>
      <c r="J1508" s="3">
        <v>0.05</v>
      </c>
      <c r="K1508" s="4">
        <v>1</v>
      </c>
      <c r="L1508" t="s">
        <v>172</v>
      </c>
      <c r="M1508" t="s">
        <v>171</v>
      </c>
      <c r="N1508" s="3">
        <v>0.51334702258726905</v>
      </c>
      <c r="O1508" s="3">
        <v>0</v>
      </c>
      <c r="P1508">
        <v>22.5</v>
      </c>
      <c r="Q1508">
        <v>5.5</v>
      </c>
      <c r="R1508" t="s">
        <v>102</v>
      </c>
      <c r="S1508">
        <v>0</v>
      </c>
      <c r="T1508" s="6">
        <f>10^-(14-Q1508)</f>
        <v>3.1622776601683779E-9</v>
      </c>
      <c r="U1508" s="6">
        <v>0</v>
      </c>
      <c r="V1508" s="6">
        <v>0</v>
      </c>
      <c r="W1508" s="6">
        <v>0</v>
      </c>
      <c r="X1508" s="6">
        <v>0</v>
      </c>
      <c r="Y1508" t="s">
        <v>171</v>
      </c>
      <c r="Z1508" s="5">
        <v>-170</v>
      </c>
      <c r="AD1508">
        <v>0.16666666666666666</v>
      </c>
      <c r="AE1508">
        <v>923</v>
      </c>
      <c r="AF1508">
        <v>1</v>
      </c>
      <c r="AH1508" s="9">
        <v>2</v>
      </c>
      <c r="AI1508" s="9">
        <v>1</v>
      </c>
      <c r="AJ1508" s="9">
        <v>4.4999999999999998E-2</v>
      </c>
      <c r="AK1508" s="9">
        <v>5.0000000000000001E-3</v>
      </c>
      <c r="AL1508" s="9">
        <v>18</v>
      </c>
      <c r="AM1508" s="9">
        <v>10</v>
      </c>
      <c r="AN1508" s="9">
        <v>8</v>
      </c>
    </row>
    <row r="1509" spans="1:41" x14ac:dyDescent="0.3">
      <c r="A1509" t="s">
        <v>1288</v>
      </c>
      <c r="B1509" s="8" t="s">
        <v>1585</v>
      </c>
      <c r="C1509">
        <v>71</v>
      </c>
      <c r="D1509" s="8" t="s">
        <v>1623</v>
      </c>
      <c r="E1509">
        <v>1200</v>
      </c>
      <c r="G1509" t="s">
        <v>29</v>
      </c>
      <c r="H1509">
        <v>5.5</v>
      </c>
      <c r="I1509" s="4">
        <v>-1</v>
      </c>
      <c r="J1509" s="3">
        <v>0.05</v>
      </c>
      <c r="K1509" s="4">
        <v>1</v>
      </c>
      <c r="L1509" t="s">
        <v>172</v>
      </c>
      <c r="M1509" t="s">
        <v>171</v>
      </c>
      <c r="N1509" s="3">
        <v>0.51334702258726905</v>
      </c>
      <c r="O1509" s="3">
        <v>0</v>
      </c>
      <c r="P1509">
        <v>22.5</v>
      </c>
      <c r="Q1509">
        <v>5.5</v>
      </c>
      <c r="R1509" t="s">
        <v>102</v>
      </c>
      <c r="S1509">
        <v>0</v>
      </c>
      <c r="T1509" s="6">
        <f>10^-(14-Q1509)</f>
        <v>3.1622776601683779E-9</v>
      </c>
      <c r="U1509" s="6">
        <v>0</v>
      </c>
      <c r="V1509" s="6">
        <v>0</v>
      </c>
      <c r="W1509" s="6">
        <v>0</v>
      </c>
      <c r="X1509" s="6">
        <v>0</v>
      </c>
      <c r="Y1509" t="s">
        <v>171</v>
      </c>
      <c r="Z1509" s="5">
        <v>-312</v>
      </c>
      <c r="AD1509">
        <v>0.16666666666666666</v>
      </c>
      <c r="AE1509">
        <v>891</v>
      </c>
      <c r="AF1509">
        <v>1</v>
      </c>
      <c r="AH1509" s="9">
        <v>2</v>
      </c>
      <c r="AI1509" s="9">
        <v>1</v>
      </c>
      <c r="AJ1509" s="9">
        <v>4.4999999999999998E-2</v>
      </c>
      <c r="AK1509" s="9">
        <v>5.0000000000000001E-3</v>
      </c>
      <c r="AL1509" s="9">
        <v>18</v>
      </c>
      <c r="AM1509" s="9">
        <v>10</v>
      </c>
      <c r="AN1509" s="9">
        <v>8</v>
      </c>
    </row>
    <row r="1510" spans="1:41" x14ac:dyDescent="0.3">
      <c r="A1510" t="s">
        <v>1289</v>
      </c>
      <c r="B1510" s="8" t="s">
        <v>1585</v>
      </c>
      <c r="C1510">
        <v>71</v>
      </c>
      <c r="D1510" s="8" t="s">
        <v>1623</v>
      </c>
      <c r="E1510">
        <v>1200</v>
      </c>
      <c r="G1510" t="s">
        <v>29</v>
      </c>
      <c r="H1510">
        <v>5.5</v>
      </c>
      <c r="I1510" s="4">
        <v>-1</v>
      </c>
      <c r="J1510" s="3">
        <v>0.05</v>
      </c>
      <c r="K1510" s="4">
        <v>1</v>
      </c>
      <c r="L1510" t="s">
        <v>172</v>
      </c>
      <c r="M1510" t="s">
        <v>171</v>
      </c>
      <c r="N1510" s="3">
        <v>0.51334702258726905</v>
      </c>
      <c r="O1510" s="3">
        <v>0</v>
      </c>
      <c r="P1510">
        <v>22.5</v>
      </c>
      <c r="Q1510">
        <v>5.5</v>
      </c>
      <c r="R1510" t="s">
        <v>102</v>
      </c>
      <c r="S1510">
        <v>0</v>
      </c>
      <c r="T1510" s="6">
        <f>10^-(14-Q1510)</f>
        <v>3.1622776601683779E-9</v>
      </c>
      <c r="U1510" s="6">
        <v>0</v>
      </c>
      <c r="V1510" s="6">
        <v>0</v>
      </c>
      <c r="W1510" s="6">
        <v>0</v>
      </c>
      <c r="X1510" s="6">
        <v>0</v>
      </c>
      <c r="Y1510" t="s">
        <v>171</v>
      </c>
      <c r="Z1510" s="5">
        <v>-437</v>
      </c>
      <c r="AD1510">
        <v>0.16666666666666666</v>
      </c>
      <c r="AE1510">
        <v>885</v>
      </c>
      <c r="AF1510">
        <v>1</v>
      </c>
      <c r="AH1510" s="9">
        <v>2</v>
      </c>
      <c r="AI1510" s="9">
        <v>1</v>
      </c>
      <c r="AJ1510" s="9">
        <v>4.4999999999999998E-2</v>
      </c>
      <c r="AK1510" s="9">
        <v>5.0000000000000001E-3</v>
      </c>
      <c r="AL1510" s="9">
        <v>18</v>
      </c>
      <c r="AM1510" s="9">
        <v>10</v>
      </c>
      <c r="AN1510" s="9">
        <v>8</v>
      </c>
    </row>
    <row r="1511" spans="1:41" x14ac:dyDescent="0.3">
      <c r="A1511" t="s">
        <v>1290</v>
      </c>
      <c r="B1511" s="8" t="s">
        <v>1585</v>
      </c>
      <c r="C1511">
        <v>71</v>
      </c>
      <c r="D1511" s="8" t="s">
        <v>1623</v>
      </c>
      <c r="E1511">
        <v>1200</v>
      </c>
      <c r="G1511" t="s">
        <v>29</v>
      </c>
      <c r="H1511">
        <v>5.5</v>
      </c>
      <c r="I1511" s="4">
        <v>-1</v>
      </c>
      <c r="J1511" s="3">
        <v>0.05</v>
      </c>
      <c r="K1511" s="4">
        <v>1</v>
      </c>
      <c r="L1511" t="s">
        <v>172</v>
      </c>
      <c r="M1511" t="s">
        <v>171</v>
      </c>
      <c r="N1511" s="3">
        <v>0.51334702258726905</v>
      </c>
      <c r="O1511" s="3">
        <v>0</v>
      </c>
      <c r="P1511">
        <v>22.5</v>
      </c>
      <c r="Q1511">
        <v>5.5</v>
      </c>
      <c r="R1511" t="s">
        <v>102</v>
      </c>
      <c r="S1511">
        <v>0</v>
      </c>
      <c r="T1511" s="6">
        <f>10^-(14-Q1511)</f>
        <v>3.1622776601683779E-9</v>
      </c>
      <c r="U1511" s="6">
        <v>0</v>
      </c>
      <c r="V1511" s="6">
        <v>0</v>
      </c>
      <c r="W1511" s="6">
        <v>0</v>
      </c>
      <c r="X1511" s="6">
        <v>0</v>
      </c>
      <c r="Y1511" t="s">
        <v>171</v>
      </c>
      <c r="Z1511" s="5">
        <v>-552</v>
      </c>
      <c r="AD1511">
        <v>0.16666666666666666</v>
      </c>
      <c r="AE1511">
        <v>942</v>
      </c>
      <c r="AF1511">
        <v>1</v>
      </c>
      <c r="AH1511" s="9">
        <v>2</v>
      </c>
      <c r="AI1511" s="9">
        <v>1</v>
      </c>
      <c r="AJ1511" s="9">
        <v>4.4999999999999998E-2</v>
      </c>
      <c r="AK1511" s="9">
        <v>5.0000000000000001E-3</v>
      </c>
      <c r="AL1511" s="9">
        <v>18</v>
      </c>
      <c r="AM1511" s="9">
        <v>10</v>
      </c>
      <c r="AN1511" s="9">
        <v>8</v>
      </c>
    </row>
    <row r="1512" spans="1:41" x14ac:dyDescent="0.3">
      <c r="A1512" t="s">
        <v>1291</v>
      </c>
      <c r="B1512" s="8" t="s">
        <v>1585</v>
      </c>
      <c r="C1512">
        <v>71</v>
      </c>
      <c r="D1512" s="8" t="s">
        <v>1624</v>
      </c>
      <c r="E1512">
        <v>1200</v>
      </c>
      <c r="G1512" t="s">
        <v>29</v>
      </c>
      <c r="H1512">
        <v>5.5</v>
      </c>
      <c r="I1512" s="4">
        <v>-1</v>
      </c>
      <c r="J1512" s="3">
        <v>0.05</v>
      </c>
      <c r="K1512" s="4">
        <v>1</v>
      </c>
      <c r="L1512" t="s">
        <v>172</v>
      </c>
      <c r="M1512" t="s">
        <v>171</v>
      </c>
      <c r="N1512" s="3">
        <v>0.51334702258726905</v>
      </c>
      <c r="O1512" s="3">
        <v>0</v>
      </c>
      <c r="P1512">
        <v>22.5</v>
      </c>
      <c r="Q1512">
        <v>5.5</v>
      </c>
      <c r="R1512" t="s">
        <v>102</v>
      </c>
      <c r="S1512">
        <v>0</v>
      </c>
      <c r="T1512" s="6">
        <f>10^-(14-Q1512)</f>
        <v>3.1622776601683779E-9</v>
      </c>
      <c r="U1512" s="6">
        <v>0</v>
      </c>
      <c r="V1512" s="6">
        <v>0</v>
      </c>
      <c r="W1512" s="6">
        <v>0</v>
      </c>
      <c r="X1512" s="6">
        <v>0</v>
      </c>
      <c r="Y1512" t="s">
        <v>171</v>
      </c>
      <c r="Z1512" s="5">
        <v>-580</v>
      </c>
      <c r="AD1512">
        <v>0.16666666666666666</v>
      </c>
      <c r="AE1512">
        <v>246</v>
      </c>
      <c r="AF1512">
        <v>1</v>
      </c>
      <c r="AH1512" s="9">
        <v>2</v>
      </c>
      <c r="AI1512" s="9">
        <v>1</v>
      </c>
      <c r="AJ1512" s="9">
        <v>4.4999999999999998E-2</v>
      </c>
      <c r="AK1512" s="9">
        <v>5.0000000000000001E-3</v>
      </c>
      <c r="AL1512" s="9">
        <v>18</v>
      </c>
      <c r="AM1512" s="9">
        <v>14</v>
      </c>
      <c r="AN1512" s="9">
        <v>3</v>
      </c>
    </row>
    <row r="1513" spans="1:41" x14ac:dyDescent="0.3">
      <c r="A1513" t="s">
        <v>1292</v>
      </c>
      <c r="B1513" s="8" t="s">
        <v>1585</v>
      </c>
      <c r="C1513">
        <v>71</v>
      </c>
      <c r="D1513" s="8" t="s">
        <v>1624</v>
      </c>
      <c r="E1513">
        <v>1200</v>
      </c>
      <c r="G1513" t="s">
        <v>29</v>
      </c>
      <c r="H1513">
        <v>5.5</v>
      </c>
      <c r="I1513" s="4">
        <v>-1</v>
      </c>
      <c r="J1513" s="3">
        <v>0.05</v>
      </c>
      <c r="K1513" s="4">
        <v>1</v>
      </c>
      <c r="L1513" t="s">
        <v>172</v>
      </c>
      <c r="M1513" t="s">
        <v>171</v>
      </c>
      <c r="N1513" s="3">
        <v>0.51334702258726905</v>
      </c>
      <c r="O1513" s="3">
        <v>0</v>
      </c>
      <c r="P1513">
        <v>22.5</v>
      </c>
      <c r="Q1513">
        <v>5.5</v>
      </c>
      <c r="R1513" t="s">
        <v>102</v>
      </c>
      <c r="S1513">
        <v>0</v>
      </c>
      <c r="T1513" s="6">
        <f>10^-(14-Q1513)</f>
        <v>3.1622776601683779E-9</v>
      </c>
      <c r="U1513" s="6">
        <v>0</v>
      </c>
      <c r="V1513" s="6">
        <v>0</v>
      </c>
      <c r="W1513" s="6">
        <v>0</v>
      </c>
      <c r="X1513" s="6">
        <v>0</v>
      </c>
      <c r="Y1513" t="s">
        <v>171</v>
      </c>
      <c r="Z1513" s="5">
        <v>-501</v>
      </c>
      <c r="AD1513">
        <v>0.16666666666666666</v>
      </c>
      <c r="AE1513">
        <v>443</v>
      </c>
      <c r="AF1513">
        <v>1</v>
      </c>
      <c r="AH1513" s="9">
        <v>2</v>
      </c>
      <c r="AI1513" s="9">
        <v>1</v>
      </c>
      <c r="AJ1513" s="9">
        <v>4.4999999999999998E-2</v>
      </c>
      <c r="AK1513" s="9">
        <v>5.0000000000000001E-3</v>
      </c>
      <c r="AL1513" s="9">
        <v>18</v>
      </c>
      <c r="AM1513" s="9">
        <v>14</v>
      </c>
      <c r="AN1513" s="9">
        <v>3</v>
      </c>
    </row>
    <row r="1514" spans="1:41" x14ac:dyDescent="0.3">
      <c r="A1514" t="s">
        <v>1293</v>
      </c>
      <c r="B1514" s="8" t="s">
        <v>1585</v>
      </c>
      <c r="C1514">
        <v>71</v>
      </c>
      <c r="D1514" s="8" t="s">
        <v>1624</v>
      </c>
      <c r="E1514">
        <v>1200</v>
      </c>
      <c r="G1514" t="s">
        <v>29</v>
      </c>
      <c r="H1514">
        <v>5.5</v>
      </c>
      <c r="I1514" s="4">
        <v>-1</v>
      </c>
      <c r="J1514" s="3">
        <v>0.05</v>
      </c>
      <c r="K1514" s="4">
        <v>1</v>
      </c>
      <c r="L1514" t="s">
        <v>172</v>
      </c>
      <c r="M1514" t="s">
        <v>171</v>
      </c>
      <c r="N1514" s="3">
        <v>0.51334702258726905</v>
      </c>
      <c r="O1514" s="3">
        <v>0</v>
      </c>
      <c r="P1514">
        <v>22.5</v>
      </c>
      <c r="Q1514">
        <v>5.5</v>
      </c>
      <c r="R1514" t="s">
        <v>102</v>
      </c>
      <c r="S1514">
        <v>0</v>
      </c>
      <c r="T1514" s="6">
        <f>10^-(14-Q1514)</f>
        <v>3.1622776601683779E-9</v>
      </c>
      <c r="U1514" s="6">
        <v>0</v>
      </c>
      <c r="V1514" s="6">
        <v>0</v>
      </c>
      <c r="W1514" s="6">
        <v>0</v>
      </c>
      <c r="X1514" s="6">
        <v>0</v>
      </c>
      <c r="Y1514" t="s">
        <v>171</v>
      </c>
      <c r="Z1514" s="5">
        <v>-488</v>
      </c>
      <c r="AD1514">
        <v>0.16666666666666666</v>
      </c>
      <c r="AE1514">
        <v>441</v>
      </c>
      <c r="AF1514">
        <v>1</v>
      </c>
      <c r="AH1514" s="9">
        <v>2</v>
      </c>
      <c r="AI1514" s="9">
        <v>1</v>
      </c>
      <c r="AJ1514" s="9">
        <v>4.4999999999999998E-2</v>
      </c>
      <c r="AK1514" s="9">
        <v>5.0000000000000001E-3</v>
      </c>
      <c r="AL1514" s="9">
        <v>18</v>
      </c>
      <c r="AM1514" s="9">
        <v>14</v>
      </c>
      <c r="AN1514" s="9">
        <v>3</v>
      </c>
    </row>
    <row r="1515" spans="1:41" x14ac:dyDescent="0.3">
      <c r="A1515" t="s">
        <v>1294</v>
      </c>
      <c r="B1515" s="8" t="s">
        <v>1585</v>
      </c>
      <c r="C1515">
        <v>71</v>
      </c>
      <c r="D1515" s="8" t="s">
        <v>1624</v>
      </c>
      <c r="E1515">
        <v>1200</v>
      </c>
      <c r="G1515" t="s">
        <v>29</v>
      </c>
      <c r="H1515">
        <v>5.5</v>
      </c>
      <c r="I1515" s="4">
        <v>-1</v>
      </c>
      <c r="J1515" s="3">
        <v>0.05</v>
      </c>
      <c r="K1515" s="4">
        <v>1</v>
      </c>
      <c r="L1515" t="s">
        <v>172</v>
      </c>
      <c r="M1515" t="s">
        <v>171</v>
      </c>
      <c r="N1515" s="3">
        <v>0.51334702258726905</v>
      </c>
      <c r="O1515" s="3">
        <v>0</v>
      </c>
      <c r="P1515">
        <v>22.5</v>
      </c>
      <c r="Q1515">
        <v>5.5</v>
      </c>
      <c r="R1515" t="s">
        <v>102</v>
      </c>
      <c r="S1515">
        <v>0</v>
      </c>
      <c r="T1515" s="6">
        <f>10^-(14-Q1515)</f>
        <v>3.1622776601683779E-9</v>
      </c>
      <c r="U1515" s="6">
        <v>0</v>
      </c>
      <c r="V1515" s="6">
        <v>0</v>
      </c>
      <c r="W1515" s="6">
        <v>0</v>
      </c>
      <c r="X1515" s="6">
        <v>0</v>
      </c>
      <c r="Y1515" t="s">
        <v>171</v>
      </c>
      <c r="Z1515" s="5">
        <v>-560</v>
      </c>
      <c r="AD1515">
        <v>0.16666666666666666</v>
      </c>
      <c r="AE1515">
        <v>121</v>
      </c>
      <c r="AF1515">
        <v>1</v>
      </c>
      <c r="AH1515" s="9">
        <v>2</v>
      </c>
      <c r="AI1515" s="9">
        <v>1</v>
      </c>
      <c r="AJ1515" s="9">
        <v>4.4999999999999998E-2</v>
      </c>
      <c r="AK1515" s="9">
        <v>5.0000000000000001E-3</v>
      </c>
      <c r="AL1515" s="9">
        <v>18</v>
      </c>
      <c r="AM1515" s="9">
        <v>14</v>
      </c>
      <c r="AN1515" s="9">
        <v>3</v>
      </c>
    </row>
    <row r="1516" spans="1:41" x14ac:dyDescent="0.3">
      <c r="A1516" t="s">
        <v>1295</v>
      </c>
      <c r="B1516" s="8" t="s">
        <v>1585</v>
      </c>
      <c r="C1516">
        <v>71</v>
      </c>
      <c r="D1516" s="8" t="s">
        <v>1624</v>
      </c>
      <c r="E1516">
        <v>1200</v>
      </c>
      <c r="G1516" t="s">
        <v>29</v>
      </c>
      <c r="H1516">
        <v>5.5</v>
      </c>
      <c r="I1516" s="4">
        <v>-1</v>
      </c>
      <c r="J1516" s="3">
        <v>0.05</v>
      </c>
      <c r="K1516" s="4">
        <v>1</v>
      </c>
      <c r="L1516" t="s">
        <v>172</v>
      </c>
      <c r="M1516" t="s">
        <v>171</v>
      </c>
      <c r="N1516" s="3">
        <v>0.51334702258726905</v>
      </c>
      <c r="O1516" s="3">
        <v>0</v>
      </c>
      <c r="P1516">
        <v>22.5</v>
      </c>
      <c r="Q1516">
        <v>5.5</v>
      </c>
      <c r="R1516" t="s">
        <v>102</v>
      </c>
      <c r="S1516">
        <v>0</v>
      </c>
      <c r="T1516" s="6">
        <f>10^-(14-Q1516)</f>
        <v>3.1622776601683779E-9</v>
      </c>
      <c r="U1516" s="6">
        <v>0</v>
      </c>
      <c r="V1516" s="6">
        <v>0</v>
      </c>
      <c r="W1516" s="6">
        <v>0</v>
      </c>
      <c r="X1516" s="6">
        <v>0</v>
      </c>
      <c r="Y1516" t="s">
        <v>171</v>
      </c>
      <c r="Z1516" s="5">
        <v>-563</v>
      </c>
      <c r="AD1516">
        <v>0.16666666666666666</v>
      </c>
      <c r="AE1516">
        <v>76</v>
      </c>
      <c r="AF1516">
        <v>1</v>
      </c>
      <c r="AH1516" s="9">
        <v>2</v>
      </c>
      <c r="AI1516" s="9">
        <v>1</v>
      </c>
      <c r="AJ1516" s="9">
        <v>4.4999999999999998E-2</v>
      </c>
      <c r="AK1516" s="9">
        <v>5.0000000000000001E-3</v>
      </c>
      <c r="AL1516" s="9">
        <v>18</v>
      </c>
      <c r="AM1516" s="9">
        <v>14</v>
      </c>
      <c r="AN1516" s="9">
        <v>3</v>
      </c>
    </row>
    <row r="1517" spans="1:41" x14ac:dyDescent="0.3">
      <c r="A1517" t="s">
        <v>1296</v>
      </c>
      <c r="B1517" s="8" t="s">
        <v>1585</v>
      </c>
      <c r="C1517">
        <v>71</v>
      </c>
      <c r="D1517" s="8" t="s">
        <v>1624</v>
      </c>
      <c r="E1517">
        <v>1200</v>
      </c>
      <c r="G1517" t="s">
        <v>29</v>
      </c>
      <c r="H1517">
        <v>5.5</v>
      </c>
      <c r="I1517" s="4">
        <v>-1</v>
      </c>
      <c r="J1517" s="3">
        <v>0.05</v>
      </c>
      <c r="K1517" s="4">
        <v>1</v>
      </c>
      <c r="L1517" t="s">
        <v>172</v>
      </c>
      <c r="M1517" t="s">
        <v>171</v>
      </c>
      <c r="N1517" s="3">
        <v>0.51334702258726905</v>
      </c>
      <c r="O1517" s="3">
        <v>0</v>
      </c>
      <c r="P1517">
        <v>22.5</v>
      </c>
      <c r="Q1517">
        <v>5.5</v>
      </c>
      <c r="R1517" t="s">
        <v>102</v>
      </c>
      <c r="S1517">
        <v>0</v>
      </c>
      <c r="T1517" s="6">
        <f>10^-(14-Q1517)</f>
        <v>3.1622776601683779E-9</v>
      </c>
      <c r="U1517" s="6">
        <v>0</v>
      </c>
      <c r="V1517" s="6">
        <v>0</v>
      </c>
      <c r="W1517" s="6">
        <v>0</v>
      </c>
      <c r="X1517" s="6">
        <v>0</v>
      </c>
      <c r="Y1517" t="s">
        <v>171</v>
      </c>
      <c r="Z1517" s="5">
        <v>-290</v>
      </c>
      <c r="AD1517">
        <v>0.16666666666666666</v>
      </c>
      <c r="AE1517">
        <v>464</v>
      </c>
      <c r="AF1517">
        <v>1</v>
      </c>
      <c r="AH1517" s="9">
        <v>2</v>
      </c>
      <c r="AI1517" s="9">
        <v>1</v>
      </c>
      <c r="AJ1517" s="9">
        <v>4.4999999999999998E-2</v>
      </c>
      <c r="AK1517" s="9">
        <v>5.0000000000000001E-3</v>
      </c>
      <c r="AL1517" s="9">
        <v>18</v>
      </c>
      <c r="AM1517" s="9">
        <v>14</v>
      </c>
      <c r="AN1517" s="9">
        <v>3</v>
      </c>
    </row>
    <row r="1518" spans="1:41" x14ac:dyDescent="0.3">
      <c r="A1518" t="s">
        <v>1297</v>
      </c>
      <c r="B1518" s="8" t="s">
        <v>1585</v>
      </c>
      <c r="C1518">
        <v>71</v>
      </c>
      <c r="D1518" s="8" t="s">
        <v>1625</v>
      </c>
      <c r="E1518">
        <v>1200</v>
      </c>
      <c r="G1518" t="s">
        <v>29</v>
      </c>
      <c r="H1518">
        <v>5.5</v>
      </c>
      <c r="I1518" s="4">
        <v>-1</v>
      </c>
      <c r="J1518" s="3">
        <v>0.05</v>
      </c>
      <c r="K1518" s="4">
        <v>1</v>
      </c>
      <c r="L1518" t="s">
        <v>172</v>
      </c>
      <c r="M1518" t="s">
        <v>171</v>
      </c>
      <c r="N1518" s="3">
        <v>0.51334702258726905</v>
      </c>
      <c r="O1518" s="3">
        <v>0</v>
      </c>
      <c r="P1518">
        <v>22.5</v>
      </c>
      <c r="Q1518">
        <v>5.5</v>
      </c>
      <c r="R1518" t="s">
        <v>102</v>
      </c>
      <c r="S1518">
        <v>0</v>
      </c>
      <c r="T1518" s="6">
        <f>10^-(14-Q1518)</f>
        <v>3.1622776601683779E-9</v>
      </c>
      <c r="U1518" s="6">
        <v>0</v>
      </c>
      <c r="V1518" s="6">
        <v>0</v>
      </c>
      <c r="W1518" s="6">
        <v>0</v>
      </c>
      <c r="X1518" s="6">
        <v>0</v>
      </c>
      <c r="Y1518" t="s">
        <v>171</v>
      </c>
      <c r="Z1518" s="5">
        <v>-222</v>
      </c>
      <c r="AD1518">
        <v>0.16666666666666666</v>
      </c>
      <c r="AE1518">
        <v>322</v>
      </c>
      <c r="AF1518">
        <v>1</v>
      </c>
      <c r="AH1518" s="9">
        <v>2</v>
      </c>
      <c r="AI1518" s="9">
        <v>1</v>
      </c>
      <c r="AJ1518" s="9">
        <v>4.4999999999999998E-2</v>
      </c>
      <c r="AK1518" s="9">
        <v>5.0000000000000001E-3</v>
      </c>
      <c r="AL1518" s="9">
        <v>18</v>
      </c>
      <c r="AM1518" s="9">
        <v>22</v>
      </c>
      <c r="AN1518" s="9">
        <v>3</v>
      </c>
    </row>
    <row r="1519" spans="1:41" x14ac:dyDescent="0.3">
      <c r="A1519" t="s">
        <v>1298</v>
      </c>
      <c r="B1519" s="8" t="s">
        <v>1585</v>
      </c>
      <c r="C1519">
        <v>71</v>
      </c>
      <c r="D1519" s="8" t="s">
        <v>1625</v>
      </c>
      <c r="E1519">
        <v>1200</v>
      </c>
      <c r="G1519" t="s">
        <v>29</v>
      </c>
      <c r="H1519">
        <v>5.5</v>
      </c>
      <c r="I1519" s="4">
        <v>-1</v>
      </c>
      <c r="J1519" s="3">
        <v>0.05</v>
      </c>
      <c r="K1519" s="4">
        <v>1</v>
      </c>
      <c r="L1519" t="s">
        <v>172</v>
      </c>
      <c r="M1519" t="s">
        <v>171</v>
      </c>
      <c r="N1519" s="3">
        <v>0.51334702258726905</v>
      </c>
      <c r="O1519" s="3">
        <v>0</v>
      </c>
      <c r="P1519">
        <v>22.5</v>
      </c>
      <c r="Q1519">
        <v>5.5</v>
      </c>
      <c r="R1519" t="s">
        <v>102</v>
      </c>
      <c r="S1519">
        <v>0</v>
      </c>
      <c r="T1519" s="6">
        <f>10^-(14-Q1519)</f>
        <v>3.1622776601683779E-9</v>
      </c>
      <c r="U1519" s="6">
        <v>0</v>
      </c>
      <c r="V1519" s="6">
        <v>0</v>
      </c>
      <c r="W1519" s="6">
        <v>0</v>
      </c>
      <c r="X1519" s="6">
        <v>0</v>
      </c>
      <c r="Y1519" t="s">
        <v>171</v>
      </c>
      <c r="Z1519" s="5">
        <v>-429</v>
      </c>
      <c r="AD1519">
        <v>0.16666666666666666</v>
      </c>
      <c r="AE1519">
        <v>271</v>
      </c>
      <c r="AF1519">
        <v>1</v>
      </c>
      <c r="AH1519" s="9">
        <v>2</v>
      </c>
      <c r="AI1519" s="9">
        <v>1</v>
      </c>
      <c r="AJ1519" s="9">
        <v>4.4999999999999998E-2</v>
      </c>
      <c r="AK1519" s="9">
        <v>5.0000000000000001E-3</v>
      </c>
      <c r="AL1519" s="9">
        <v>18</v>
      </c>
      <c r="AM1519" s="9">
        <v>22</v>
      </c>
      <c r="AN1519" s="9">
        <v>3</v>
      </c>
    </row>
    <row r="1520" spans="1:41" x14ac:dyDescent="0.3">
      <c r="A1520" t="s">
        <v>1299</v>
      </c>
      <c r="B1520" s="8" t="s">
        <v>1585</v>
      </c>
      <c r="C1520">
        <v>71</v>
      </c>
      <c r="D1520" s="8" t="s">
        <v>1625</v>
      </c>
      <c r="E1520">
        <v>1200</v>
      </c>
      <c r="G1520" t="s">
        <v>29</v>
      </c>
      <c r="H1520">
        <v>5.5</v>
      </c>
      <c r="I1520" s="4">
        <v>-1</v>
      </c>
      <c r="J1520" s="3">
        <v>0.05</v>
      </c>
      <c r="K1520" s="4">
        <v>1</v>
      </c>
      <c r="L1520" t="s">
        <v>172</v>
      </c>
      <c r="M1520" t="s">
        <v>171</v>
      </c>
      <c r="N1520" s="3">
        <v>0.51334702258726905</v>
      </c>
      <c r="O1520" s="3">
        <v>0</v>
      </c>
      <c r="P1520">
        <v>22.5</v>
      </c>
      <c r="Q1520">
        <v>5.5</v>
      </c>
      <c r="R1520" t="s">
        <v>102</v>
      </c>
      <c r="S1520">
        <v>0</v>
      </c>
      <c r="T1520" s="6">
        <f>10^-(14-Q1520)</f>
        <v>3.1622776601683779E-9</v>
      </c>
      <c r="U1520" s="6">
        <v>0</v>
      </c>
      <c r="V1520" s="6">
        <v>0</v>
      </c>
      <c r="W1520" s="6">
        <v>0</v>
      </c>
      <c r="X1520" s="6">
        <v>0</v>
      </c>
      <c r="Y1520" t="s">
        <v>171</v>
      </c>
      <c r="Z1520" s="5">
        <v>-486</v>
      </c>
      <c r="AD1520">
        <v>0.16666666666666666</v>
      </c>
      <c r="AE1520">
        <v>292</v>
      </c>
      <c r="AF1520">
        <v>1</v>
      </c>
      <c r="AH1520" s="9">
        <v>2</v>
      </c>
      <c r="AI1520" s="9">
        <v>1</v>
      </c>
      <c r="AJ1520" s="9">
        <v>4.4999999999999998E-2</v>
      </c>
      <c r="AK1520" s="9">
        <v>5.0000000000000001E-3</v>
      </c>
      <c r="AL1520" s="9">
        <v>18</v>
      </c>
      <c r="AM1520" s="9">
        <v>22</v>
      </c>
      <c r="AN1520" s="9">
        <v>3</v>
      </c>
    </row>
    <row r="1521" spans="1:40" x14ac:dyDescent="0.3">
      <c r="A1521" t="s">
        <v>1300</v>
      </c>
      <c r="B1521" s="8" t="s">
        <v>1585</v>
      </c>
      <c r="C1521">
        <v>71</v>
      </c>
      <c r="D1521" s="8" t="s">
        <v>1625</v>
      </c>
      <c r="E1521">
        <v>1200</v>
      </c>
      <c r="G1521" t="s">
        <v>29</v>
      </c>
      <c r="H1521">
        <v>5.5</v>
      </c>
      <c r="I1521" s="4">
        <v>-1</v>
      </c>
      <c r="J1521" s="3">
        <v>0.05</v>
      </c>
      <c r="K1521" s="4">
        <v>1</v>
      </c>
      <c r="L1521" t="s">
        <v>172</v>
      </c>
      <c r="M1521" t="s">
        <v>171</v>
      </c>
      <c r="N1521" s="3">
        <v>0.51334702258726905</v>
      </c>
      <c r="O1521" s="3">
        <v>0</v>
      </c>
      <c r="P1521">
        <v>22.5</v>
      </c>
      <c r="Q1521">
        <v>5.5</v>
      </c>
      <c r="R1521" t="s">
        <v>102</v>
      </c>
      <c r="S1521">
        <v>0</v>
      </c>
      <c r="T1521" s="6">
        <f>10^-(14-Q1521)</f>
        <v>3.1622776601683779E-9</v>
      </c>
      <c r="U1521" s="6">
        <v>0</v>
      </c>
      <c r="V1521" s="6">
        <v>0</v>
      </c>
      <c r="W1521" s="6">
        <v>0</v>
      </c>
      <c r="X1521" s="6">
        <v>0</v>
      </c>
      <c r="Y1521" t="s">
        <v>171</v>
      </c>
      <c r="Z1521" s="5">
        <v>-556</v>
      </c>
      <c r="AD1521">
        <v>0.16666666666666666</v>
      </c>
      <c r="AE1521">
        <v>140</v>
      </c>
      <c r="AF1521">
        <v>1</v>
      </c>
      <c r="AH1521" s="9">
        <v>2</v>
      </c>
      <c r="AI1521" s="9">
        <v>1</v>
      </c>
      <c r="AJ1521" s="9">
        <v>4.4999999999999998E-2</v>
      </c>
      <c r="AK1521" s="9">
        <v>5.0000000000000001E-3</v>
      </c>
      <c r="AL1521" s="9">
        <v>18</v>
      </c>
      <c r="AM1521" s="9">
        <v>22</v>
      </c>
      <c r="AN1521" s="9">
        <v>3</v>
      </c>
    </row>
    <row r="1522" spans="1:40" x14ac:dyDescent="0.3">
      <c r="A1522" t="s">
        <v>1301</v>
      </c>
      <c r="B1522" s="8" t="s">
        <v>1585</v>
      </c>
      <c r="C1522">
        <v>71</v>
      </c>
      <c r="D1522" s="8" t="s">
        <v>1625</v>
      </c>
      <c r="E1522">
        <v>1200</v>
      </c>
      <c r="G1522" t="s">
        <v>29</v>
      </c>
      <c r="H1522">
        <v>5.5</v>
      </c>
      <c r="I1522" s="4">
        <v>-1</v>
      </c>
      <c r="J1522" s="3">
        <v>0.05</v>
      </c>
      <c r="K1522" s="4">
        <v>1</v>
      </c>
      <c r="L1522" t="s">
        <v>172</v>
      </c>
      <c r="M1522" t="s">
        <v>171</v>
      </c>
      <c r="N1522" s="3">
        <v>0.51334702258726905</v>
      </c>
      <c r="O1522" s="3">
        <v>0</v>
      </c>
      <c r="P1522">
        <v>22.5</v>
      </c>
      <c r="Q1522">
        <v>5.5</v>
      </c>
      <c r="R1522" t="s">
        <v>102</v>
      </c>
      <c r="S1522">
        <v>0</v>
      </c>
      <c r="T1522" s="6">
        <f>10^-(14-Q1522)</f>
        <v>3.1622776601683779E-9</v>
      </c>
      <c r="U1522" s="6">
        <v>0</v>
      </c>
      <c r="V1522" s="6">
        <v>0</v>
      </c>
      <c r="W1522" s="6">
        <v>0</v>
      </c>
      <c r="X1522" s="6">
        <v>0</v>
      </c>
      <c r="Y1522" t="s">
        <v>171</v>
      </c>
      <c r="Z1522" s="5">
        <v>-196</v>
      </c>
      <c r="AD1522">
        <v>0.16666666666666666</v>
      </c>
      <c r="AE1522">
        <v>157</v>
      </c>
      <c r="AF1522">
        <v>1</v>
      </c>
      <c r="AH1522" s="9">
        <v>2</v>
      </c>
      <c r="AI1522" s="9">
        <v>1</v>
      </c>
      <c r="AJ1522" s="9">
        <v>4.4999999999999998E-2</v>
      </c>
      <c r="AK1522" s="9">
        <v>5.0000000000000001E-3</v>
      </c>
      <c r="AL1522" s="9">
        <v>18</v>
      </c>
      <c r="AM1522" s="9">
        <v>22</v>
      </c>
      <c r="AN1522" s="9">
        <v>3</v>
      </c>
    </row>
    <row r="1523" spans="1:40" x14ac:dyDescent="0.3">
      <c r="A1523" t="s">
        <v>1302</v>
      </c>
      <c r="B1523" s="8" t="s">
        <v>1585</v>
      </c>
      <c r="C1523">
        <v>71</v>
      </c>
      <c r="D1523" s="8" t="s">
        <v>1625</v>
      </c>
      <c r="E1523">
        <v>1200</v>
      </c>
      <c r="G1523" t="s">
        <v>29</v>
      </c>
      <c r="H1523">
        <v>5.5</v>
      </c>
      <c r="I1523" s="4">
        <v>-1</v>
      </c>
      <c r="J1523" s="3">
        <v>0.05</v>
      </c>
      <c r="K1523" s="4">
        <v>1</v>
      </c>
      <c r="L1523" t="s">
        <v>172</v>
      </c>
      <c r="M1523" t="s">
        <v>171</v>
      </c>
      <c r="N1523" s="3">
        <v>0.51334702258726905</v>
      </c>
      <c r="O1523" s="3">
        <v>0</v>
      </c>
      <c r="P1523">
        <v>22.5</v>
      </c>
      <c r="Q1523">
        <v>5.5</v>
      </c>
      <c r="R1523" t="s">
        <v>102</v>
      </c>
      <c r="S1523">
        <v>0</v>
      </c>
      <c r="T1523" s="6">
        <f>10^-(14-Q1523)</f>
        <v>3.1622776601683779E-9</v>
      </c>
      <c r="U1523" s="6">
        <v>0</v>
      </c>
      <c r="V1523" s="6">
        <v>0</v>
      </c>
      <c r="W1523" s="6">
        <v>0</v>
      </c>
      <c r="X1523" s="6">
        <v>0</v>
      </c>
      <c r="Y1523" t="s">
        <v>171</v>
      </c>
      <c r="Z1523" s="5">
        <v>-330</v>
      </c>
      <c r="AD1523">
        <v>0.16666666666666666</v>
      </c>
      <c r="AE1523">
        <v>220</v>
      </c>
      <c r="AF1523">
        <v>1</v>
      </c>
      <c r="AH1523" s="9">
        <v>2</v>
      </c>
      <c r="AI1523" s="9">
        <v>1</v>
      </c>
      <c r="AJ1523" s="9">
        <v>4.4999999999999998E-2</v>
      </c>
      <c r="AK1523" s="9">
        <v>5.0000000000000001E-3</v>
      </c>
      <c r="AL1523" s="9">
        <v>18</v>
      </c>
      <c r="AM1523" s="9">
        <v>22</v>
      </c>
      <c r="AN1523" s="9">
        <v>3</v>
      </c>
    </row>
    <row r="1524" spans="1:40" x14ac:dyDescent="0.3">
      <c r="A1524" t="s">
        <v>1303</v>
      </c>
      <c r="B1524" s="8" t="s">
        <v>1585</v>
      </c>
      <c r="C1524">
        <v>71</v>
      </c>
      <c r="D1524" s="8" t="s">
        <v>1626</v>
      </c>
      <c r="E1524">
        <v>1200</v>
      </c>
      <c r="G1524" t="s">
        <v>29</v>
      </c>
      <c r="H1524">
        <v>5.5</v>
      </c>
      <c r="I1524" s="4">
        <v>-1</v>
      </c>
      <c r="J1524" s="3">
        <v>0.05</v>
      </c>
      <c r="K1524" s="4">
        <v>1</v>
      </c>
      <c r="L1524" t="s">
        <v>172</v>
      </c>
      <c r="M1524" t="s">
        <v>171</v>
      </c>
      <c r="N1524" s="3">
        <v>0.51334702258726905</v>
      </c>
      <c r="O1524" s="3">
        <v>0</v>
      </c>
      <c r="P1524">
        <v>22.5</v>
      </c>
      <c r="Q1524">
        <v>5.5</v>
      </c>
      <c r="R1524" t="s">
        <v>102</v>
      </c>
      <c r="S1524">
        <v>0</v>
      </c>
      <c r="T1524" s="6">
        <f>10^-(14-Q1524)</f>
        <v>3.1622776601683779E-9</v>
      </c>
      <c r="U1524" s="6">
        <v>0</v>
      </c>
      <c r="V1524" s="6">
        <v>0</v>
      </c>
      <c r="W1524" s="6">
        <v>0</v>
      </c>
      <c r="X1524" s="6">
        <v>0</v>
      </c>
      <c r="Y1524" t="s">
        <v>171</v>
      </c>
      <c r="Z1524" s="5">
        <v>-504</v>
      </c>
      <c r="AD1524">
        <v>0.16666666666666666</v>
      </c>
      <c r="AE1524">
        <v>324</v>
      </c>
      <c r="AF1524">
        <v>1</v>
      </c>
      <c r="AH1524" s="9">
        <v>2</v>
      </c>
      <c r="AI1524" s="9">
        <v>1</v>
      </c>
      <c r="AJ1524" s="9">
        <v>4.4999999999999998E-2</v>
      </c>
      <c r="AK1524" s="9">
        <v>5.0000000000000001E-3</v>
      </c>
      <c r="AL1524" s="9">
        <v>18</v>
      </c>
      <c r="AM1524" s="9">
        <v>14</v>
      </c>
      <c r="AN1524" s="9">
        <v>8</v>
      </c>
    </row>
    <row r="1525" spans="1:40" x14ac:dyDescent="0.3">
      <c r="A1525" t="s">
        <v>1304</v>
      </c>
      <c r="B1525" s="8" t="s">
        <v>1585</v>
      </c>
      <c r="C1525">
        <v>71</v>
      </c>
      <c r="D1525" s="8" t="s">
        <v>1626</v>
      </c>
      <c r="E1525">
        <v>1200</v>
      </c>
      <c r="G1525" t="s">
        <v>29</v>
      </c>
      <c r="H1525">
        <v>5.5</v>
      </c>
      <c r="I1525" s="4">
        <v>-1</v>
      </c>
      <c r="J1525" s="3">
        <v>0.05</v>
      </c>
      <c r="K1525" s="4">
        <v>1</v>
      </c>
      <c r="L1525" t="s">
        <v>172</v>
      </c>
      <c r="M1525" t="s">
        <v>171</v>
      </c>
      <c r="N1525" s="3">
        <v>0.51334702258726905</v>
      </c>
      <c r="O1525" s="3">
        <v>0</v>
      </c>
      <c r="P1525">
        <v>22.5</v>
      </c>
      <c r="Q1525">
        <v>5.5</v>
      </c>
      <c r="R1525" t="s">
        <v>102</v>
      </c>
      <c r="S1525">
        <v>0</v>
      </c>
      <c r="T1525" s="6">
        <f>10^-(14-Q1525)</f>
        <v>3.1622776601683779E-9</v>
      </c>
      <c r="U1525" s="6">
        <v>0</v>
      </c>
      <c r="V1525" s="6">
        <v>0</v>
      </c>
      <c r="W1525" s="6">
        <v>0</v>
      </c>
      <c r="X1525" s="6">
        <v>0</v>
      </c>
      <c r="Y1525" t="s">
        <v>171</v>
      </c>
      <c r="Z1525" s="5">
        <v>-568</v>
      </c>
      <c r="AD1525">
        <v>0.16666666666666666</v>
      </c>
      <c r="AE1525">
        <v>250</v>
      </c>
      <c r="AF1525">
        <v>1</v>
      </c>
      <c r="AH1525" s="9">
        <v>2</v>
      </c>
      <c r="AI1525" s="9">
        <v>1</v>
      </c>
      <c r="AJ1525" s="9">
        <v>4.4999999999999998E-2</v>
      </c>
      <c r="AK1525" s="9">
        <v>5.0000000000000001E-3</v>
      </c>
      <c r="AL1525" s="9">
        <v>18</v>
      </c>
      <c r="AM1525" s="9">
        <v>14</v>
      </c>
      <c r="AN1525" s="9">
        <v>8</v>
      </c>
    </row>
    <row r="1526" spans="1:40" x14ac:dyDescent="0.3">
      <c r="A1526" t="s">
        <v>1305</v>
      </c>
      <c r="B1526" s="8" t="s">
        <v>1585</v>
      </c>
      <c r="C1526">
        <v>71</v>
      </c>
      <c r="D1526" s="8" t="s">
        <v>1626</v>
      </c>
      <c r="E1526">
        <v>1200</v>
      </c>
      <c r="G1526" t="s">
        <v>29</v>
      </c>
      <c r="H1526">
        <v>5.5</v>
      </c>
      <c r="I1526" s="4">
        <v>-1</v>
      </c>
      <c r="J1526" s="3">
        <v>0.05</v>
      </c>
      <c r="K1526" s="4">
        <v>1</v>
      </c>
      <c r="L1526" t="s">
        <v>172</v>
      </c>
      <c r="M1526" t="s">
        <v>171</v>
      </c>
      <c r="N1526" s="3">
        <v>0.51334702258726905</v>
      </c>
      <c r="O1526" s="3">
        <v>0</v>
      </c>
      <c r="P1526">
        <v>22.5</v>
      </c>
      <c r="Q1526">
        <v>5.5</v>
      </c>
      <c r="R1526" t="s">
        <v>102</v>
      </c>
      <c r="S1526">
        <v>0</v>
      </c>
      <c r="T1526" s="6">
        <f>10^-(14-Q1526)</f>
        <v>3.1622776601683779E-9</v>
      </c>
      <c r="U1526" s="6">
        <v>0</v>
      </c>
      <c r="V1526" s="6">
        <v>0</v>
      </c>
      <c r="W1526" s="6">
        <v>0</v>
      </c>
      <c r="X1526" s="6">
        <v>0</v>
      </c>
      <c r="Y1526" t="s">
        <v>171</v>
      </c>
      <c r="Z1526" s="5">
        <v>-673</v>
      </c>
      <c r="AD1526">
        <v>0.16666666666666666</v>
      </c>
      <c r="AE1526">
        <v>359</v>
      </c>
      <c r="AF1526">
        <v>1</v>
      </c>
      <c r="AH1526" s="9">
        <v>2</v>
      </c>
      <c r="AI1526" s="9">
        <v>1</v>
      </c>
      <c r="AJ1526" s="9">
        <v>4.4999999999999998E-2</v>
      </c>
      <c r="AK1526" s="9">
        <v>5.0000000000000001E-3</v>
      </c>
      <c r="AL1526" s="9">
        <v>18</v>
      </c>
      <c r="AM1526" s="9">
        <v>14</v>
      </c>
      <c r="AN1526" s="9">
        <v>8</v>
      </c>
    </row>
    <row r="1527" spans="1:40" x14ac:dyDescent="0.3">
      <c r="A1527" t="s">
        <v>1306</v>
      </c>
      <c r="B1527" s="8" t="s">
        <v>1585</v>
      </c>
      <c r="C1527">
        <v>71</v>
      </c>
      <c r="D1527" s="8" t="s">
        <v>1626</v>
      </c>
      <c r="E1527">
        <v>1200</v>
      </c>
      <c r="G1527" t="s">
        <v>29</v>
      </c>
      <c r="H1527">
        <v>5.5</v>
      </c>
      <c r="I1527" s="4">
        <v>-1</v>
      </c>
      <c r="J1527" s="3">
        <v>0.05</v>
      </c>
      <c r="K1527" s="4">
        <v>1</v>
      </c>
      <c r="L1527" t="s">
        <v>172</v>
      </c>
      <c r="M1527" t="s">
        <v>171</v>
      </c>
      <c r="N1527" s="3">
        <v>0.51334702258726905</v>
      </c>
      <c r="O1527" s="3">
        <v>0</v>
      </c>
      <c r="P1527">
        <v>22.5</v>
      </c>
      <c r="Q1527">
        <v>5.5</v>
      </c>
      <c r="R1527" t="s">
        <v>102</v>
      </c>
      <c r="S1527">
        <v>0</v>
      </c>
      <c r="T1527" s="6">
        <f>10^-(14-Q1527)</f>
        <v>3.1622776601683779E-9</v>
      </c>
      <c r="U1527" s="6">
        <v>0</v>
      </c>
      <c r="V1527" s="6">
        <v>0</v>
      </c>
      <c r="W1527" s="6">
        <v>0</v>
      </c>
      <c r="X1527" s="6">
        <v>0</v>
      </c>
      <c r="Y1527" t="s">
        <v>171</v>
      </c>
      <c r="Z1527" s="5">
        <v>-436</v>
      </c>
      <c r="AD1527">
        <v>0.16666666666666666</v>
      </c>
      <c r="AE1527">
        <v>193</v>
      </c>
      <c r="AF1527">
        <v>1</v>
      </c>
      <c r="AH1527" s="9">
        <v>2</v>
      </c>
      <c r="AI1527" s="9">
        <v>1</v>
      </c>
      <c r="AJ1527" s="9">
        <v>4.4999999999999998E-2</v>
      </c>
      <c r="AK1527" s="9">
        <v>5.0000000000000001E-3</v>
      </c>
      <c r="AL1527" s="9">
        <v>18</v>
      </c>
      <c r="AM1527" s="9">
        <v>14</v>
      </c>
      <c r="AN1527" s="9">
        <v>8</v>
      </c>
    </row>
    <row r="1528" spans="1:40" x14ac:dyDescent="0.3">
      <c r="A1528" t="s">
        <v>1307</v>
      </c>
      <c r="B1528" s="8" t="s">
        <v>1585</v>
      </c>
      <c r="C1528">
        <v>71</v>
      </c>
      <c r="D1528" s="8" t="s">
        <v>1626</v>
      </c>
      <c r="E1528">
        <v>1200</v>
      </c>
      <c r="G1528" t="s">
        <v>29</v>
      </c>
      <c r="H1528">
        <v>5.5</v>
      </c>
      <c r="I1528" s="4">
        <v>-1</v>
      </c>
      <c r="J1528" s="3">
        <v>0.05</v>
      </c>
      <c r="K1528" s="4">
        <v>1</v>
      </c>
      <c r="L1528" t="s">
        <v>172</v>
      </c>
      <c r="M1528" t="s">
        <v>171</v>
      </c>
      <c r="N1528" s="3">
        <v>0.51334702258726905</v>
      </c>
      <c r="O1528" s="3">
        <v>0</v>
      </c>
      <c r="P1528">
        <v>22.5</v>
      </c>
      <c r="Q1528">
        <v>5.5</v>
      </c>
      <c r="R1528" t="s">
        <v>102</v>
      </c>
      <c r="S1528">
        <v>0</v>
      </c>
      <c r="T1528" s="6">
        <f>10^-(14-Q1528)</f>
        <v>3.1622776601683779E-9</v>
      </c>
      <c r="U1528" s="6">
        <v>0</v>
      </c>
      <c r="V1528" s="6">
        <v>0</v>
      </c>
      <c r="W1528" s="6">
        <v>0</v>
      </c>
      <c r="X1528" s="6">
        <v>0</v>
      </c>
      <c r="Y1528" t="s">
        <v>171</v>
      </c>
      <c r="Z1528" s="5">
        <v>-503</v>
      </c>
      <c r="AD1528">
        <v>0.16666666666666666</v>
      </c>
      <c r="AE1528">
        <v>158</v>
      </c>
      <c r="AF1528">
        <v>1</v>
      </c>
      <c r="AH1528" s="9">
        <v>2</v>
      </c>
      <c r="AI1528" s="9">
        <v>1</v>
      </c>
      <c r="AJ1528" s="9">
        <v>4.4999999999999998E-2</v>
      </c>
      <c r="AK1528" s="9">
        <v>5.0000000000000001E-3</v>
      </c>
      <c r="AL1528" s="9">
        <v>18</v>
      </c>
      <c r="AM1528" s="9">
        <v>14</v>
      </c>
      <c r="AN1528" s="9">
        <v>8</v>
      </c>
    </row>
    <row r="1529" spans="1:40" x14ac:dyDescent="0.3">
      <c r="A1529" t="s">
        <v>1308</v>
      </c>
      <c r="B1529" s="8" t="s">
        <v>1585</v>
      </c>
      <c r="C1529">
        <v>71</v>
      </c>
      <c r="D1529" s="8" t="s">
        <v>1626</v>
      </c>
      <c r="E1529">
        <v>1200</v>
      </c>
      <c r="G1529" t="s">
        <v>29</v>
      </c>
      <c r="H1529">
        <v>5.5</v>
      </c>
      <c r="I1529" s="4">
        <v>-1</v>
      </c>
      <c r="J1529" s="3">
        <v>0.05</v>
      </c>
      <c r="K1529" s="4">
        <v>1</v>
      </c>
      <c r="L1529" t="s">
        <v>172</v>
      </c>
      <c r="M1529" t="s">
        <v>171</v>
      </c>
      <c r="N1529" s="3">
        <v>0.51334702258726905</v>
      </c>
      <c r="O1529" s="3">
        <v>0</v>
      </c>
      <c r="P1529">
        <v>22.5</v>
      </c>
      <c r="Q1529">
        <v>5.5</v>
      </c>
      <c r="R1529" t="s">
        <v>102</v>
      </c>
      <c r="S1529">
        <v>0</v>
      </c>
      <c r="T1529" s="6">
        <f>10^-(14-Q1529)</f>
        <v>3.1622776601683779E-9</v>
      </c>
      <c r="U1529" s="6">
        <v>0</v>
      </c>
      <c r="V1529" s="6">
        <v>0</v>
      </c>
      <c r="W1529" s="6">
        <v>0</v>
      </c>
      <c r="X1529" s="6">
        <v>0</v>
      </c>
      <c r="Y1529" t="s">
        <v>171</v>
      </c>
      <c r="Z1529" s="5">
        <v>-583</v>
      </c>
      <c r="AD1529">
        <v>0.16666666666666666</v>
      </c>
      <c r="AE1529">
        <v>81</v>
      </c>
      <c r="AF1529">
        <v>1</v>
      </c>
      <c r="AH1529" s="9">
        <v>2</v>
      </c>
      <c r="AI1529" s="9">
        <v>1</v>
      </c>
      <c r="AJ1529" s="9">
        <v>4.4999999999999998E-2</v>
      </c>
      <c r="AK1529" s="9">
        <v>5.0000000000000001E-3</v>
      </c>
      <c r="AL1529" s="9">
        <v>18</v>
      </c>
      <c r="AM1529" s="9">
        <v>14</v>
      </c>
      <c r="AN1529" s="9">
        <v>8</v>
      </c>
    </row>
    <row r="1530" spans="1:40" x14ac:dyDescent="0.3">
      <c r="A1530" t="s">
        <v>1309</v>
      </c>
      <c r="B1530" s="8" t="s">
        <v>1585</v>
      </c>
      <c r="C1530">
        <v>71</v>
      </c>
      <c r="D1530" s="8" t="s">
        <v>1627</v>
      </c>
      <c r="E1530">
        <v>1200</v>
      </c>
      <c r="G1530" t="s">
        <v>29</v>
      </c>
      <c r="H1530">
        <v>5.5</v>
      </c>
      <c r="I1530" s="4">
        <v>-1</v>
      </c>
      <c r="J1530" s="3">
        <v>0.05</v>
      </c>
      <c r="K1530" s="4">
        <v>1</v>
      </c>
      <c r="L1530" t="s">
        <v>172</v>
      </c>
      <c r="M1530" t="s">
        <v>171</v>
      </c>
      <c r="N1530" s="3">
        <v>0.51334702258726905</v>
      </c>
      <c r="O1530" s="3">
        <v>0</v>
      </c>
      <c r="P1530">
        <v>22.5</v>
      </c>
      <c r="Q1530">
        <v>5.5</v>
      </c>
      <c r="R1530" t="s">
        <v>102</v>
      </c>
      <c r="S1530">
        <v>0</v>
      </c>
      <c r="T1530" s="6">
        <f>10^-(14-Q1530)</f>
        <v>3.1622776601683779E-9</v>
      </c>
      <c r="U1530" s="6">
        <v>0</v>
      </c>
      <c r="V1530" s="6">
        <v>0</v>
      </c>
      <c r="W1530" s="6">
        <v>0</v>
      </c>
      <c r="X1530" s="6">
        <v>0</v>
      </c>
      <c r="Y1530" t="s">
        <v>171</v>
      </c>
      <c r="Z1530" s="5">
        <v>-123</v>
      </c>
      <c r="AD1530">
        <v>0.16666666666666666</v>
      </c>
      <c r="AE1530">
        <v>334</v>
      </c>
      <c r="AF1530">
        <v>1</v>
      </c>
      <c r="AH1530" s="9">
        <v>0.5</v>
      </c>
      <c r="AI1530" s="9">
        <v>1</v>
      </c>
      <c r="AJ1530" s="9">
        <v>4.4999999999999998E-2</v>
      </c>
      <c r="AK1530" s="9">
        <v>5.0000000000000001E-3</v>
      </c>
      <c r="AL1530" s="9">
        <v>18</v>
      </c>
      <c r="AM1530" s="9">
        <v>14</v>
      </c>
      <c r="AN1530" s="9">
        <v>3</v>
      </c>
    </row>
    <row r="1531" spans="1:40" x14ac:dyDescent="0.3">
      <c r="A1531" t="s">
        <v>1310</v>
      </c>
      <c r="B1531" s="8" t="s">
        <v>1585</v>
      </c>
      <c r="C1531">
        <v>71</v>
      </c>
      <c r="D1531" s="8" t="s">
        <v>1627</v>
      </c>
      <c r="E1531">
        <v>1200</v>
      </c>
      <c r="G1531" t="s">
        <v>29</v>
      </c>
      <c r="H1531">
        <v>5.5</v>
      </c>
      <c r="I1531" s="4">
        <v>-1</v>
      </c>
      <c r="J1531" s="3">
        <v>0.05</v>
      </c>
      <c r="K1531" s="4">
        <v>1</v>
      </c>
      <c r="L1531" t="s">
        <v>172</v>
      </c>
      <c r="M1531" t="s">
        <v>171</v>
      </c>
      <c r="N1531" s="3">
        <v>0.51334702258726905</v>
      </c>
      <c r="O1531" s="3">
        <v>0</v>
      </c>
      <c r="P1531">
        <v>22.5</v>
      </c>
      <c r="Q1531">
        <v>5.5</v>
      </c>
      <c r="R1531" t="s">
        <v>102</v>
      </c>
      <c r="S1531">
        <v>0</v>
      </c>
      <c r="T1531" s="6">
        <f>10^-(14-Q1531)</f>
        <v>3.1622776601683779E-9</v>
      </c>
      <c r="U1531" s="6">
        <v>0</v>
      </c>
      <c r="V1531" s="6">
        <v>0</v>
      </c>
      <c r="W1531" s="6">
        <v>0</v>
      </c>
      <c r="X1531" s="6">
        <v>0</v>
      </c>
      <c r="Y1531" t="s">
        <v>171</v>
      </c>
      <c r="Z1531" s="5">
        <v>-208</v>
      </c>
      <c r="AD1531">
        <v>0.16666666666666666</v>
      </c>
      <c r="AE1531">
        <v>278</v>
      </c>
      <c r="AF1531">
        <v>1</v>
      </c>
      <c r="AH1531" s="9">
        <v>0.5</v>
      </c>
      <c r="AI1531" s="9">
        <v>1</v>
      </c>
      <c r="AJ1531" s="9">
        <v>4.4999999999999998E-2</v>
      </c>
      <c r="AK1531" s="9">
        <v>5.0000000000000001E-3</v>
      </c>
      <c r="AL1531" s="9">
        <v>18</v>
      </c>
      <c r="AM1531" s="9">
        <v>14</v>
      </c>
      <c r="AN1531" s="9">
        <v>3</v>
      </c>
    </row>
    <row r="1532" spans="1:40" x14ac:dyDescent="0.3">
      <c r="A1532" t="s">
        <v>1311</v>
      </c>
      <c r="B1532" s="8" t="s">
        <v>1585</v>
      </c>
      <c r="C1532">
        <v>71</v>
      </c>
      <c r="D1532" s="8" t="s">
        <v>1627</v>
      </c>
      <c r="E1532">
        <v>1200</v>
      </c>
      <c r="G1532" t="s">
        <v>29</v>
      </c>
      <c r="H1532">
        <v>5.5</v>
      </c>
      <c r="I1532" s="4">
        <v>-1</v>
      </c>
      <c r="J1532" s="3">
        <v>0.05</v>
      </c>
      <c r="K1532" s="4">
        <v>1</v>
      </c>
      <c r="L1532" t="s">
        <v>172</v>
      </c>
      <c r="M1532" t="s">
        <v>171</v>
      </c>
      <c r="N1532" s="3">
        <v>0.51334702258726905</v>
      </c>
      <c r="O1532" s="3">
        <v>0</v>
      </c>
      <c r="P1532">
        <v>22.5</v>
      </c>
      <c r="Q1532">
        <v>5.5</v>
      </c>
      <c r="R1532" t="s">
        <v>102</v>
      </c>
      <c r="S1532">
        <v>0</v>
      </c>
      <c r="T1532" s="6">
        <f>10^-(14-Q1532)</f>
        <v>3.1622776601683779E-9</v>
      </c>
      <c r="U1532" s="6">
        <v>0</v>
      </c>
      <c r="V1532" s="6">
        <v>0</v>
      </c>
      <c r="W1532" s="6">
        <v>0</v>
      </c>
      <c r="X1532" s="6">
        <v>0</v>
      </c>
      <c r="Y1532" t="s">
        <v>171</v>
      </c>
      <c r="Z1532" s="5">
        <v>-184</v>
      </c>
      <c r="AD1532">
        <v>0.16666666666666666</v>
      </c>
      <c r="AE1532">
        <v>162</v>
      </c>
      <c r="AF1532">
        <v>1</v>
      </c>
      <c r="AH1532" s="9">
        <v>0.5</v>
      </c>
      <c r="AI1532" s="9">
        <v>1</v>
      </c>
      <c r="AJ1532" s="9">
        <v>4.4999999999999998E-2</v>
      </c>
      <c r="AK1532" s="9">
        <v>5.0000000000000001E-3</v>
      </c>
      <c r="AL1532" s="9">
        <v>18</v>
      </c>
      <c r="AM1532" s="9">
        <v>14</v>
      </c>
      <c r="AN1532" s="9">
        <v>3</v>
      </c>
    </row>
    <row r="1533" spans="1:40" x14ac:dyDescent="0.3">
      <c r="A1533" t="s">
        <v>1312</v>
      </c>
      <c r="B1533" s="8" t="s">
        <v>1585</v>
      </c>
      <c r="C1533">
        <v>71</v>
      </c>
      <c r="D1533" s="8" t="s">
        <v>1627</v>
      </c>
      <c r="E1533">
        <v>1200</v>
      </c>
      <c r="G1533" t="s">
        <v>29</v>
      </c>
      <c r="H1533">
        <v>5.5</v>
      </c>
      <c r="I1533" s="4">
        <v>-1</v>
      </c>
      <c r="J1533" s="3">
        <v>0.05</v>
      </c>
      <c r="K1533" s="4">
        <v>1</v>
      </c>
      <c r="L1533" t="s">
        <v>172</v>
      </c>
      <c r="M1533" t="s">
        <v>171</v>
      </c>
      <c r="N1533" s="3">
        <v>0.51334702258726905</v>
      </c>
      <c r="O1533" s="3">
        <v>0</v>
      </c>
      <c r="P1533">
        <v>22.5</v>
      </c>
      <c r="Q1533">
        <v>5.5</v>
      </c>
      <c r="R1533" t="s">
        <v>102</v>
      </c>
      <c r="S1533">
        <v>0</v>
      </c>
      <c r="T1533" s="6">
        <f>10^-(14-Q1533)</f>
        <v>3.1622776601683779E-9</v>
      </c>
      <c r="U1533" s="6">
        <v>0</v>
      </c>
      <c r="V1533" s="6">
        <v>0</v>
      </c>
      <c r="W1533" s="6">
        <v>0</v>
      </c>
      <c r="X1533" s="6">
        <v>0</v>
      </c>
      <c r="Y1533" t="s">
        <v>171</v>
      </c>
      <c r="Z1533" s="5">
        <v>-65</v>
      </c>
      <c r="AD1533">
        <v>0.16666666666666666</v>
      </c>
      <c r="AE1533">
        <v>495</v>
      </c>
      <c r="AF1533">
        <v>1</v>
      </c>
      <c r="AH1533" s="9">
        <v>0.5</v>
      </c>
      <c r="AI1533" s="9">
        <v>1</v>
      </c>
      <c r="AJ1533" s="9">
        <v>4.4999999999999998E-2</v>
      </c>
      <c r="AK1533" s="9">
        <v>5.0000000000000001E-3</v>
      </c>
      <c r="AL1533" s="9">
        <v>18</v>
      </c>
      <c r="AM1533" s="9">
        <v>14</v>
      </c>
      <c r="AN1533" s="9">
        <v>3</v>
      </c>
    </row>
    <row r="1534" spans="1:40" x14ac:dyDescent="0.3">
      <c r="A1534" t="s">
        <v>1313</v>
      </c>
      <c r="B1534" s="8" t="s">
        <v>1585</v>
      </c>
      <c r="C1534">
        <v>71</v>
      </c>
      <c r="D1534" s="8" t="s">
        <v>1627</v>
      </c>
      <c r="E1534">
        <v>1200</v>
      </c>
      <c r="G1534" t="s">
        <v>29</v>
      </c>
      <c r="H1534">
        <v>5.5</v>
      </c>
      <c r="I1534" s="4">
        <v>-1</v>
      </c>
      <c r="J1534" s="3">
        <v>0.05</v>
      </c>
      <c r="K1534" s="4">
        <v>1</v>
      </c>
      <c r="L1534" t="s">
        <v>172</v>
      </c>
      <c r="M1534" t="s">
        <v>171</v>
      </c>
      <c r="N1534" s="3">
        <v>0.51334702258726905</v>
      </c>
      <c r="O1534" s="3">
        <v>0</v>
      </c>
      <c r="P1534">
        <v>22.5</v>
      </c>
      <c r="Q1534">
        <v>5.5</v>
      </c>
      <c r="R1534" t="s">
        <v>102</v>
      </c>
      <c r="S1534">
        <v>0</v>
      </c>
      <c r="T1534" s="6">
        <f>10^-(14-Q1534)</f>
        <v>3.1622776601683779E-9</v>
      </c>
      <c r="U1534" s="6">
        <v>0</v>
      </c>
      <c r="V1534" s="6">
        <v>0</v>
      </c>
      <c r="W1534" s="6">
        <v>0</v>
      </c>
      <c r="X1534" s="6">
        <v>0</v>
      </c>
      <c r="Y1534" t="s">
        <v>171</v>
      </c>
      <c r="Z1534" s="5">
        <v>-232</v>
      </c>
      <c r="AD1534">
        <v>0.16666666666666666</v>
      </c>
      <c r="AE1534">
        <v>569</v>
      </c>
      <c r="AF1534">
        <v>1</v>
      </c>
      <c r="AH1534" s="9">
        <v>0.5</v>
      </c>
      <c r="AI1534" s="9">
        <v>1</v>
      </c>
      <c r="AJ1534" s="9">
        <v>4.4999999999999998E-2</v>
      </c>
      <c r="AK1534" s="9">
        <v>5.0000000000000001E-3</v>
      </c>
      <c r="AL1534" s="9">
        <v>18</v>
      </c>
      <c r="AM1534" s="9">
        <v>14</v>
      </c>
      <c r="AN1534" s="9">
        <v>3</v>
      </c>
    </row>
    <row r="1535" spans="1:40" x14ac:dyDescent="0.3">
      <c r="A1535" t="s">
        <v>1314</v>
      </c>
      <c r="B1535" s="8" t="s">
        <v>1585</v>
      </c>
      <c r="C1535">
        <v>71</v>
      </c>
      <c r="D1535" s="8" t="s">
        <v>1627</v>
      </c>
      <c r="E1535">
        <v>1200</v>
      </c>
      <c r="G1535" t="s">
        <v>29</v>
      </c>
      <c r="H1535">
        <v>5.5</v>
      </c>
      <c r="I1535" s="4">
        <v>-1</v>
      </c>
      <c r="J1535" s="3">
        <v>0.05</v>
      </c>
      <c r="K1535" s="4">
        <v>1</v>
      </c>
      <c r="L1535" t="s">
        <v>172</v>
      </c>
      <c r="M1535" t="s">
        <v>171</v>
      </c>
      <c r="N1535" s="3">
        <v>0.51334702258726905</v>
      </c>
      <c r="O1535" s="3">
        <v>0</v>
      </c>
      <c r="P1535">
        <v>22.5</v>
      </c>
      <c r="Q1535">
        <v>5.5</v>
      </c>
      <c r="R1535" t="s">
        <v>102</v>
      </c>
      <c r="S1535">
        <v>0</v>
      </c>
      <c r="T1535" s="6">
        <f>10^-(14-Q1535)</f>
        <v>3.1622776601683779E-9</v>
      </c>
      <c r="U1535" s="6">
        <v>0</v>
      </c>
      <c r="V1535" s="6">
        <v>0</v>
      </c>
      <c r="W1535" s="6">
        <v>0</v>
      </c>
      <c r="X1535" s="6">
        <v>0</v>
      </c>
      <c r="Y1535" t="s">
        <v>171</v>
      </c>
      <c r="Z1535" s="5">
        <v>-195</v>
      </c>
      <c r="AD1535">
        <v>0.16666666666666666</v>
      </c>
      <c r="AE1535">
        <v>296</v>
      </c>
      <c r="AF1535">
        <v>1</v>
      </c>
      <c r="AH1535" s="9">
        <v>0.5</v>
      </c>
      <c r="AI1535" s="9">
        <v>1</v>
      </c>
      <c r="AJ1535" s="9">
        <v>4.4999999999999998E-2</v>
      </c>
      <c r="AK1535" s="9">
        <v>5.0000000000000001E-3</v>
      </c>
      <c r="AL1535" s="9">
        <v>18</v>
      </c>
      <c r="AM1535" s="9">
        <v>14</v>
      </c>
      <c r="AN1535" s="9">
        <v>3</v>
      </c>
    </row>
    <row r="1536" spans="1:40" x14ac:dyDescent="0.3">
      <c r="A1536" t="s">
        <v>1315</v>
      </c>
      <c r="B1536" s="8" t="s">
        <v>1585</v>
      </c>
      <c r="C1536">
        <v>71</v>
      </c>
      <c r="D1536" s="8" t="s">
        <v>1628</v>
      </c>
      <c r="E1536">
        <v>1200</v>
      </c>
      <c r="G1536" t="s">
        <v>29</v>
      </c>
      <c r="H1536">
        <v>5.5</v>
      </c>
      <c r="I1536" s="4">
        <v>-1</v>
      </c>
      <c r="J1536" s="3">
        <v>0.05</v>
      </c>
      <c r="K1536" s="4">
        <v>1</v>
      </c>
      <c r="L1536" t="s">
        <v>172</v>
      </c>
      <c r="M1536" t="s">
        <v>171</v>
      </c>
      <c r="N1536" s="3">
        <v>0.51334702258726905</v>
      </c>
      <c r="O1536" s="3">
        <v>0</v>
      </c>
      <c r="P1536">
        <v>22.5</v>
      </c>
      <c r="Q1536">
        <v>5.5</v>
      </c>
      <c r="R1536" t="s">
        <v>102</v>
      </c>
      <c r="S1536">
        <v>0</v>
      </c>
      <c r="T1536" s="6">
        <f>10^-(14-Q1536)</f>
        <v>3.1622776601683779E-9</v>
      </c>
      <c r="U1536" s="6">
        <v>0</v>
      </c>
      <c r="V1536" s="6">
        <v>0</v>
      </c>
      <c r="W1536" s="6">
        <v>0</v>
      </c>
      <c r="X1536" s="6">
        <v>0</v>
      </c>
      <c r="Y1536" t="s">
        <v>171</v>
      </c>
      <c r="Z1536" s="5">
        <v>-366</v>
      </c>
      <c r="AD1536">
        <v>0.16666666666666666</v>
      </c>
      <c r="AE1536">
        <v>1006</v>
      </c>
      <c r="AF1536">
        <v>1</v>
      </c>
      <c r="AH1536" s="9">
        <v>2</v>
      </c>
      <c r="AI1536" s="9">
        <v>1</v>
      </c>
      <c r="AJ1536" s="9">
        <v>4.4999999999999998E-2</v>
      </c>
      <c r="AK1536" s="9">
        <v>5.0000000000000001E-3</v>
      </c>
      <c r="AL1536" s="9">
        <v>18</v>
      </c>
      <c r="AM1536" s="9">
        <v>10</v>
      </c>
      <c r="AN1536" s="9">
        <v>2</v>
      </c>
    </row>
    <row r="1537" spans="1:40" x14ac:dyDescent="0.3">
      <c r="A1537" t="s">
        <v>1316</v>
      </c>
      <c r="B1537" s="8" t="s">
        <v>1585</v>
      </c>
      <c r="C1537">
        <v>71</v>
      </c>
      <c r="D1537" s="8" t="s">
        <v>1628</v>
      </c>
      <c r="E1537">
        <v>1200</v>
      </c>
      <c r="G1537" t="s">
        <v>29</v>
      </c>
      <c r="H1537">
        <v>5.5</v>
      </c>
      <c r="I1537" s="4">
        <v>-1</v>
      </c>
      <c r="J1537" s="3">
        <v>0.05</v>
      </c>
      <c r="K1537" s="4">
        <v>1</v>
      </c>
      <c r="L1537" t="s">
        <v>172</v>
      </c>
      <c r="M1537" t="s">
        <v>171</v>
      </c>
      <c r="N1537" s="3">
        <v>0.51334702258726905</v>
      </c>
      <c r="O1537" s="3">
        <v>0</v>
      </c>
      <c r="P1537">
        <v>22.5</v>
      </c>
      <c r="Q1537">
        <v>5.5</v>
      </c>
      <c r="R1537" t="s">
        <v>102</v>
      </c>
      <c r="S1537">
        <v>0</v>
      </c>
      <c r="T1537" s="6">
        <f>10^-(14-Q1537)</f>
        <v>3.1622776601683779E-9</v>
      </c>
      <c r="U1537" s="6">
        <v>0</v>
      </c>
      <c r="V1537" s="6">
        <v>0</v>
      </c>
      <c r="W1537" s="6">
        <v>0</v>
      </c>
      <c r="X1537" s="6">
        <v>0</v>
      </c>
      <c r="Y1537" t="s">
        <v>171</v>
      </c>
      <c r="Z1537" s="5">
        <v>-130</v>
      </c>
      <c r="AD1537">
        <v>0.16666666666666666</v>
      </c>
      <c r="AE1537">
        <v>904</v>
      </c>
      <c r="AF1537">
        <v>1</v>
      </c>
      <c r="AH1537" s="9">
        <v>2</v>
      </c>
      <c r="AI1537" s="9">
        <v>1</v>
      </c>
      <c r="AJ1537" s="9">
        <v>4.4999999999999998E-2</v>
      </c>
      <c r="AK1537" s="9">
        <v>5.0000000000000001E-3</v>
      </c>
      <c r="AL1537" s="9">
        <v>18</v>
      </c>
      <c r="AM1537" s="9">
        <v>10</v>
      </c>
      <c r="AN1537" s="9">
        <v>2</v>
      </c>
    </row>
    <row r="1538" spans="1:40" x14ac:dyDescent="0.3">
      <c r="A1538" t="s">
        <v>1317</v>
      </c>
      <c r="B1538" s="8" t="s">
        <v>1585</v>
      </c>
      <c r="C1538">
        <v>71</v>
      </c>
      <c r="D1538" s="8" t="s">
        <v>1628</v>
      </c>
      <c r="E1538">
        <v>1200</v>
      </c>
      <c r="G1538" t="s">
        <v>29</v>
      </c>
      <c r="H1538">
        <v>5.5</v>
      </c>
      <c r="I1538" s="4">
        <v>-1</v>
      </c>
      <c r="J1538" s="3">
        <v>0.05</v>
      </c>
      <c r="K1538" s="4">
        <v>1</v>
      </c>
      <c r="L1538" t="s">
        <v>172</v>
      </c>
      <c r="M1538" t="s">
        <v>171</v>
      </c>
      <c r="N1538" s="3">
        <v>0.51334702258726905</v>
      </c>
      <c r="O1538" s="3">
        <v>0</v>
      </c>
      <c r="P1538">
        <v>22.5</v>
      </c>
      <c r="Q1538">
        <v>5.5</v>
      </c>
      <c r="R1538" t="s">
        <v>102</v>
      </c>
      <c r="S1538">
        <v>0</v>
      </c>
      <c r="T1538" s="6">
        <f>10^-(14-Q1538)</f>
        <v>3.1622776601683779E-9</v>
      </c>
      <c r="U1538" s="6">
        <v>0</v>
      </c>
      <c r="V1538" s="6">
        <v>0</v>
      </c>
      <c r="W1538" s="6">
        <v>0</v>
      </c>
      <c r="X1538" s="6">
        <v>0</v>
      </c>
      <c r="Y1538" t="s">
        <v>171</v>
      </c>
      <c r="Z1538" s="5">
        <v>-120</v>
      </c>
      <c r="AD1538">
        <v>0.16666666666666666</v>
      </c>
      <c r="AE1538">
        <v>911</v>
      </c>
      <c r="AF1538">
        <v>1</v>
      </c>
      <c r="AH1538" s="9">
        <v>2</v>
      </c>
      <c r="AI1538" s="9">
        <v>1</v>
      </c>
      <c r="AJ1538" s="9">
        <v>4.4999999999999998E-2</v>
      </c>
      <c r="AK1538" s="9">
        <v>5.0000000000000001E-3</v>
      </c>
      <c r="AL1538" s="9">
        <v>18</v>
      </c>
      <c r="AM1538" s="9">
        <v>10</v>
      </c>
      <c r="AN1538" s="9">
        <v>2</v>
      </c>
    </row>
    <row r="1539" spans="1:40" x14ac:dyDescent="0.3">
      <c r="A1539" t="s">
        <v>1318</v>
      </c>
      <c r="B1539" s="8" t="s">
        <v>1585</v>
      </c>
      <c r="C1539">
        <v>71</v>
      </c>
      <c r="D1539" s="8" t="s">
        <v>1628</v>
      </c>
      <c r="E1539">
        <v>1200</v>
      </c>
      <c r="G1539" t="s">
        <v>29</v>
      </c>
      <c r="H1539">
        <v>5.5</v>
      </c>
      <c r="I1539" s="4">
        <v>-1</v>
      </c>
      <c r="J1539" s="3">
        <v>0.05</v>
      </c>
      <c r="K1539" s="4">
        <v>1</v>
      </c>
      <c r="L1539" t="s">
        <v>172</v>
      </c>
      <c r="M1539" t="s">
        <v>171</v>
      </c>
      <c r="N1539" s="3">
        <v>0.51334702258726905</v>
      </c>
      <c r="O1539" s="3">
        <v>0</v>
      </c>
      <c r="P1539">
        <v>22.5</v>
      </c>
      <c r="Q1539">
        <v>5.5</v>
      </c>
      <c r="R1539" t="s">
        <v>102</v>
      </c>
      <c r="S1539">
        <v>0</v>
      </c>
      <c r="T1539" s="6">
        <f>10^-(14-Q1539)</f>
        <v>3.1622776601683779E-9</v>
      </c>
      <c r="U1539" s="6">
        <v>0</v>
      </c>
      <c r="V1539" s="6">
        <v>0</v>
      </c>
      <c r="W1539" s="6">
        <v>0</v>
      </c>
      <c r="X1539" s="6">
        <v>0</v>
      </c>
      <c r="Y1539" t="s">
        <v>171</v>
      </c>
      <c r="Z1539" s="5">
        <v>-71</v>
      </c>
      <c r="AD1539">
        <v>0.16666666666666666</v>
      </c>
      <c r="AE1539">
        <v>991</v>
      </c>
      <c r="AF1539">
        <v>1</v>
      </c>
      <c r="AH1539" s="9">
        <v>2</v>
      </c>
      <c r="AI1539" s="9">
        <v>1</v>
      </c>
      <c r="AJ1539" s="9">
        <v>4.4999999999999998E-2</v>
      </c>
      <c r="AK1539" s="9">
        <v>5.0000000000000001E-3</v>
      </c>
      <c r="AL1539" s="9">
        <v>18</v>
      </c>
      <c r="AM1539" s="9">
        <v>10</v>
      </c>
      <c r="AN1539" s="9">
        <v>2</v>
      </c>
    </row>
    <row r="1540" spans="1:40" x14ac:dyDescent="0.3">
      <c r="A1540" t="s">
        <v>1319</v>
      </c>
      <c r="B1540" s="8" t="s">
        <v>1585</v>
      </c>
      <c r="C1540">
        <v>71</v>
      </c>
      <c r="D1540" s="8" t="s">
        <v>1628</v>
      </c>
      <c r="E1540">
        <v>1200</v>
      </c>
      <c r="G1540" t="s">
        <v>29</v>
      </c>
      <c r="H1540">
        <v>5.5</v>
      </c>
      <c r="I1540" s="4">
        <v>-1</v>
      </c>
      <c r="J1540" s="3">
        <v>0.05</v>
      </c>
      <c r="K1540" s="4">
        <v>1</v>
      </c>
      <c r="L1540" t="s">
        <v>172</v>
      </c>
      <c r="M1540" t="s">
        <v>171</v>
      </c>
      <c r="N1540" s="3">
        <v>0.51334702258726905</v>
      </c>
      <c r="O1540" s="3">
        <v>0</v>
      </c>
      <c r="P1540">
        <v>22.5</v>
      </c>
      <c r="Q1540">
        <v>5.5</v>
      </c>
      <c r="R1540" t="s">
        <v>102</v>
      </c>
      <c r="S1540">
        <v>0</v>
      </c>
      <c r="T1540" s="6">
        <f>10^-(14-Q1540)</f>
        <v>3.1622776601683779E-9</v>
      </c>
      <c r="U1540" s="6">
        <v>0</v>
      </c>
      <c r="V1540" s="6">
        <v>0</v>
      </c>
      <c r="W1540" s="6">
        <v>0</v>
      </c>
      <c r="X1540" s="6">
        <v>0</v>
      </c>
      <c r="Y1540" t="s">
        <v>171</v>
      </c>
      <c r="Z1540" s="5">
        <v>-259</v>
      </c>
      <c r="AD1540">
        <v>0.16666666666666666</v>
      </c>
      <c r="AE1540">
        <v>906</v>
      </c>
      <c r="AF1540">
        <v>1</v>
      </c>
      <c r="AH1540" s="9">
        <v>2</v>
      </c>
      <c r="AI1540" s="9">
        <v>1</v>
      </c>
      <c r="AJ1540" s="9">
        <v>4.4999999999999998E-2</v>
      </c>
      <c r="AK1540" s="9">
        <v>5.0000000000000001E-3</v>
      </c>
      <c r="AL1540" s="9">
        <v>18</v>
      </c>
      <c r="AM1540" s="9">
        <v>10</v>
      </c>
      <c r="AN1540" s="9">
        <v>2</v>
      </c>
    </row>
    <row r="1541" spans="1:40" x14ac:dyDescent="0.3">
      <c r="A1541" t="s">
        <v>1320</v>
      </c>
      <c r="B1541" s="8" t="s">
        <v>1585</v>
      </c>
      <c r="C1541">
        <v>71</v>
      </c>
      <c r="D1541" s="8" t="s">
        <v>1628</v>
      </c>
      <c r="E1541">
        <v>1200</v>
      </c>
      <c r="G1541" t="s">
        <v>29</v>
      </c>
      <c r="H1541">
        <v>5.5</v>
      </c>
      <c r="I1541" s="4">
        <v>-1</v>
      </c>
      <c r="J1541" s="3">
        <v>0.05</v>
      </c>
      <c r="K1541" s="4">
        <v>1</v>
      </c>
      <c r="L1541" t="s">
        <v>172</v>
      </c>
      <c r="M1541" t="s">
        <v>171</v>
      </c>
      <c r="N1541" s="3">
        <v>0.51334702258726905</v>
      </c>
      <c r="O1541" s="3">
        <v>0</v>
      </c>
      <c r="P1541">
        <v>22.5</v>
      </c>
      <c r="Q1541">
        <v>5.5</v>
      </c>
      <c r="R1541" t="s">
        <v>102</v>
      </c>
      <c r="S1541">
        <v>0</v>
      </c>
      <c r="T1541" s="6">
        <f>10^-(14-Q1541)</f>
        <v>3.1622776601683779E-9</v>
      </c>
      <c r="U1541" s="6">
        <v>0</v>
      </c>
      <c r="V1541" s="6">
        <v>0</v>
      </c>
      <c r="W1541" s="6">
        <v>0</v>
      </c>
      <c r="X1541" s="6">
        <v>0</v>
      </c>
      <c r="Y1541" t="s">
        <v>171</v>
      </c>
      <c r="Z1541" s="5">
        <v>-246</v>
      </c>
      <c r="AD1541">
        <v>0.16666666666666666</v>
      </c>
      <c r="AE1541">
        <v>996</v>
      </c>
      <c r="AF1541">
        <v>1</v>
      </c>
      <c r="AH1541" s="9">
        <v>2</v>
      </c>
      <c r="AI1541" s="9">
        <v>1</v>
      </c>
      <c r="AJ1541" s="9">
        <v>4.4999999999999998E-2</v>
      </c>
      <c r="AK1541" s="9">
        <v>5.0000000000000001E-3</v>
      </c>
      <c r="AL1541" s="9">
        <v>18</v>
      </c>
      <c r="AM1541" s="9">
        <v>10</v>
      </c>
      <c r="AN1541" s="9">
        <v>2</v>
      </c>
    </row>
    <row r="1542" spans="1:40" x14ac:dyDescent="0.3">
      <c r="A1542" t="s">
        <v>1484</v>
      </c>
      <c r="B1542" s="1" t="s">
        <v>1595</v>
      </c>
      <c r="C1542">
        <v>72</v>
      </c>
      <c r="D1542" s="8">
        <v>1.4300999999999999</v>
      </c>
      <c r="E1542">
        <v>14000</v>
      </c>
      <c r="G1542" t="s">
        <v>29</v>
      </c>
      <c r="H1542" t="s">
        <v>987</v>
      </c>
      <c r="K1542" s="4">
        <f>1/3</f>
        <v>0.33333333333333331</v>
      </c>
      <c r="N1542" s="3">
        <v>8.5557837097878175E-2</v>
      </c>
      <c r="O1542" s="3">
        <v>0</v>
      </c>
      <c r="P1542">
        <v>22.5</v>
      </c>
      <c r="Q1542">
        <v>2</v>
      </c>
      <c r="R1542" t="s">
        <v>102</v>
      </c>
      <c r="S1542">
        <v>0</v>
      </c>
      <c r="T1542" s="6">
        <f>10^-(14-Q1542)</f>
        <v>9.9999999999999998E-13</v>
      </c>
      <c r="U1542" s="6">
        <v>0</v>
      </c>
      <c r="V1542" s="6">
        <v>0</v>
      </c>
      <c r="W1542" s="6">
        <v>0</v>
      </c>
      <c r="X1542" s="6">
        <v>0</v>
      </c>
      <c r="Y1542" t="s">
        <v>171</v>
      </c>
      <c r="Z1542" s="5">
        <v>-200</v>
      </c>
      <c r="AD1542">
        <v>0.4</v>
      </c>
      <c r="AE1542" s="1">
        <f>400-6.6/13.85*500</f>
        <v>161.73285198555956</v>
      </c>
      <c r="AF1542">
        <v>1</v>
      </c>
      <c r="AL1542" s="9">
        <v>18.190000000000001</v>
      </c>
      <c r="AM1542" s="9">
        <v>8.07</v>
      </c>
    </row>
    <row r="1543" spans="1:40" x14ac:dyDescent="0.3">
      <c r="A1543" t="s">
        <v>1485</v>
      </c>
      <c r="B1543" s="1" t="s">
        <v>1595</v>
      </c>
      <c r="C1543">
        <v>72</v>
      </c>
      <c r="D1543" s="8">
        <v>1.4300999999999999</v>
      </c>
      <c r="E1543">
        <v>14000</v>
      </c>
      <c r="G1543" t="s">
        <v>29</v>
      </c>
      <c r="H1543" t="s">
        <v>987</v>
      </c>
      <c r="K1543" s="4">
        <f>1/3</f>
        <v>0.33333333333333331</v>
      </c>
      <c r="N1543" s="3">
        <v>0.25667351129363453</v>
      </c>
      <c r="O1543" s="3">
        <v>0</v>
      </c>
      <c r="P1543">
        <v>22.5</v>
      </c>
      <c r="Q1543">
        <v>2</v>
      </c>
      <c r="R1543" t="s">
        <v>102</v>
      </c>
      <c r="S1543">
        <v>0</v>
      </c>
      <c r="T1543" s="6">
        <f>10^-(14-Q1543)</f>
        <v>9.9999999999999998E-13</v>
      </c>
      <c r="U1543" s="6">
        <v>0</v>
      </c>
      <c r="V1543" s="6">
        <v>0</v>
      </c>
      <c r="W1543" s="6">
        <v>0</v>
      </c>
      <c r="X1543" s="6">
        <v>0</v>
      </c>
      <c r="Y1543" t="s">
        <v>171</v>
      </c>
      <c r="Z1543" s="5">
        <v>-220</v>
      </c>
      <c r="AD1543">
        <v>0.4</v>
      </c>
      <c r="AE1543" s="1">
        <f>400-8.6/13.85*500</f>
        <v>89.530685920577639</v>
      </c>
      <c r="AF1543">
        <v>1</v>
      </c>
      <c r="AL1543" s="9">
        <v>18.190000000000001</v>
      </c>
      <c r="AM1543" s="9">
        <v>8.07</v>
      </c>
    </row>
    <row r="1544" spans="1:40" x14ac:dyDescent="0.3">
      <c r="A1544" t="s">
        <v>1486</v>
      </c>
      <c r="B1544" s="1" t="s">
        <v>1595</v>
      </c>
      <c r="C1544">
        <v>72</v>
      </c>
      <c r="D1544" s="8">
        <v>1.4300999999999999</v>
      </c>
      <c r="E1544">
        <v>14000</v>
      </c>
      <c r="G1544" t="s">
        <v>29</v>
      </c>
      <c r="H1544" t="s">
        <v>987</v>
      </c>
      <c r="K1544" s="4">
        <f>1/3</f>
        <v>0.33333333333333331</v>
      </c>
      <c r="N1544" s="3">
        <v>0.42778918548939082</v>
      </c>
      <c r="O1544" s="3">
        <v>0</v>
      </c>
      <c r="P1544">
        <v>22.5</v>
      </c>
      <c r="Q1544">
        <v>2</v>
      </c>
      <c r="R1544" t="s">
        <v>102</v>
      </c>
      <c r="S1544">
        <v>0</v>
      </c>
      <c r="T1544" s="6">
        <f>10^-(14-Q1544)</f>
        <v>9.9999999999999998E-13</v>
      </c>
      <c r="U1544" s="6">
        <v>0</v>
      </c>
      <c r="V1544" s="6">
        <v>0</v>
      </c>
      <c r="W1544" s="6">
        <v>0</v>
      </c>
      <c r="X1544" s="6">
        <v>0</v>
      </c>
      <c r="Y1544" t="s">
        <v>171</v>
      </c>
      <c r="Z1544" s="5">
        <v>-250</v>
      </c>
      <c r="AD1544">
        <v>0.4</v>
      </c>
      <c r="AE1544" s="1">
        <f>400-9/13.85*500</f>
        <v>75.090252707581215</v>
      </c>
      <c r="AF1544">
        <v>1</v>
      </c>
      <c r="AL1544" s="9">
        <v>18.190000000000001</v>
      </c>
      <c r="AM1544" s="9">
        <v>8.07</v>
      </c>
    </row>
    <row r="1545" spans="1:40" x14ac:dyDescent="0.3">
      <c r="A1545" t="s">
        <v>1487</v>
      </c>
      <c r="B1545" s="1" t="s">
        <v>1595</v>
      </c>
      <c r="C1545">
        <v>72</v>
      </c>
      <c r="D1545" s="8">
        <v>1.4300999999999999</v>
      </c>
      <c r="E1545">
        <v>14000</v>
      </c>
      <c r="G1545" t="s">
        <v>29</v>
      </c>
      <c r="H1545" t="s">
        <v>987</v>
      </c>
      <c r="K1545" s="4">
        <f>1/3</f>
        <v>0.33333333333333331</v>
      </c>
      <c r="N1545" s="3">
        <v>0.59890485968514717</v>
      </c>
      <c r="O1545" s="3">
        <v>0</v>
      </c>
      <c r="P1545">
        <v>22.5</v>
      </c>
      <c r="Q1545">
        <v>2</v>
      </c>
      <c r="R1545" t="s">
        <v>102</v>
      </c>
      <c r="S1545">
        <v>0</v>
      </c>
      <c r="T1545" s="6">
        <f>10^-(14-Q1545)</f>
        <v>9.9999999999999998E-13</v>
      </c>
      <c r="U1545" s="6">
        <v>0</v>
      </c>
      <c r="V1545" s="6">
        <v>0</v>
      </c>
      <c r="W1545" s="6">
        <v>0</v>
      </c>
      <c r="X1545" s="6">
        <v>0</v>
      </c>
      <c r="Y1545" t="s">
        <v>171</v>
      </c>
      <c r="Z1545" s="5">
        <v>-280</v>
      </c>
      <c r="AD1545">
        <v>0.4</v>
      </c>
      <c r="AE1545" s="1">
        <f>400-10/13.85*500</f>
        <v>38.989169675090238</v>
      </c>
      <c r="AF1545">
        <v>1</v>
      </c>
      <c r="AL1545" s="9">
        <v>18.190000000000001</v>
      </c>
      <c r="AM1545" s="9">
        <v>8.07</v>
      </c>
    </row>
    <row r="1546" spans="1:40" x14ac:dyDescent="0.3">
      <c r="A1546" t="s">
        <v>1488</v>
      </c>
      <c r="B1546" s="1" t="s">
        <v>1595</v>
      </c>
      <c r="C1546">
        <v>72</v>
      </c>
      <c r="D1546" s="8">
        <v>1.4300999999999999</v>
      </c>
      <c r="E1546">
        <v>14000</v>
      </c>
      <c r="G1546" t="s">
        <v>29</v>
      </c>
      <c r="H1546" t="s">
        <v>987</v>
      </c>
      <c r="K1546" s="4">
        <f>1/3</f>
        <v>0.33333333333333331</v>
      </c>
      <c r="N1546" s="3">
        <v>0.77002053388090352</v>
      </c>
      <c r="O1546" s="3">
        <v>0</v>
      </c>
      <c r="P1546">
        <v>22.5</v>
      </c>
      <c r="Q1546">
        <v>2</v>
      </c>
      <c r="R1546" t="s">
        <v>102</v>
      </c>
      <c r="S1546">
        <v>0</v>
      </c>
      <c r="T1546" s="6">
        <f>10^-(14-Q1546)</f>
        <v>9.9999999999999998E-13</v>
      </c>
      <c r="U1546" s="6">
        <v>0</v>
      </c>
      <c r="V1546" s="6">
        <v>0</v>
      </c>
      <c r="W1546" s="6">
        <v>0</v>
      </c>
      <c r="X1546" s="6">
        <v>0</v>
      </c>
      <c r="Y1546" t="s">
        <v>171</v>
      </c>
      <c r="Z1546" s="5">
        <v>-290</v>
      </c>
      <c r="AD1546">
        <v>0.4</v>
      </c>
      <c r="AE1546" s="1">
        <f>400-10.75/13.85*500</f>
        <v>11.91335740072202</v>
      </c>
      <c r="AF1546">
        <v>1</v>
      </c>
      <c r="AL1546" s="9">
        <v>18.190000000000001</v>
      </c>
      <c r="AM1546" s="9">
        <v>8.07</v>
      </c>
    </row>
    <row r="1547" spans="1:40" x14ac:dyDescent="0.3">
      <c r="A1547" t="s">
        <v>1489</v>
      </c>
      <c r="B1547" s="1" t="s">
        <v>1596</v>
      </c>
      <c r="C1547">
        <v>73</v>
      </c>
      <c r="D1547" s="8">
        <v>1.4300999999999999</v>
      </c>
      <c r="E1547">
        <v>600</v>
      </c>
      <c r="G1547" t="s">
        <v>29</v>
      </c>
      <c r="H1547" t="s">
        <v>987</v>
      </c>
      <c r="K1547" s="4">
        <v>1</v>
      </c>
      <c r="N1547" s="10">
        <v>7.0521861777150916E-4</v>
      </c>
      <c r="O1547" s="3">
        <v>0</v>
      </c>
      <c r="P1547">
        <v>20</v>
      </c>
      <c r="Q1547">
        <v>1.5</v>
      </c>
      <c r="R1547" t="s">
        <v>102</v>
      </c>
      <c r="S1547">
        <v>0</v>
      </c>
      <c r="T1547" s="6">
        <f>10^-(14-Q1547)</f>
        <v>3.1622776601683746E-13</v>
      </c>
      <c r="U1547" s="6">
        <v>0</v>
      </c>
      <c r="V1547" s="6">
        <v>0</v>
      </c>
      <c r="W1547" s="6">
        <v>0</v>
      </c>
      <c r="X1547" s="6">
        <v>0</v>
      </c>
      <c r="Y1547" t="s">
        <v>171</v>
      </c>
      <c r="Z1547" s="5">
        <v>-250</v>
      </c>
      <c r="AD1547">
        <v>5</v>
      </c>
      <c r="AE1547" s="1">
        <v>820</v>
      </c>
      <c r="AF1547">
        <v>1</v>
      </c>
      <c r="AL1547" s="9">
        <v>18</v>
      </c>
      <c r="AM1547" s="9">
        <v>8</v>
      </c>
    </row>
    <row r="1548" spans="1:40" x14ac:dyDescent="0.3">
      <c r="A1548" t="s">
        <v>1490</v>
      </c>
      <c r="B1548" s="1" t="s">
        <v>1596</v>
      </c>
      <c r="C1548">
        <v>73</v>
      </c>
      <c r="D1548" s="8">
        <v>1.4300999999999999</v>
      </c>
      <c r="E1548">
        <v>600</v>
      </c>
      <c r="G1548" t="s">
        <v>29</v>
      </c>
      <c r="H1548" t="s">
        <v>987</v>
      </c>
      <c r="K1548" s="4">
        <v>1</v>
      </c>
      <c r="N1548" s="10">
        <v>1.4104372355430183E-3</v>
      </c>
      <c r="O1548" s="3">
        <v>0</v>
      </c>
      <c r="P1548">
        <v>20</v>
      </c>
      <c r="Q1548">
        <v>1.5</v>
      </c>
      <c r="R1548" t="s">
        <v>102</v>
      </c>
      <c r="S1548">
        <v>0</v>
      </c>
      <c r="T1548" s="6">
        <f>10^-(14-Q1548)</f>
        <v>3.1622776601683746E-13</v>
      </c>
      <c r="U1548" s="6">
        <v>0</v>
      </c>
      <c r="V1548" s="6">
        <v>0</v>
      </c>
      <c r="W1548" s="6">
        <v>0</v>
      </c>
      <c r="X1548" s="6">
        <v>0</v>
      </c>
      <c r="Y1548" t="s">
        <v>171</v>
      </c>
      <c r="Z1548" s="5">
        <v>-255</v>
      </c>
      <c r="AD1548">
        <v>5</v>
      </c>
      <c r="AE1548" s="1">
        <v>815</v>
      </c>
      <c r="AF1548">
        <v>1</v>
      </c>
      <c r="AL1548" s="9">
        <v>18</v>
      </c>
      <c r="AM1548" s="9">
        <v>8</v>
      </c>
    </row>
    <row r="1549" spans="1:40" x14ac:dyDescent="0.3">
      <c r="A1549" t="s">
        <v>1491</v>
      </c>
      <c r="B1549" s="1" t="s">
        <v>1596</v>
      </c>
      <c r="C1549">
        <v>73</v>
      </c>
      <c r="D1549" s="8">
        <v>1.4300999999999999</v>
      </c>
      <c r="E1549">
        <v>600</v>
      </c>
      <c r="G1549" t="s">
        <v>29</v>
      </c>
      <c r="H1549" t="s">
        <v>987</v>
      </c>
      <c r="K1549" s="4">
        <v>1</v>
      </c>
      <c r="N1549" s="10">
        <v>2.1156558533145277E-3</v>
      </c>
      <c r="O1549" s="3">
        <v>0</v>
      </c>
      <c r="P1549">
        <v>20</v>
      </c>
      <c r="Q1549">
        <v>1.5</v>
      </c>
      <c r="R1549" t="s">
        <v>102</v>
      </c>
      <c r="S1549">
        <v>0</v>
      </c>
      <c r="T1549" s="6">
        <f>10^-(14-Q1549)</f>
        <v>3.1622776601683746E-13</v>
      </c>
      <c r="U1549" s="6">
        <v>0</v>
      </c>
      <c r="V1549" s="6">
        <v>0</v>
      </c>
      <c r="W1549" s="6">
        <v>0</v>
      </c>
      <c r="X1549" s="6">
        <v>0</v>
      </c>
      <c r="Y1549" t="s">
        <v>171</v>
      </c>
      <c r="Z1549" s="5">
        <v>-258</v>
      </c>
      <c r="AD1549">
        <v>5</v>
      </c>
      <c r="AE1549" s="1">
        <v>813</v>
      </c>
      <c r="AF1549">
        <v>1</v>
      </c>
      <c r="AL1549" s="9">
        <v>18</v>
      </c>
      <c r="AM1549" s="9">
        <v>8</v>
      </c>
    </row>
    <row r="1550" spans="1:40" x14ac:dyDescent="0.3">
      <c r="A1550" t="s">
        <v>1492</v>
      </c>
      <c r="B1550" s="1" t="s">
        <v>1596</v>
      </c>
      <c r="C1550">
        <v>73</v>
      </c>
      <c r="D1550" s="8">
        <v>1.4300999999999999</v>
      </c>
      <c r="E1550">
        <v>600</v>
      </c>
      <c r="G1550" t="s">
        <v>29</v>
      </c>
      <c r="H1550" t="s">
        <v>987</v>
      </c>
      <c r="K1550" s="4">
        <v>1</v>
      </c>
      <c r="N1550" s="10">
        <v>2.8208744710860366E-3</v>
      </c>
      <c r="O1550" s="3">
        <v>0</v>
      </c>
      <c r="P1550">
        <v>20</v>
      </c>
      <c r="Q1550">
        <v>1.5</v>
      </c>
      <c r="R1550" t="s">
        <v>102</v>
      </c>
      <c r="S1550">
        <v>0</v>
      </c>
      <c r="T1550" s="6">
        <f>10^-(14-Q1550)</f>
        <v>3.1622776601683746E-13</v>
      </c>
      <c r="U1550" s="6">
        <v>0</v>
      </c>
      <c r="V1550" s="6">
        <v>0</v>
      </c>
      <c r="W1550" s="6">
        <v>0</v>
      </c>
      <c r="X1550" s="6">
        <v>0</v>
      </c>
      <c r="Y1550" t="s">
        <v>171</v>
      </c>
      <c r="Z1550" s="5">
        <v>-260</v>
      </c>
      <c r="AD1550">
        <v>5</v>
      </c>
      <c r="AE1550" s="1">
        <v>790</v>
      </c>
      <c r="AF1550">
        <v>1</v>
      </c>
      <c r="AL1550" s="9">
        <v>18</v>
      </c>
      <c r="AM1550" s="9">
        <v>8</v>
      </c>
    </row>
    <row r="1551" spans="1:40" x14ac:dyDescent="0.3">
      <c r="A1551" t="s">
        <v>1493</v>
      </c>
      <c r="B1551" s="1" t="s">
        <v>1596</v>
      </c>
      <c r="C1551">
        <v>73</v>
      </c>
      <c r="D1551" s="8">
        <v>1.4300999999999999</v>
      </c>
      <c r="E1551">
        <v>600</v>
      </c>
      <c r="G1551" t="s">
        <v>29</v>
      </c>
      <c r="H1551" t="s">
        <v>987</v>
      </c>
      <c r="K1551" s="4">
        <v>1</v>
      </c>
      <c r="N1551" s="10">
        <v>4.2313117066290554E-3</v>
      </c>
      <c r="O1551" s="3">
        <v>0</v>
      </c>
      <c r="P1551">
        <v>20</v>
      </c>
      <c r="Q1551">
        <v>1.5</v>
      </c>
      <c r="R1551" t="s">
        <v>102</v>
      </c>
      <c r="S1551">
        <v>0</v>
      </c>
      <c r="T1551" s="6">
        <f>10^-(14-Q1551)</f>
        <v>3.1622776601683746E-13</v>
      </c>
      <c r="U1551" s="6">
        <v>0</v>
      </c>
      <c r="V1551" s="6">
        <v>0</v>
      </c>
      <c r="W1551" s="6">
        <v>0</v>
      </c>
      <c r="X1551" s="6">
        <v>0</v>
      </c>
      <c r="Y1551" t="s">
        <v>171</v>
      </c>
      <c r="Z1551" s="5">
        <v>-265</v>
      </c>
      <c r="AD1551">
        <v>5</v>
      </c>
      <c r="AE1551" s="1">
        <v>783</v>
      </c>
      <c r="AF1551">
        <v>1</v>
      </c>
      <c r="AL1551" s="9">
        <v>18</v>
      </c>
      <c r="AM1551" s="9">
        <v>8</v>
      </c>
    </row>
    <row r="1552" spans="1:40" x14ac:dyDescent="0.3">
      <c r="A1552" t="s">
        <v>1494</v>
      </c>
      <c r="B1552" s="1" t="s">
        <v>1596</v>
      </c>
      <c r="C1552">
        <v>73</v>
      </c>
      <c r="D1552" s="8">
        <v>1.4300999999999999</v>
      </c>
      <c r="E1552">
        <v>600</v>
      </c>
      <c r="G1552" t="s">
        <v>29</v>
      </c>
      <c r="H1552" t="s">
        <v>987</v>
      </c>
      <c r="K1552" s="4">
        <v>1</v>
      </c>
      <c r="N1552" s="10">
        <v>5.6417489421720732E-3</v>
      </c>
      <c r="O1552" s="3">
        <v>0</v>
      </c>
      <c r="P1552">
        <v>20</v>
      </c>
      <c r="Q1552">
        <v>1.5</v>
      </c>
      <c r="R1552" t="s">
        <v>102</v>
      </c>
      <c r="S1552">
        <v>0</v>
      </c>
      <c r="T1552" s="6">
        <f>10^-(14-Q1552)</f>
        <v>3.1622776601683746E-13</v>
      </c>
      <c r="U1552" s="6">
        <v>0</v>
      </c>
      <c r="V1552" s="6">
        <v>0</v>
      </c>
      <c r="W1552" s="6">
        <v>0</v>
      </c>
      <c r="X1552" s="6">
        <v>0</v>
      </c>
      <c r="Y1552" t="s">
        <v>171</v>
      </c>
      <c r="Z1552" s="5">
        <v>-267</v>
      </c>
      <c r="AD1552">
        <v>5</v>
      </c>
      <c r="AE1552" s="1">
        <v>777</v>
      </c>
      <c r="AF1552">
        <v>1</v>
      </c>
      <c r="AL1552" s="9">
        <v>18</v>
      </c>
      <c r="AM1552" s="9">
        <v>8</v>
      </c>
    </row>
    <row r="1553" spans="1:39" x14ac:dyDescent="0.3">
      <c r="A1553" t="s">
        <v>1495</v>
      </c>
      <c r="B1553" s="1" t="s">
        <v>1596</v>
      </c>
      <c r="C1553">
        <v>73</v>
      </c>
      <c r="D1553" s="8">
        <v>1.4300999999999999</v>
      </c>
      <c r="E1553">
        <v>600</v>
      </c>
      <c r="G1553" t="s">
        <v>29</v>
      </c>
      <c r="H1553" t="s">
        <v>987</v>
      </c>
      <c r="K1553" s="4">
        <v>1</v>
      </c>
      <c r="N1553" s="10">
        <v>7.0521861777150916E-4</v>
      </c>
      <c r="O1553" s="3">
        <v>0</v>
      </c>
      <c r="P1553">
        <v>20</v>
      </c>
      <c r="Q1553">
        <v>3.5</v>
      </c>
      <c r="R1553" t="s">
        <v>102</v>
      </c>
      <c r="S1553">
        <v>0</v>
      </c>
      <c r="T1553" s="6">
        <f>10^-(14-Q1553)</f>
        <v>3.162277660168371E-11</v>
      </c>
      <c r="U1553" s="6">
        <v>0</v>
      </c>
      <c r="V1553" s="6">
        <v>0</v>
      </c>
      <c r="W1553" s="6">
        <v>0</v>
      </c>
      <c r="X1553" s="6">
        <v>0</v>
      </c>
      <c r="Y1553" t="s">
        <v>171</v>
      </c>
      <c r="Z1553" s="5">
        <v>-215</v>
      </c>
      <c r="AD1553">
        <v>5</v>
      </c>
      <c r="AE1553" s="1">
        <v>918</v>
      </c>
      <c r="AF1553">
        <v>1</v>
      </c>
      <c r="AL1553" s="9">
        <v>18</v>
      </c>
      <c r="AM1553" s="9">
        <v>8</v>
      </c>
    </row>
    <row r="1554" spans="1:39" x14ac:dyDescent="0.3">
      <c r="A1554" t="s">
        <v>1496</v>
      </c>
      <c r="B1554" s="1" t="s">
        <v>1596</v>
      </c>
      <c r="C1554">
        <v>73</v>
      </c>
      <c r="D1554" s="8">
        <v>1.4300999999999999</v>
      </c>
      <c r="E1554">
        <v>600</v>
      </c>
      <c r="G1554" t="s">
        <v>29</v>
      </c>
      <c r="H1554" t="s">
        <v>987</v>
      </c>
      <c r="K1554" s="4">
        <v>1</v>
      </c>
      <c r="N1554" s="10">
        <v>1.4104372355430183E-3</v>
      </c>
      <c r="O1554" s="3">
        <v>0</v>
      </c>
      <c r="P1554">
        <v>20</v>
      </c>
      <c r="Q1554">
        <v>3.5</v>
      </c>
      <c r="R1554" t="s">
        <v>102</v>
      </c>
      <c r="S1554">
        <v>0</v>
      </c>
      <c r="T1554" s="6">
        <f>10^-(14-Q1554)</f>
        <v>3.162277660168371E-11</v>
      </c>
      <c r="U1554" s="6">
        <v>0</v>
      </c>
      <c r="V1554" s="6">
        <v>0</v>
      </c>
      <c r="W1554" s="6">
        <v>0</v>
      </c>
      <c r="X1554" s="6">
        <v>0</v>
      </c>
      <c r="Y1554" t="s">
        <v>171</v>
      </c>
      <c r="Z1554" s="5">
        <v>-219</v>
      </c>
      <c r="AD1554">
        <v>5</v>
      </c>
      <c r="AE1554" s="1">
        <v>914</v>
      </c>
      <c r="AF1554">
        <v>1</v>
      </c>
      <c r="AL1554" s="9">
        <v>18</v>
      </c>
      <c r="AM1554" s="9">
        <v>8</v>
      </c>
    </row>
    <row r="1555" spans="1:39" x14ac:dyDescent="0.3">
      <c r="A1555" t="s">
        <v>1497</v>
      </c>
      <c r="B1555" s="1" t="s">
        <v>1596</v>
      </c>
      <c r="C1555">
        <v>73</v>
      </c>
      <c r="D1555" s="8">
        <v>1.4300999999999999</v>
      </c>
      <c r="E1555">
        <v>600</v>
      </c>
      <c r="G1555" t="s">
        <v>29</v>
      </c>
      <c r="H1555" t="s">
        <v>987</v>
      </c>
      <c r="K1555" s="4">
        <v>1</v>
      </c>
      <c r="N1555" s="10">
        <v>2.1156558533145277E-3</v>
      </c>
      <c r="O1555" s="3">
        <v>0</v>
      </c>
      <c r="P1555">
        <v>20</v>
      </c>
      <c r="Q1555">
        <v>3.5</v>
      </c>
      <c r="R1555" t="s">
        <v>102</v>
      </c>
      <c r="S1555">
        <v>0</v>
      </c>
      <c r="T1555" s="6">
        <f>10^-(14-Q1555)</f>
        <v>3.162277660168371E-11</v>
      </c>
      <c r="U1555" s="6">
        <v>0</v>
      </c>
      <c r="V1555" s="6">
        <v>0</v>
      </c>
      <c r="W1555" s="6">
        <v>0</v>
      </c>
      <c r="X1555" s="6">
        <v>0</v>
      </c>
      <c r="Y1555" t="s">
        <v>171</v>
      </c>
      <c r="Z1555" s="5">
        <v>-228</v>
      </c>
      <c r="AD1555">
        <v>5</v>
      </c>
      <c r="AE1555" s="1">
        <v>913</v>
      </c>
      <c r="AF1555">
        <v>1</v>
      </c>
      <c r="AL1555" s="9">
        <v>18</v>
      </c>
      <c r="AM1555" s="9">
        <v>8</v>
      </c>
    </row>
    <row r="1556" spans="1:39" x14ac:dyDescent="0.3">
      <c r="A1556" t="s">
        <v>1498</v>
      </c>
      <c r="B1556" s="1" t="s">
        <v>1596</v>
      </c>
      <c r="C1556">
        <v>73</v>
      </c>
      <c r="D1556" s="8">
        <v>1.4300999999999999</v>
      </c>
      <c r="E1556">
        <v>600</v>
      </c>
      <c r="G1556" t="s">
        <v>29</v>
      </c>
      <c r="H1556" t="s">
        <v>987</v>
      </c>
      <c r="K1556" s="4">
        <v>1</v>
      </c>
      <c r="N1556" s="10">
        <v>2.8208744710860366E-3</v>
      </c>
      <c r="O1556" s="3">
        <v>0</v>
      </c>
      <c r="P1556">
        <v>20</v>
      </c>
      <c r="Q1556">
        <v>3.5</v>
      </c>
      <c r="R1556" t="s">
        <v>102</v>
      </c>
      <c r="S1556">
        <v>0</v>
      </c>
      <c r="T1556" s="6">
        <f>10^-(14-Q1556)</f>
        <v>3.162277660168371E-11</v>
      </c>
      <c r="U1556" s="6">
        <v>0</v>
      </c>
      <c r="V1556" s="6">
        <v>0</v>
      </c>
      <c r="W1556" s="6">
        <v>0</v>
      </c>
      <c r="X1556" s="6">
        <v>0</v>
      </c>
      <c r="Y1556" t="s">
        <v>171</v>
      </c>
      <c r="Z1556" s="5">
        <v>-233</v>
      </c>
      <c r="AD1556">
        <v>5</v>
      </c>
      <c r="AE1556" s="1">
        <v>909</v>
      </c>
      <c r="AF1556">
        <v>1</v>
      </c>
      <c r="AL1556" s="9">
        <v>18</v>
      </c>
      <c r="AM1556" s="9">
        <v>8</v>
      </c>
    </row>
    <row r="1557" spans="1:39" x14ac:dyDescent="0.3">
      <c r="A1557" t="s">
        <v>1499</v>
      </c>
      <c r="B1557" s="1" t="s">
        <v>1596</v>
      </c>
      <c r="C1557">
        <v>73</v>
      </c>
      <c r="D1557" s="8">
        <v>1.4300999999999999</v>
      </c>
      <c r="E1557">
        <v>600</v>
      </c>
      <c r="G1557" t="s">
        <v>29</v>
      </c>
      <c r="H1557" t="s">
        <v>987</v>
      </c>
      <c r="K1557" s="4">
        <v>1</v>
      </c>
      <c r="N1557" s="10">
        <v>4.2313117066290554E-3</v>
      </c>
      <c r="O1557" s="3">
        <v>0</v>
      </c>
      <c r="P1557">
        <v>20</v>
      </c>
      <c r="Q1557">
        <v>3.5</v>
      </c>
      <c r="R1557" t="s">
        <v>102</v>
      </c>
      <c r="S1557">
        <v>0</v>
      </c>
      <c r="T1557" s="6">
        <f>10^-(14-Q1557)</f>
        <v>3.162277660168371E-11</v>
      </c>
      <c r="U1557" s="6">
        <v>0</v>
      </c>
      <c r="V1557" s="6">
        <v>0</v>
      </c>
      <c r="W1557" s="6">
        <v>0</v>
      </c>
      <c r="X1557" s="6">
        <v>0</v>
      </c>
      <c r="Y1557" t="s">
        <v>171</v>
      </c>
      <c r="Z1557" s="5">
        <v>-235</v>
      </c>
      <c r="AD1557">
        <v>5</v>
      </c>
      <c r="AE1557" s="1">
        <v>983</v>
      </c>
      <c r="AF1557">
        <v>1</v>
      </c>
      <c r="AL1557" s="9">
        <v>18</v>
      </c>
      <c r="AM1557" s="9">
        <v>8</v>
      </c>
    </row>
    <row r="1558" spans="1:39" x14ac:dyDescent="0.3">
      <c r="A1558" t="s">
        <v>1500</v>
      </c>
      <c r="B1558" s="1" t="s">
        <v>1596</v>
      </c>
      <c r="C1558">
        <v>73</v>
      </c>
      <c r="D1558" s="8">
        <v>1.4300999999999999</v>
      </c>
      <c r="E1558">
        <v>600</v>
      </c>
      <c r="G1558" t="s">
        <v>29</v>
      </c>
      <c r="H1558" t="s">
        <v>987</v>
      </c>
      <c r="K1558" s="4">
        <v>1</v>
      </c>
      <c r="N1558" s="10">
        <v>5.6417489421720732E-3</v>
      </c>
      <c r="O1558" s="3">
        <v>0</v>
      </c>
      <c r="P1558">
        <v>20</v>
      </c>
      <c r="Q1558">
        <v>3.5</v>
      </c>
      <c r="R1558" t="s">
        <v>102</v>
      </c>
      <c r="S1558">
        <v>0</v>
      </c>
      <c r="T1558" s="6">
        <f>10^-(14-Q1558)</f>
        <v>3.162277660168371E-11</v>
      </c>
      <c r="U1558" s="6">
        <v>0</v>
      </c>
      <c r="V1558" s="6">
        <v>0</v>
      </c>
      <c r="W1558" s="6">
        <v>0</v>
      </c>
      <c r="X1558" s="6">
        <v>0</v>
      </c>
      <c r="Y1558" t="s">
        <v>171</v>
      </c>
      <c r="Z1558" s="5">
        <v>-239</v>
      </c>
      <c r="AD1558">
        <v>5</v>
      </c>
      <c r="AE1558" s="1">
        <v>911</v>
      </c>
      <c r="AF1558">
        <v>1</v>
      </c>
      <c r="AL1558" s="9">
        <v>18</v>
      </c>
      <c r="AM1558" s="9">
        <v>8</v>
      </c>
    </row>
    <row r="1559" spans="1:39" x14ac:dyDescent="0.3">
      <c r="A1559" t="s">
        <v>1501</v>
      </c>
      <c r="B1559" s="1" t="s">
        <v>1596</v>
      </c>
      <c r="C1559">
        <v>73</v>
      </c>
      <c r="D1559" s="8">
        <v>1.4300999999999999</v>
      </c>
      <c r="E1559">
        <v>600</v>
      </c>
      <c r="G1559" t="s">
        <v>29</v>
      </c>
      <c r="H1559" t="s">
        <v>987</v>
      </c>
      <c r="K1559" s="4">
        <v>1</v>
      </c>
      <c r="N1559" s="10">
        <v>7.0521861777150916E-4</v>
      </c>
      <c r="O1559" s="3">
        <v>0</v>
      </c>
      <c r="P1559">
        <v>20</v>
      </c>
      <c r="Q1559">
        <v>6.5</v>
      </c>
      <c r="R1559" t="s">
        <v>102</v>
      </c>
      <c r="S1559">
        <v>0</v>
      </c>
      <c r="T1559" s="6">
        <f>10^-(14-Q1559)</f>
        <v>3.1622776601683699E-8</v>
      </c>
      <c r="U1559" s="6">
        <v>0</v>
      </c>
      <c r="V1559" s="6">
        <v>0</v>
      </c>
      <c r="W1559" s="6">
        <v>0</v>
      </c>
      <c r="X1559" s="6">
        <v>0</v>
      </c>
      <c r="Y1559" t="s">
        <v>171</v>
      </c>
      <c r="Z1559" s="5">
        <v>-150</v>
      </c>
      <c r="AD1559">
        <v>5</v>
      </c>
      <c r="AE1559" s="1">
        <v>1110</v>
      </c>
      <c r="AF1559">
        <v>2</v>
      </c>
      <c r="AL1559" s="9">
        <v>18</v>
      </c>
      <c r="AM1559" s="9">
        <v>8</v>
      </c>
    </row>
    <row r="1560" spans="1:39" x14ac:dyDescent="0.3">
      <c r="A1560" t="s">
        <v>1502</v>
      </c>
      <c r="B1560" s="1" t="s">
        <v>1596</v>
      </c>
      <c r="C1560">
        <v>73</v>
      </c>
      <c r="D1560" s="8">
        <v>1.4300999999999999</v>
      </c>
      <c r="E1560">
        <v>600</v>
      </c>
      <c r="G1560" t="s">
        <v>29</v>
      </c>
      <c r="H1560" t="s">
        <v>987</v>
      </c>
      <c r="K1560" s="4">
        <v>1</v>
      </c>
      <c r="N1560" s="10">
        <v>1.4104372355430183E-3</v>
      </c>
      <c r="O1560" s="3">
        <v>0</v>
      </c>
      <c r="P1560">
        <v>20</v>
      </c>
      <c r="Q1560">
        <v>6.5</v>
      </c>
      <c r="R1560" t="s">
        <v>102</v>
      </c>
      <c r="S1560">
        <v>0</v>
      </c>
      <c r="T1560" s="6">
        <f>10^-(14-Q1560)</f>
        <v>3.1622776601683699E-8</v>
      </c>
      <c r="U1560" s="6">
        <v>0</v>
      </c>
      <c r="V1560" s="6">
        <v>0</v>
      </c>
      <c r="W1560" s="6">
        <v>0</v>
      </c>
      <c r="X1560" s="6">
        <v>0</v>
      </c>
      <c r="Y1560" t="s">
        <v>171</v>
      </c>
      <c r="Z1560" s="5">
        <v>-155</v>
      </c>
      <c r="AD1560">
        <v>5</v>
      </c>
      <c r="AE1560" s="1">
        <v>1102</v>
      </c>
      <c r="AF1560">
        <v>2</v>
      </c>
      <c r="AL1560" s="9">
        <v>18</v>
      </c>
      <c r="AM1560" s="9">
        <v>8</v>
      </c>
    </row>
    <row r="1561" spans="1:39" x14ac:dyDescent="0.3">
      <c r="A1561" t="s">
        <v>1503</v>
      </c>
      <c r="B1561" s="1" t="s">
        <v>1596</v>
      </c>
      <c r="C1561">
        <v>73</v>
      </c>
      <c r="D1561" s="8">
        <v>1.4300999999999999</v>
      </c>
      <c r="E1561">
        <v>600</v>
      </c>
      <c r="G1561" t="s">
        <v>29</v>
      </c>
      <c r="H1561" t="s">
        <v>987</v>
      </c>
      <c r="K1561" s="4">
        <v>1</v>
      </c>
      <c r="N1561" s="10">
        <v>2.1156558533145277E-3</v>
      </c>
      <c r="O1561" s="3">
        <v>0</v>
      </c>
      <c r="P1561">
        <v>20</v>
      </c>
      <c r="Q1561">
        <v>6.5</v>
      </c>
      <c r="R1561" t="s">
        <v>102</v>
      </c>
      <c r="S1561">
        <v>0</v>
      </c>
      <c r="T1561" s="6">
        <f>10^-(14-Q1561)</f>
        <v>3.1622776601683699E-8</v>
      </c>
      <c r="U1561" s="6">
        <v>0</v>
      </c>
      <c r="V1561" s="6">
        <v>0</v>
      </c>
      <c r="W1561" s="6">
        <v>0</v>
      </c>
      <c r="X1561" s="6">
        <v>0</v>
      </c>
      <c r="Y1561" t="s">
        <v>171</v>
      </c>
      <c r="Z1561" s="5">
        <v>-158</v>
      </c>
      <c r="AD1561">
        <v>5</v>
      </c>
      <c r="AE1561" s="1">
        <v>1094</v>
      </c>
      <c r="AF1561">
        <v>2</v>
      </c>
      <c r="AL1561" s="9">
        <v>18</v>
      </c>
      <c r="AM1561" s="9">
        <v>8</v>
      </c>
    </row>
    <row r="1562" spans="1:39" x14ac:dyDescent="0.3">
      <c r="A1562" t="s">
        <v>1504</v>
      </c>
      <c r="B1562" s="1" t="s">
        <v>1596</v>
      </c>
      <c r="C1562">
        <v>73</v>
      </c>
      <c r="D1562" s="8">
        <v>1.4300999999999999</v>
      </c>
      <c r="E1562">
        <v>600</v>
      </c>
      <c r="G1562" t="s">
        <v>29</v>
      </c>
      <c r="H1562" t="s">
        <v>987</v>
      </c>
      <c r="K1562" s="4">
        <v>1</v>
      </c>
      <c r="N1562" s="10">
        <v>2.8208744710860366E-3</v>
      </c>
      <c r="O1562" s="3">
        <v>0</v>
      </c>
      <c r="P1562">
        <v>20</v>
      </c>
      <c r="Q1562">
        <v>6.5</v>
      </c>
      <c r="R1562" t="s">
        <v>102</v>
      </c>
      <c r="S1562">
        <v>0</v>
      </c>
      <c r="T1562" s="6">
        <f>10^-(14-Q1562)</f>
        <v>3.1622776601683699E-8</v>
      </c>
      <c r="U1562" s="6">
        <v>0</v>
      </c>
      <c r="V1562" s="6">
        <v>0</v>
      </c>
      <c r="W1562" s="6">
        <v>0</v>
      </c>
      <c r="X1562" s="6">
        <v>0</v>
      </c>
      <c r="Y1562" t="s">
        <v>171</v>
      </c>
      <c r="Z1562" s="5">
        <v>-160</v>
      </c>
      <c r="AD1562">
        <v>5</v>
      </c>
      <c r="AE1562" s="1">
        <v>1083</v>
      </c>
      <c r="AF1562">
        <v>2</v>
      </c>
      <c r="AL1562" s="9">
        <v>18</v>
      </c>
      <c r="AM1562" s="9">
        <v>8</v>
      </c>
    </row>
    <row r="1563" spans="1:39" x14ac:dyDescent="0.3">
      <c r="A1563" t="s">
        <v>1505</v>
      </c>
      <c r="B1563" s="1" t="s">
        <v>1596</v>
      </c>
      <c r="C1563">
        <v>73</v>
      </c>
      <c r="D1563" s="8">
        <v>1.4300999999999999</v>
      </c>
      <c r="E1563">
        <v>600</v>
      </c>
      <c r="G1563" t="s">
        <v>29</v>
      </c>
      <c r="H1563" t="s">
        <v>987</v>
      </c>
      <c r="K1563" s="4">
        <v>1</v>
      </c>
      <c r="N1563" s="10">
        <v>4.2313117066290554E-3</v>
      </c>
      <c r="O1563" s="3">
        <v>0</v>
      </c>
      <c r="P1563">
        <v>20</v>
      </c>
      <c r="Q1563">
        <v>6.5</v>
      </c>
      <c r="R1563" t="s">
        <v>102</v>
      </c>
      <c r="S1563">
        <v>0</v>
      </c>
      <c r="T1563" s="6">
        <f>10^-(14-Q1563)</f>
        <v>3.1622776601683699E-8</v>
      </c>
      <c r="U1563" s="6">
        <v>0</v>
      </c>
      <c r="V1563" s="6">
        <v>0</v>
      </c>
      <c r="W1563" s="6">
        <v>0</v>
      </c>
      <c r="X1563" s="6">
        <v>0</v>
      </c>
      <c r="Y1563" t="s">
        <v>171</v>
      </c>
      <c r="Z1563" s="5">
        <v>-165</v>
      </c>
      <c r="AD1563">
        <v>5</v>
      </c>
      <c r="AE1563" s="1">
        <v>1079</v>
      </c>
      <c r="AF1563">
        <v>2</v>
      </c>
      <c r="AL1563" s="9">
        <v>18</v>
      </c>
      <c r="AM1563" s="9">
        <v>8</v>
      </c>
    </row>
    <row r="1564" spans="1:39" x14ac:dyDescent="0.3">
      <c r="A1564" t="s">
        <v>1506</v>
      </c>
      <c r="B1564" s="1" t="s">
        <v>1596</v>
      </c>
      <c r="C1564">
        <v>73</v>
      </c>
      <c r="D1564" s="8">
        <v>1.4300999999999999</v>
      </c>
      <c r="E1564">
        <v>600</v>
      </c>
      <c r="G1564" t="s">
        <v>29</v>
      </c>
      <c r="H1564" t="s">
        <v>987</v>
      </c>
      <c r="K1564" s="4">
        <v>1</v>
      </c>
      <c r="N1564" s="10">
        <v>5.6417489421720732E-3</v>
      </c>
      <c r="O1564" s="3">
        <v>0</v>
      </c>
      <c r="P1564">
        <v>20</v>
      </c>
      <c r="Q1564">
        <v>6.5</v>
      </c>
      <c r="R1564" t="s">
        <v>102</v>
      </c>
      <c r="S1564">
        <v>0</v>
      </c>
      <c r="T1564" s="6">
        <f>10^-(14-Q1564)</f>
        <v>3.1622776601683699E-8</v>
      </c>
      <c r="U1564" s="6">
        <v>0</v>
      </c>
      <c r="V1564" s="6">
        <v>0</v>
      </c>
      <c r="W1564" s="6">
        <v>0</v>
      </c>
      <c r="X1564" s="6">
        <v>0</v>
      </c>
      <c r="Y1564" t="s">
        <v>171</v>
      </c>
      <c r="Z1564" s="5">
        <v>-167</v>
      </c>
      <c r="AD1564">
        <v>5</v>
      </c>
      <c r="AE1564" s="1">
        <v>1077</v>
      </c>
      <c r="AF1564">
        <v>2</v>
      </c>
      <c r="AL1564" s="9">
        <v>18</v>
      </c>
      <c r="AM1564" s="9">
        <v>8</v>
      </c>
    </row>
    <row r="1565" spans="1:39" x14ac:dyDescent="0.3">
      <c r="A1565" t="s">
        <v>1507</v>
      </c>
      <c r="B1565" s="1" t="s">
        <v>1596</v>
      </c>
      <c r="C1565">
        <v>73</v>
      </c>
      <c r="D1565" s="8">
        <v>1.4300999999999999</v>
      </c>
      <c r="E1565">
        <v>600</v>
      </c>
      <c r="G1565" t="s">
        <v>29</v>
      </c>
      <c r="H1565" t="s">
        <v>987</v>
      </c>
      <c r="K1565" s="4">
        <v>1</v>
      </c>
      <c r="N1565" s="10">
        <v>7.0521861777150916E-4</v>
      </c>
      <c r="O1565" s="3">
        <v>0</v>
      </c>
      <c r="P1565">
        <v>40</v>
      </c>
      <c r="Q1565">
        <v>1.5</v>
      </c>
      <c r="R1565" t="s">
        <v>102</v>
      </c>
      <c r="S1565">
        <v>0</v>
      </c>
      <c r="T1565" s="6">
        <f>10^-(14-Q1565)</f>
        <v>3.1622776601683746E-13</v>
      </c>
      <c r="U1565" s="6">
        <v>0</v>
      </c>
      <c r="V1565" s="6">
        <v>0</v>
      </c>
      <c r="W1565" s="6">
        <v>0</v>
      </c>
      <c r="X1565" s="6">
        <v>0</v>
      </c>
      <c r="Y1565" t="s">
        <v>171</v>
      </c>
      <c r="Z1565" s="5">
        <v>-275</v>
      </c>
      <c r="AD1565">
        <v>5</v>
      </c>
      <c r="AE1565" s="1">
        <v>765</v>
      </c>
      <c r="AF1565">
        <v>1</v>
      </c>
      <c r="AL1565" s="9">
        <v>18</v>
      </c>
      <c r="AM1565" s="9">
        <v>8</v>
      </c>
    </row>
    <row r="1566" spans="1:39" x14ac:dyDescent="0.3">
      <c r="A1566" t="s">
        <v>1508</v>
      </c>
      <c r="B1566" s="1" t="s">
        <v>1596</v>
      </c>
      <c r="C1566">
        <v>73</v>
      </c>
      <c r="D1566" s="8">
        <v>1.4300999999999999</v>
      </c>
      <c r="E1566">
        <v>600</v>
      </c>
      <c r="G1566" t="s">
        <v>29</v>
      </c>
      <c r="H1566" t="s">
        <v>987</v>
      </c>
      <c r="K1566" s="4">
        <v>1</v>
      </c>
      <c r="N1566" s="10">
        <v>1.4104372355430183E-3</v>
      </c>
      <c r="O1566" s="3">
        <v>0</v>
      </c>
      <c r="P1566">
        <v>40</v>
      </c>
      <c r="Q1566">
        <v>1.5</v>
      </c>
      <c r="R1566" t="s">
        <v>102</v>
      </c>
      <c r="S1566">
        <v>0</v>
      </c>
      <c r="T1566" s="6">
        <f>10^-(14-Q1566)</f>
        <v>3.1622776601683746E-13</v>
      </c>
      <c r="U1566" s="6">
        <v>0</v>
      </c>
      <c r="V1566" s="6">
        <v>0</v>
      </c>
      <c r="W1566" s="6">
        <v>0</v>
      </c>
      <c r="X1566" s="6">
        <v>0</v>
      </c>
      <c r="Y1566" t="s">
        <v>171</v>
      </c>
      <c r="Z1566" s="5">
        <v>-271</v>
      </c>
      <c r="AD1566">
        <v>5</v>
      </c>
      <c r="AE1566" s="1">
        <v>734</v>
      </c>
      <c r="AF1566">
        <v>1</v>
      </c>
      <c r="AL1566" s="9">
        <v>18</v>
      </c>
      <c r="AM1566" s="9">
        <v>8</v>
      </c>
    </row>
    <row r="1567" spans="1:39" x14ac:dyDescent="0.3">
      <c r="A1567" t="s">
        <v>1509</v>
      </c>
      <c r="B1567" s="1" t="s">
        <v>1596</v>
      </c>
      <c r="C1567">
        <v>73</v>
      </c>
      <c r="D1567" s="8">
        <v>1.4300999999999999</v>
      </c>
      <c r="E1567">
        <v>600</v>
      </c>
      <c r="G1567" t="s">
        <v>29</v>
      </c>
      <c r="H1567" t="s">
        <v>987</v>
      </c>
      <c r="K1567" s="4">
        <v>1</v>
      </c>
      <c r="N1567" s="10">
        <v>2.1156558533145277E-3</v>
      </c>
      <c r="O1567" s="3">
        <v>0</v>
      </c>
      <c r="P1567">
        <v>40</v>
      </c>
      <c r="Q1567">
        <v>1.5</v>
      </c>
      <c r="R1567" t="s">
        <v>102</v>
      </c>
      <c r="S1567">
        <v>0</v>
      </c>
      <c r="T1567" s="6">
        <f>10^-(14-Q1567)</f>
        <v>3.1622776601683746E-13</v>
      </c>
      <c r="U1567" s="6">
        <v>0</v>
      </c>
      <c r="V1567" s="6">
        <v>0</v>
      </c>
      <c r="W1567" s="6">
        <v>0</v>
      </c>
      <c r="X1567" s="6">
        <v>0</v>
      </c>
      <c r="Y1567" t="s">
        <v>171</v>
      </c>
      <c r="Z1567" s="5">
        <v>-282</v>
      </c>
      <c r="AD1567">
        <v>5</v>
      </c>
      <c r="AE1567" s="1">
        <v>713</v>
      </c>
      <c r="AF1567">
        <v>1</v>
      </c>
      <c r="AL1567" s="9">
        <v>18</v>
      </c>
      <c r="AM1567" s="9">
        <v>8</v>
      </c>
    </row>
    <row r="1568" spans="1:39" x14ac:dyDescent="0.3">
      <c r="A1568" t="s">
        <v>1510</v>
      </c>
      <c r="B1568" s="1" t="s">
        <v>1596</v>
      </c>
      <c r="C1568">
        <v>73</v>
      </c>
      <c r="D1568" s="8">
        <v>1.4300999999999999</v>
      </c>
      <c r="E1568">
        <v>600</v>
      </c>
      <c r="G1568" t="s">
        <v>29</v>
      </c>
      <c r="H1568" t="s">
        <v>987</v>
      </c>
      <c r="K1568" s="4">
        <v>1</v>
      </c>
      <c r="N1568" s="10">
        <v>2.8208744710860366E-3</v>
      </c>
      <c r="O1568" s="3">
        <v>0</v>
      </c>
      <c r="P1568">
        <v>40</v>
      </c>
      <c r="Q1568">
        <v>1.5</v>
      </c>
      <c r="R1568" t="s">
        <v>102</v>
      </c>
      <c r="S1568">
        <v>0</v>
      </c>
      <c r="T1568" s="6">
        <f>10^-(14-Q1568)</f>
        <v>3.1622776601683746E-13</v>
      </c>
      <c r="U1568" s="6">
        <v>0</v>
      </c>
      <c r="V1568" s="6">
        <v>0</v>
      </c>
      <c r="W1568" s="6">
        <v>0</v>
      </c>
      <c r="X1568" s="6">
        <v>0</v>
      </c>
      <c r="Y1568" t="s">
        <v>171</v>
      </c>
      <c r="Z1568" s="5">
        <v>-285</v>
      </c>
      <c r="AD1568">
        <v>5</v>
      </c>
      <c r="AE1568" s="1">
        <v>709</v>
      </c>
      <c r="AF1568">
        <v>1</v>
      </c>
      <c r="AL1568" s="9">
        <v>18</v>
      </c>
      <c r="AM1568" s="9">
        <v>8</v>
      </c>
    </row>
    <row r="1569" spans="1:39" x14ac:dyDescent="0.3">
      <c r="A1569" t="s">
        <v>1511</v>
      </c>
      <c r="B1569" s="1" t="s">
        <v>1596</v>
      </c>
      <c r="C1569">
        <v>73</v>
      </c>
      <c r="D1569" s="8">
        <v>1.4300999999999999</v>
      </c>
      <c r="E1569">
        <v>600</v>
      </c>
      <c r="G1569" t="s">
        <v>29</v>
      </c>
      <c r="H1569" t="s">
        <v>987</v>
      </c>
      <c r="K1569" s="4">
        <v>1</v>
      </c>
      <c r="N1569" s="10">
        <v>4.2313117066290554E-3</v>
      </c>
      <c r="O1569" s="3">
        <v>0</v>
      </c>
      <c r="P1569">
        <v>40</v>
      </c>
      <c r="Q1569">
        <v>1.5</v>
      </c>
      <c r="R1569" t="s">
        <v>102</v>
      </c>
      <c r="S1569">
        <v>0</v>
      </c>
      <c r="T1569" s="6">
        <f>10^-(14-Q1569)</f>
        <v>3.1622776601683746E-13</v>
      </c>
      <c r="U1569" s="6">
        <v>0</v>
      </c>
      <c r="V1569" s="6">
        <v>0</v>
      </c>
      <c r="W1569" s="6">
        <v>0</v>
      </c>
      <c r="X1569" s="6">
        <v>0</v>
      </c>
      <c r="Y1569" t="s">
        <v>171</v>
      </c>
      <c r="Z1569" s="5">
        <v>-291</v>
      </c>
      <c r="AD1569">
        <v>5</v>
      </c>
      <c r="AE1569" s="1">
        <v>698</v>
      </c>
      <c r="AF1569">
        <v>1</v>
      </c>
      <c r="AL1569" s="9">
        <v>18</v>
      </c>
      <c r="AM1569" s="9">
        <v>8</v>
      </c>
    </row>
    <row r="1570" spans="1:39" x14ac:dyDescent="0.3">
      <c r="A1570" t="s">
        <v>1512</v>
      </c>
      <c r="B1570" s="1" t="s">
        <v>1596</v>
      </c>
      <c r="C1570">
        <v>73</v>
      </c>
      <c r="D1570" s="8">
        <v>1.4300999999999999</v>
      </c>
      <c r="E1570">
        <v>600</v>
      </c>
      <c r="G1570" t="s">
        <v>29</v>
      </c>
      <c r="H1570" t="s">
        <v>987</v>
      </c>
      <c r="K1570" s="4">
        <v>1</v>
      </c>
      <c r="N1570" s="10">
        <v>5.6417489421720732E-3</v>
      </c>
      <c r="O1570" s="3">
        <v>0</v>
      </c>
      <c r="P1570">
        <v>40</v>
      </c>
      <c r="Q1570">
        <v>1.5</v>
      </c>
      <c r="R1570" t="s">
        <v>102</v>
      </c>
      <c r="S1570">
        <v>0</v>
      </c>
      <c r="T1570" s="6">
        <f>10^-(14-Q1570)</f>
        <v>3.1622776601683746E-13</v>
      </c>
      <c r="U1570" s="6">
        <v>0</v>
      </c>
      <c r="V1570" s="6">
        <v>0</v>
      </c>
      <c r="W1570" s="6">
        <v>0</v>
      </c>
      <c r="X1570" s="6">
        <v>0</v>
      </c>
      <c r="Y1570" t="s">
        <v>171</v>
      </c>
      <c r="Z1570" s="5">
        <v>-297</v>
      </c>
      <c r="AD1570">
        <v>5</v>
      </c>
      <c r="AE1570" s="1">
        <v>680</v>
      </c>
      <c r="AF1570">
        <v>1</v>
      </c>
      <c r="AL1570" s="9">
        <v>18</v>
      </c>
      <c r="AM1570" s="9">
        <v>8</v>
      </c>
    </row>
    <row r="1571" spans="1:39" x14ac:dyDescent="0.3">
      <c r="A1571" t="s">
        <v>1513</v>
      </c>
      <c r="B1571" s="1" t="s">
        <v>1596</v>
      </c>
      <c r="C1571">
        <v>73</v>
      </c>
      <c r="D1571" s="8">
        <v>1.4300999999999999</v>
      </c>
      <c r="E1571">
        <v>600</v>
      </c>
      <c r="G1571" t="s">
        <v>29</v>
      </c>
      <c r="H1571" t="s">
        <v>987</v>
      </c>
      <c r="K1571" s="4">
        <v>1</v>
      </c>
      <c r="N1571" s="10">
        <v>7.0521861777150916E-4</v>
      </c>
      <c r="O1571" s="3">
        <v>0</v>
      </c>
      <c r="P1571">
        <v>40</v>
      </c>
      <c r="Q1571">
        <v>3.5</v>
      </c>
      <c r="R1571" t="s">
        <v>102</v>
      </c>
      <c r="S1571">
        <v>0</v>
      </c>
      <c r="T1571" s="6">
        <f>10^-(14-Q1571)</f>
        <v>3.162277660168371E-11</v>
      </c>
      <c r="U1571" s="6">
        <v>0</v>
      </c>
      <c r="V1571" s="6">
        <v>0</v>
      </c>
      <c r="W1571" s="6">
        <v>0</v>
      </c>
      <c r="X1571" s="6">
        <v>0</v>
      </c>
      <c r="Y1571" t="s">
        <v>171</v>
      </c>
      <c r="Z1571" s="5">
        <v>-215</v>
      </c>
      <c r="AD1571">
        <v>5</v>
      </c>
      <c r="AE1571" s="1">
        <v>911</v>
      </c>
      <c r="AF1571">
        <v>1</v>
      </c>
      <c r="AL1571" s="9">
        <v>18</v>
      </c>
      <c r="AM1571" s="9">
        <v>8</v>
      </c>
    </row>
    <row r="1572" spans="1:39" x14ac:dyDescent="0.3">
      <c r="A1572" t="s">
        <v>1514</v>
      </c>
      <c r="B1572" s="1" t="s">
        <v>1596</v>
      </c>
      <c r="C1572">
        <v>73</v>
      </c>
      <c r="D1572" s="8">
        <v>1.4300999999999999</v>
      </c>
      <c r="E1572">
        <v>600</v>
      </c>
      <c r="G1572" t="s">
        <v>29</v>
      </c>
      <c r="H1572" t="s">
        <v>987</v>
      </c>
      <c r="K1572" s="4">
        <v>1</v>
      </c>
      <c r="N1572" s="10">
        <v>1.4104372355430183E-3</v>
      </c>
      <c r="O1572" s="3">
        <v>0</v>
      </c>
      <c r="P1572">
        <v>40</v>
      </c>
      <c r="Q1572">
        <v>3.5</v>
      </c>
      <c r="R1572" t="s">
        <v>102</v>
      </c>
      <c r="S1572">
        <v>0</v>
      </c>
      <c r="T1572" s="6">
        <f>10^-(14-Q1572)</f>
        <v>3.162277660168371E-11</v>
      </c>
      <c r="U1572" s="6">
        <v>0</v>
      </c>
      <c r="V1572" s="6">
        <v>0</v>
      </c>
      <c r="W1572" s="6">
        <v>0</v>
      </c>
      <c r="X1572" s="6">
        <v>0</v>
      </c>
      <c r="Y1572" t="s">
        <v>171</v>
      </c>
      <c r="Z1572" s="5">
        <v>-219</v>
      </c>
      <c r="AD1572">
        <v>5</v>
      </c>
      <c r="AE1572" s="1">
        <v>904</v>
      </c>
      <c r="AF1572">
        <v>1</v>
      </c>
      <c r="AL1572" s="9">
        <v>18</v>
      </c>
      <c r="AM1572" s="9">
        <v>8</v>
      </c>
    </row>
    <row r="1573" spans="1:39" x14ac:dyDescent="0.3">
      <c r="A1573" t="s">
        <v>1515</v>
      </c>
      <c r="B1573" s="1" t="s">
        <v>1596</v>
      </c>
      <c r="C1573">
        <v>73</v>
      </c>
      <c r="D1573" s="8">
        <v>1.4300999999999999</v>
      </c>
      <c r="E1573">
        <v>600</v>
      </c>
      <c r="G1573" t="s">
        <v>29</v>
      </c>
      <c r="H1573" t="s">
        <v>987</v>
      </c>
      <c r="K1573" s="4">
        <v>1</v>
      </c>
      <c r="N1573" s="10">
        <v>2.1156558533145277E-3</v>
      </c>
      <c r="O1573" s="3">
        <v>0</v>
      </c>
      <c r="P1573">
        <v>40</v>
      </c>
      <c r="Q1573">
        <v>3.5</v>
      </c>
      <c r="R1573" t="s">
        <v>102</v>
      </c>
      <c r="S1573">
        <v>0</v>
      </c>
      <c r="T1573" s="6">
        <f>10^-(14-Q1573)</f>
        <v>3.162277660168371E-11</v>
      </c>
      <c r="U1573" s="6">
        <v>0</v>
      </c>
      <c r="V1573" s="6">
        <v>0</v>
      </c>
      <c r="W1573" s="6">
        <v>0</v>
      </c>
      <c r="X1573" s="6">
        <v>0</v>
      </c>
      <c r="Y1573" t="s">
        <v>171</v>
      </c>
      <c r="Z1573" s="5">
        <v>-228</v>
      </c>
      <c r="AD1573">
        <v>5</v>
      </c>
      <c r="AE1573" s="1">
        <v>883</v>
      </c>
      <c r="AF1573">
        <v>1</v>
      </c>
      <c r="AL1573" s="9">
        <v>18</v>
      </c>
      <c r="AM1573" s="9">
        <v>8</v>
      </c>
    </row>
    <row r="1574" spans="1:39" x14ac:dyDescent="0.3">
      <c r="A1574" t="s">
        <v>1516</v>
      </c>
      <c r="B1574" s="1" t="s">
        <v>1596</v>
      </c>
      <c r="C1574">
        <v>73</v>
      </c>
      <c r="D1574" s="8">
        <v>1.4300999999999999</v>
      </c>
      <c r="E1574">
        <v>600</v>
      </c>
      <c r="G1574" t="s">
        <v>29</v>
      </c>
      <c r="H1574" t="s">
        <v>987</v>
      </c>
      <c r="K1574" s="4">
        <v>1</v>
      </c>
      <c r="N1574" s="10">
        <v>2.8208744710860366E-3</v>
      </c>
      <c r="O1574" s="3">
        <v>0</v>
      </c>
      <c r="P1574">
        <v>40</v>
      </c>
      <c r="Q1574">
        <v>3.5</v>
      </c>
      <c r="R1574" t="s">
        <v>102</v>
      </c>
      <c r="S1574">
        <v>0</v>
      </c>
      <c r="T1574" s="6">
        <f>10^-(14-Q1574)</f>
        <v>3.162277660168371E-11</v>
      </c>
      <c r="U1574" s="6">
        <v>0</v>
      </c>
      <c r="V1574" s="6">
        <v>0</v>
      </c>
      <c r="W1574" s="6">
        <v>0</v>
      </c>
      <c r="X1574" s="6">
        <v>0</v>
      </c>
      <c r="Y1574" t="s">
        <v>171</v>
      </c>
      <c r="Z1574" s="5">
        <v>-233</v>
      </c>
      <c r="AD1574">
        <v>5</v>
      </c>
      <c r="AE1574" s="1">
        <v>859</v>
      </c>
      <c r="AF1574">
        <v>1</v>
      </c>
      <c r="AL1574" s="9">
        <v>18</v>
      </c>
      <c r="AM1574" s="9">
        <v>8</v>
      </c>
    </row>
    <row r="1575" spans="1:39" x14ac:dyDescent="0.3">
      <c r="A1575" t="s">
        <v>1517</v>
      </c>
      <c r="B1575" s="1" t="s">
        <v>1596</v>
      </c>
      <c r="C1575">
        <v>73</v>
      </c>
      <c r="D1575" s="8">
        <v>1.4300999999999999</v>
      </c>
      <c r="E1575">
        <v>600</v>
      </c>
      <c r="G1575" t="s">
        <v>29</v>
      </c>
      <c r="H1575" t="s">
        <v>987</v>
      </c>
      <c r="K1575" s="4">
        <v>1</v>
      </c>
      <c r="N1575" s="10">
        <v>4.2313117066290554E-3</v>
      </c>
      <c r="O1575" s="3">
        <v>0</v>
      </c>
      <c r="P1575">
        <v>40</v>
      </c>
      <c r="Q1575">
        <v>3.5</v>
      </c>
      <c r="R1575" t="s">
        <v>102</v>
      </c>
      <c r="S1575">
        <v>0</v>
      </c>
      <c r="T1575" s="6">
        <f>10^-(14-Q1575)</f>
        <v>3.162277660168371E-11</v>
      </c>
      <c r="U1575" s="6">
        <v>0</v>
      </c>
      <c r="V1575" s="6">
        <v>0</v>
      </c>
      <c r="W1575" s="6">
        <v>0</v>
      </c>
      <c r="X1575" s="6">
        <v>0</v>
      </c>
      <c r="Y1575" t="s">
        <v>171</v>
      </c>
      <c r="Z1575" s="5">
        <v>-235</v>
      </c>
      <c r="AD1575">
        <v>5</v>
      </c>
      <c r="AE1575" s="1">
        <v>853</v>
      </c>
      <c r="AF1575">
        <v>1</v>
      </c>
      <c r="AL1575" s="9">
        <v>18</v>
      </c>
      <c r="AM1575" s="9">
        <v>8</v>
      </c>
    </row>
    <row r="1576" spans="1:39" x14ac:dyDescent="0.3">
      <c r="A1576" t="s">
        <v>1518</v>
      </c>
      <c r="B1576" s="1" t="s">
        <v>1596</v>
      </c>
      <c r="C1576">
        <v>73</v>
      </c>
      <c r="D1576" s="8">
        <v>1.4300999999999999</v>
      </c>
      <c r="E1576">
        <v>600</v>
      </c>
      <c r="G1576" t="s">
        <v>29</v>
      </c>
      <c r="H1576" t="s">
        <v>987</v>
      </c>
      <c r="K1576" s="4">
        <v>1</v>
      </c>
      <c r="N1576" s="10">
        <v>5.6417489421720732E-3</v>
      </c>
      <c r="O1576" s="3">
        <v>0</v>
      </c>
      <c r="P1576">
        <v>40</v>
      </c>
      <c r="Q1576">
        <v>3.5</v>
      </c>
      <c r="R1576" t="s">
        <v>102</v>
      </c>
      <c r="S1576">
        <v>0</v>
      </c>
      <c r="T1576" s="6">
        <f>10^-(14-Q1576)</f>
        <v>3.162277660168371E-11</v>
      </c>
      <c r="U1576" s="6">
        <v>0</v>
      </c>
      <c r="V1576" s="6">
        <v>0</v>
      </c>
      <c r="W1576" s="6">
        <v>0</v>
      </c>
      <c r="X1576" s="6">
        <v>0</v>
      </c>
      <c r="Y1576" t="s">
        <v>171</v>
      </c>
      <c r="Z1576" s="5">
        <v>-239</v>
      </c>
      <c r="AD1576">
        <v>5</v>
      </c>
      <c r="AE1576" s="1">
        <v>847</v>
      </c>
      <c r="AF1576">
        <v>1</v>
      </c>
      <c r="AL1576" s="9">
        <v>18</v>
      </c>
      <c r="AM1576" s="9">
        <v>8</v>
      </c>
    </row>
    <row r="1577" spans="1:39" x14ac:dyDescent="0.3">
      <c r="A1577" t="s">
        <v>1519</v>
      </c>
      <c r="B1577" s="1" t="s">
        <v>1596</v>
      </c>
      <c r="C1577">
        <v>73</v>
      </c>
      <c r="D1577" s="8">
        <v>1.4300999999999999</v>
      </c>
      <c r="E1577">
        <v>600</v>
      </c>
      <c r="G1577" t="s">
        <v>29</v>
      </c>
      <c r="H1577" t="s">
        <v>987</v>
      </c>
      <c r="K1577" s="4">
        <v>1</v>
      </c>
      <c r="N1577" s="10">
        <v>7.0521861777150916E-4</v>
      </c>
      <c r="O1577" s="3">
        <v>0</v>
      </c>
      <c r="P1577">
        <v>40</v>
      </c>
      <c r="Q1577">
        <v>6.5</v>
      </c>
      <c r="R1577" t="s">
        <v>102</v>
      </c>
      <c r="S1577">
        <v>0</v>
      </c>
      <c r="T1577" s="6">
        <f>10^-(14-Q1577)</f>
        <v>3.1622776601683699E-8</v>
      </c>
      <c r="U1577" s="6">
        <v>0</v>
      </c>
      <c r="V1577" s="6">
        <v>0</v>
      </c>
      <c r="W1577" s="6">
        <v>0</v>
      </c>
      <c r="X1577" s="6">
        <v>0</v>
      </c>
      <c r="Y1577" t="s">
        <v>171</v>
      </c>
      <c r="Z1577" s="5">
        <v>-145</v>
      </c>
      <c r="AD1577">
        <v>5</v>
      </c>
      <c r="AE1577" s="1">
        <v>1005</v>
      </c>
      <c r="AF1577">
        <v>1</v>
      </c>
      <c r="AL1577" s="9">
        <v>18</v>
      </c>
      <c r="AM1577" s="9">
        <v>8</v>
      </c>
    </row>
    <row r="1578" spans="1:39" x14ac:dyDescent="0.3">
      <c r="A1578" t="s">
        <v>1520</v>
      </c>
      <c r="B1578" s="1" t="s">
        <v>1596</v>
      </c>
      <c r="C1578">
        <v>73</v>
      </c>
      <c r="D1578" s="8">
        <v>1.4300999999999999</v>
      </c>
      <c r="E1578">
        <v>600</v>
      </c>
      <c r="G1578" t="s">
        <v>29</v>
      </c>
      <c r="H1578" t="s">
        <v>987</v>
      </c>
      <c r="K1578" s="4">
        <v>1</v>
      </c>
      <c r="N1578" s="10">
        <v>1.4104372355430183E-3</v>
      </c>
      <c r="O1578" s="3">
        <v>0</v>
      </c>
      <c r="P1578">
        <v>40</v>
      </c>
      <c r="Q1578">
        <v>6.5</v>
      </c>
      <c r="R1578" t="s">
        <v>102</v>
      </c>
      <c r="S1578">
        <v>0</v>
      </c>
      <c r="T1578" s="6">
        <f>10^-(14-Q1578)</f>
        <v>3.1622776601683699E-8</v>
      </c>
      <c r="U1578" s="6">
        <v>0</v>
      </c>
      <c r="V1578" s="6">
        <v>0</v>
      </c>
      <c r="W1578" s="6">
        <v>0</v>
      </c>
      <c r="X1578" s="6">
        <v>0</v>
      </c>
      <c r="Y1578" t="s">
        <v>171</v>
      </c>
      <c r="Z1578" s="5">
        <v>-150</v>
      </c>
      <c r="AD1578">
        <v>5</v>
      </c>
      <c r="AE1578" s="1">
        <v>987</v>
      </c>
      <c r="AF1578">
        <v>1</v>
      </c>
      <c r="AL1578" s="9">
        <v>18</v>
      </c>
      <c r="AM1578" s="9">
        <v>8</v>
      </c>
    </row>
    <row r="1579" spans="1:39" x14ac:dyDescent="0.3">
      <c r="A1579" t="s">
        <v>1521</v>
      </c>
      <c r="B1579" s="1" t="s">
        <v>1596</v>
      </c>
      <c r="C1579">
        <v>73</v>
      </c>
      <c r="D1579" s="8">
        <v>1.4300999999999999</v>
      </c>
      <c r="E1579">
        <v>600</v>
      </c>
      <c r="G1579" t="s">
        <v>29</v>
      </c>
      <c r="H1579" t="s">
        <v>987</v>
      </c>
      <c r="K1579" s="4">
        <v>1</v>
      </c>
      <c r="N1579" s="10">
        <v>2.1156558533145277E-3</v>
      </c>
      <c r="O1579" s="3">
        <v>0</v>
      </c>
      <c r="P1579">
        <v>40</v>
      </c>
      <c r="Q1579">
        <v>6.5</v>
      </c>
      <c r="R1579" t="s">
        <v>102</v>
      </c>
      <c r="S1579">
        <v>0</v>
      </c>
      <c r="T1579" s="6">
        <f>10^-(14-Q1579)</f>
        <v>3.1622776601683699E-8</v>
      </c>
      <c r="U1579" s="6">
        <v>0</v>
      </c>
      <c r="V1579" s="6">
        <v>0</v>
      </c>
      <c r="W1579" s="6">
        <v>0</v>
      </c>
      <c r="X1579" s="6">
        <v>0</v>
      </c>
      <c r="Y1579" t="s">
        <v>171</v>
      </c>
      <c r="Z1579" s="5">
        <v>-153</v>
      </c>
      <c r="AD1579">
        <v>5</v>
      </c>
      <c r="AE1579" s="1">
        <v>974</v>
      </c>
      <c r="AF1579">
        <v>1</v>
      </c>
      <c r="AL1579" s="9">
        <v>18</v>
      </c>
      <c r="AM1579" s="9">
        <v>8</v>
      </c>
    </row>
    <row r="1580" spans="1:39" x14ac:dyDescent="0.3">
      <c r="A1580" t="s">
        <v>1522</v>
      </c>
      <c r="B1580" s="1" t="s">
        <v>1596</v>
      </c>
      <c r="C1580">
        <v>73</v>
      </c>
      <c r="D1580" s="8">
        <v>1.4300999999999999</v>
      </c>
      <c r="E1580">
        <v>600</v>
      </c>
      <c r="G1580" t="s">
        <v>29</v>
      </c>
      <c r="H1580" t="s">
        <v>987</v>
      </c>
      <c r="K1580" s="4">
        <v>1</v>
      </c>
      <c r="N1580" s="10">
        <v>2.8208744710860366E-3</v>
      </c>
      <c r="O1580" s="3">
        <v>0</v>
      </c>
      <c r="P1580">
        <v>40</v>
      </c>
      <c r="Q1580">
        <v>6.5</v>
      </c>
      <c r="R1580" t="s">
        <v>102</v>
      </c>
      <c r="S1580">
        <v>0</v>
      </c>
      <c r="T1580" s="6">
        <f>10^-(14-Q1580)</f>
        <v>3.1622776601683699E-8</v>
      </c>
      <c r="U1580" s="6">
        <v>0</v>
      </c>
      <c r="V1580" s="6">
        <v>0</v>
      </c>
      <c r="W1580" s="6">
        <v>0</v>
      </c>
      <c r="X1580" s="6">
        <v>0</v>
      </c>
      <c r="Y1580" t="s">
        <v>171</v>
      </c>
      <c r="Z1580" s="5">
        <v>-176</v>
      </c>
      <c r="AD1580">
        <v>5</v>
      </c>
      <c r="AE1580" s="1">
        <v>983</v>
      </c>
      <c r="AF1580">
        <v>1</v>
      </c>
      <c r="AL1580" s="9">
        <v>18</v>
      </c>
      <c r="AM1580" s="9">
        <v>8</v>
      </c>
    </row>
    <row r="1581" spans="1:39" x14ac:dyDescent="0.3">
      <c r="A1581" t="s">
        <v>1523</v>
      </c>
      <c r="B1581" s="1" t="s">
        <v>1596</v>
      </c>
      <c r="C1581">
        <v>73</v>
      </c>
      <c r="D1581" s="8">
        <v>1.4300999999999999</v>
      </c>
      <c r="E1581">
        <v>600</v>
      </c>
      <c r="G1581" t="s">
        <v>29</v>
      </c>
      <c r="H1581" t="s">
        <v>987</v>
      </c>
      <c r="K1581" s="4">
        <v>1</v>
      </c>
      <c r="N1581" s="10">
        <v>4.2313117066290554E-3</v>
      </c>
      <c r="O1581" s="3">
        <v>0</v>
      </c>
      <c r="P1581">
        <v>40</v>
      </c>
      <c r="Q1581">
        <v>6.5</v>
      </c>
      <c r="R1581" t="s">
        <v>102</v>
      </c>
      <c r="S1581">
        <v>0</v>
      </c>
      <c r="T1581" s="6">
        <f>10^-(14-Q1581)</f>
        <v>3.1622776601683699E-8</v>
      </c>
      <c r="U1581" s="6">
        <v>0</v>
      </c>
      <c r="V1581" s="6">
        <v>0</v>
      </c>
      <c r="W1581" s="6">
        <v>0</v>
      </c>
      <c r="X1581" s="6">
        <v>0</v>
      </c>
      <c r="Y1581" t="s">
        <v>171</v>
      </c>
      <c r="Z1581" s="5">
        <v>-183</v>
      </c>
      <c r="AD1581">
        <v>5</v>
      </c>
      <c r="AE1581" s="1">
        <v>979</v>
      </c>
      <c r="AF1581">
        <v>1</v>
      </c>
      <c r="AL1581" s="9">
        <v>18</v>
      </c>
      <c r="AM1581" s="9">
        <v>8</v>
      </c>
    </row>
    <row r="1582" spans="1:39" x14ac:dyDescent="0.3">
      <c r="A1582" t="s">
        <v>1524</v>
      </c>
      <c r="B1582" s="1" t="s">
        <v>1596</v>
      </c>
      <c r="C1582">
        <v>73</v>
      </c>
      <c r="D1582" s="8">
        <v>1.4300999999999999</v>
      </c>
      <c r="E1582">
        <v>600</v>
      </c>
      <c r="G1582" t="s">
        <v>29</v>
      </c>
      <c r="H1582" t="s">
        <v>987</v>
      </c>
      <c r="K1582" s="4">
        <v>1</v>
      </c>
      <c r="N1582" s="10">
        <v>5.6417489421720732E-3</v>
      </c>
      <c r="O1582" s="3">
        <v>0</v>
      </c>
      <c r="P1582">
        <v>40</v>
      </c>
      <c r="Q1582">
        <v>6.5</v>
      </c>
      <c r="R1582" t="s">
        <v>102</v>
      </c>
      <c r="S1582">
        <v>0</v>
      </c>
      <c r="T1582" s="6">
        <f>10^-(14-Q1582)</f>
        <v>3.1622776601683699E-8</v>
      </c>
      <c r="U1582" s="6">
        <v>0</v>
      </c>
      <c r="V1582" s="6">
        <v>0</v>
      </c>
      <c r="W1582" s="6">
        <v>0</v>
      </c>
      <c r="X1582" s="6">
        <v>0</v>
      </c>
      <c r="Y1582" t="s">
        <v>171</v>
      </c>
      <c r="Z1582" s="5">
        <v>-197</v>
      </c>
      <c r="AD1582">
        <v>5</v>
      </c>
      <c r="AE1582" s="1">
        <v>975</v>
      </c>
      <c r="AF1582">
        <v>1</v>
      </c>
      <c r="AL1582" s="9">
        <v>18</v>
      </c>
      <c r="AM1582" s="9">
        <v>8</v>
      </c>
    </row>
    <row r="1583" spans="1:39" x14ac:dyDescent="0.3">
      <c r="A1583" t="s">
        <v>1525</v>
      </c>
      <c r="B1583" s="1" t="s">
        <v>1596</v>
      </c>
      <c r="C1583">
        <v>73</v>
      </c>
      <c r="D1583" s="8">
        <v>1.4300999999999999</v>
      </c>
      <c r="E1583">
        <v>600</v>
      </c>
      <c r="G1583" t="s">
        <v>29</v>
      </c>
      <c r="H1583" t="s">
        <v>987</v>
      </c>
      <c r="K1583" s="4">
        <v>1</v>
      </c>
      <c r="N1583" s="10">
        <v>7.0521861777150916E-4</v>
      </c>
      <c r="O1583" s="3">
        <v>0</v>
      </c>
      <c r="P1583">
        <v>60</v>
      </c>
      <c r="Q1583">
        <v>1.5</v>
      </c>
      <c r="R1583" t="s">
        <v>102</v>
      </c>
      <c r="S1583">
        <v>0</v>
      </c>
      <c r="T1583" s="6">
        <f>10^-(14-Q1583)</f>
        <v>3.1622776601683746E-13</v>
      </c>
      <c r="U1583" s="6">
        <v>0</v>
      </c>
      <c r="V1583" s="6">
        <v>0</v>
      </c>
      <c r="W1583" s="6">
        <v>0</v>
      </c>
      <c r="X1583" s="6">
        <v>0</v>
      </c>
      <c r="Y1583" t="s">
        <v>171</v>
      </c>
      <c r="Z1583" s="5">
        <v>-353</v>
      </c>
      <c r="AD1583">
        <v>5</v>
      </c>
      <c r="AE1583" s="1">
        <v>552</v>
      </c>
      <c r="AF1583">
        <v>1</v>
      </c>
      <c r="AL1583" s="9">
        <v>18</v>
      </c>
      <c r="AM1583" s="9">
        <v>8</v>
      </c>
    </row>
    <row r="1584" spans="1:39" x14ac:dyDescent="0.3">
      <c r="A1584" t="s">
        <v>1526</v>
      </c>
      <c r="B1584" s="1" t="s">
        <v>1596</v>
      </c>
      <c r="C1584">
        <v>73</v>
      </c>
      <c r="D1584" s="8">
        <v>1.4300999999999999</v>
      </c>
      <c r="E1584">
        <v>600</v>
      </c>
      <c r="G1584" t="s">
        <v>29</v>
      </c>
      <c r="H1584" t="s">
        <v>987</v>
      </c>
      <c r="K1584" s="4">
        <v>1</v>
      </c>
      <c r="N1584" s="10">
        <v>1.4104372355430183E-3</v>
      </c>
      <c r="O1584" s="3">
        <v>0</v>
      </c>
      <c r="P1584">
        <v>60</v>
      </c>
      <c r="Q1584">
        <v>1.5</v>
      </c>
      <c r="R1584" t="s">
        <v>102</v>
      </c>
      <c r="S1584">
        <v>0</v>
      </c>
      <c r="T1584" s="6">
        <f>10^-(14-Q1584)</f>
        <v>3.1622776601683746E-13</v>
      </c>
      <c r="U1584" s="6">
        <v>0</v>
      </c>
      <c r="V1584" s="6">
        <v>0</v>
      </c>
      <c r="W1584" s="6">
        <v>0</v>
      </c>
      <c r="X1584" s="6">
        <v>0</v>
      </c>
      <c r="Y1584" t="s">
        <v>171</v>
      </c>
      <c r="Z1584" s="5">
        <v>-357</v>
      </c>
      <c r="AD1584">
        <v>5</v>
      </c>
      <c r="AE1584" s="1">
        <v>515</v>
      </c>
      <c r="AF1584">
        <v>1</v>
      </c>
      <c r="AL1584" s="9">
        <v>18</v>
      </c>
      <c r="AM1584" s="9">
        <v>8</v>
      </c>
    </row>
    <row r="1585" spans="1:39" x14ac:dyDescent="0.3">
      <c r="A1585" t="s">
        <v>1527</v>
      </c>
      <c r="B1585" s="1" t="s">
        <v>1596</v>
      </c>
      <c r="C1585">
        <v>73</v>
      </c>
      <c r="D1585" s="8">
        <v>1.4300999999999999</v>
      </c>
      <c r="E1585">
        <v>600</v>
      </c>
      <c r="G1585" t="s">
        <v>29</v>
      </c>
      <c r="H1585" t="s">
        <v>987</v>
      </c>
      <c r="K1585" s="4">
        <v>1</v>
      </c>
      <c r="N1585" s="10">
        <v>2.1156558533145277E-3</v>
      </c>
      <c r="O1585" s="3">
        <v>0</v>
      </c>
      <c r="P1585">
        <v>60</v>
      </c>
      <c r="Q1585">
        <v>1.5</v>
      </c>
      <c r="R1585" t="s">
        <v>102</v>
      </c>
      <c r="S1585">
        <v>0</v>
      </c>
      <c r="T1585" s="6">
        <f>10^-(14-Q1585)</f>
        <v>3.1622776601683746E-13</v>
      </c>
      <c r="U1585" s="6">
        <v>0</v>
      </c>
      <c r="V1585" s="6">
        <v>0</v>
      </c>
      <c r="W1585" s="6">
        <v>0</v>
      </c>
      <c r="X1585" s="6">
        <v>0</v>
      </c>
      <c r="Y1585" t="s">
        <v>171</v>
      </c>
      <c r="Z1585" s="5">
        <v>-358</v>
      </c>
      <c r="AD1585">
        <v>5</v>
      </c>
      <c r="AE1585" s="1">
        <v>510</v>
      </c>
      <c r="AF1585">
        <v>1</v>
      </c>
      <c r="AL1585" s="9">
        <v>18</v>
      </c>
      <c r="AM1585" s="9">
        <v>8</v>
      </c>
    </row>
    <row r="1586" spans="1:39" x14ac:dyDescent="0.3">
      <c r="A1586" t="s">
        <v>1528</v>
      </c>
      <c r="B1586" s="1" t="s">
        <v>1596</v>
      </c>
      <c r="C1586">
        <v>73</v>
      </c>
      <c r="D1586" s="8">
        <v>1.4300999999999999</v>
      </c>
      <c r="E1586">
        <v>600</v>
      </c>
      <c r="G1586" t="s">
        <v>29</v>
      </c>
      <c r="H1586" t="s">
        <v>987</v>
      </c>
      <c r="K1586" s="4">
        <v>1</v>
      </c>
      <c r="N1586" s="10">
        <v>2.8208744710860366E-3</v>
      </c>
      <c r="O1586" s="3">
        <v>0</v>
      </c>
      <c r="P1586">
        <v>60</v>
      </c>
      <c r="Q1586">
        <v>1.5</v>
      </c>
      <c r="R1586" t="s">
        <v>102</v>
      </c>
      <c r="S1586">
        <v>0</v>
      </c>
      <c r="T1586" s="6">
        <f>10^-(14-Q1586)</f>
        <v>3.1622776601683746E-13</v>
      </c>
      <c r="U1586" s="6">
        <v>0</v>
      </c>
      <c r="V1586" s="6">
        <v>0</v>
      </c>
      <c r="W1586" s="6">
        <v>0</v>
      </c>
      <c r="X1586" s="6">
        <v>0</v>
      </c>
      <c r="Y1586" t="s">
        <v>171</v>
      </c>
      <c r="Z1586" s="5">
        <v>-362</v>
      </c>
      <c r="AD1586">
        <v>5</v>
      </c>
      <c r="AE1586" s="1">
        <v>491</v>
      </c>
      <c r="AF1586">
        <v>1</v>
      </c>
      <c r="AL1586" s="9">
        <v>18</v>
      </c>
      <c r="AM1586" s="9">
        <v>8</v>
      </c>
    </row>
    <row r="1587" spans="1:39" x14ac:dyDescent="0.3">
      <c r="A1587" t="s">
        <v>1529</v>
      </c>
      <c r="B1587" s="1" t="s">
        <v>1596</v>
      </c>
      <c r="C1587">
        <v>73</v>
      </c>
      <c r="D1587" s="8">
        <v>1.4300999999999999</v>
      </c>
      <c r="E1587">
        <v>600</v>
      </c>
      <c r="G1587" t="s">
        <v>29</v>
      </c>
      <c r="H1587" t="s">
        <v>987</v>
      </c>
      <c r="K1587" s="4">
        <v>1</v>
      </c>
      <c r="N1587" s="10">
        <v>4.2313117066290554E-3</v>
      </c>
      <c r="O1587" s="3">
        <v>0</v>
      </c>
      <c r="P1587">
        <v>60</v>
      </c>
      <c r="Q1587">
        <v>1.5</v>
      </c>
      <c r="R1587" t="s">
        <v>102</v>
      </c>
      <c r="S1587">
        <v>0</v>
      </c>
      <c r="T1587" s="6">
        <f>10^-(14-Q1587)</f>
        <v>3.1622776601683746E-13</v>
      </c>
      <c r="U1587" s="6">
        <v>0</v>
      </c>
      <c r="V1587" s="6">
        <v>0</v>
      </c>
      <c r="W1587" s="6">
        <v>0</v>
      </c>
      <c r="X1587" s="6">
        <v>0</v>
      </c>
      <c r="Y1587" t="s">
        <v>171</v>
      </c>
      <c r="Z1587" s="5">
        <v>-365</v>
      </c>
      <c r="AD1587">
        <v>5</v>
      </c>
      <c r="AE1587" s="1">
        <v>484</v>
      </c>
      <c r="AF1587">
        <v>1</v>
      </c>
      <c r="AL1587" s="9">
        <v>18</v>
      </c>
      <c r="AM1587" s="9">
        <v>8</v>
      </c>
    </row>
    <row r="1588" spans="1:39" x14ac:dyDescent="0.3">
      <c r="A1588" t="s">
        <v>1530</v>
      </c>
      <c r="B1588" s="1" t="s">
        <v>1596</v>
      </c>
      <c r="C1588">
        <v>73</v>
      </c>
      <c r="D1588" s="8">
        <v>1.4300999999999999</v>
      </c>
      <c r="E1588">
        <v>600</v>
      </c>
      <c r="G1588" t="s">
        <v>29</v>
      </c>
      <c r="H1588" t="s">
        <v>987</v>
      </c>
      <c r="K1588" s="4">
        <v>1</v>
      </c>
      <c r="N1588" s="10">
        <v>5.6417489421720732E-3</v>
      </c>
      <c r="O1588" s="3">
        <v>0</v>
      </c>
      <c r="P1588">
        <v>60</v>
      </c>
      <c r="Q1588">
        <v>1.5</v>
      </c>
      <c r="R1588" t="s">
        <v>102</v>
      </c>
      <c r="S1588">
        <v>0</v>
      </c>
      <c r="T1588" s="6">
        <f>10^-(14-Q1588)</f>
        <v>3.1622776601683746E-13</v>
      </c>
      <c r="U1588" s="6">
        <v>0</v>
      </c>
      <c r="V1588" s="6">
        <v>0</v>
      </c>
      <c r="W1588" s="6">
        <v>0</v>
      </c>
      <c r="X1588" s="6">
        <v>0</v>
      </c>
      <c r="Y1588" t="s">
        <v>171</v>
      </c>
      <c r="Z1588" s="5">
        <v>-397</v>
      </c>
      <c r="AD1588">
        <v>5</v>
      </c>
      <c r="AE1588" s="1">
        <v>471</v>
      </c>
      <c r="AF1588">
        <v>1</v>
      </c>
      <c r="AL1588" s="9">
        <v>18</v>
      </c>
      <c r="AM1588" s="9">
        <v>8</v>
      </c>
    </row>
    <row r="1589" spans="1:39" x14ac:dyDescent="0.3">
      <c r="A1589" t="s">
        <v>1531</v>
      </c>
      <c r="B1589" s="1" t="s">
        <v>1596</v>
      </c>
      <c r="C1589">
        <v>73</v>
      </c>
      <c r="D1589" s="8">
        <v>1.4300999999999999</v>
      </c>
      <c r="E1589">
        <v>600</v>
      </c>
      <c r="G1589" t="s">
        <v>29</v>
      </c>
      <c r="H1589" t="s">
        <v>987</v>
      </c>
      <c r="K1589" s="4">
        <v>1</v>
      </c>
      <c r="N1589" s="10">
        <v>7.0521861777150916E-4</v>
      </c>
      <c r="O1589" s="3">
        <v>0</v>
      </c>
      <c r="P1589">
        <v>60</v>
      </c>
      <c r="Q1589">
        <v>3.5</v>
      </c>
      <c r="R1589" t="s">
        <v>102</v>
      </c>
      <c r="S1589">
        <v>0</v>
      </c>
      <c r="T1589" s="6">
        <f>10^-(14-Q1589)</f>
        <v>3.162277660168371E-11</v>
      </c>
      <c r="U1589" s="6">
        <v>0</v>
      </c>
      <c r="V1589" s="6">
        <v>0</v>
      </c>
      <c r="W1589" s="6">
        <v>0</v>
      </c>
      <c r="X1589" s="6">
        <v>0</v>
      </c>
      <c r="Y1589" t="s">
        <v>171</v>
      </c>
      <c r="Z1589" s="5">
        <v>-295</v>
      </c>
      <c r="AD1589">
        <v>5</v>
      </c>
      <c r="AE1589" s="1">
        <v>781</v>
      </c>
      <c r="AF1589">
        <v>1</v>
      </c>
      <c r="AL1589" s="9">
        <v>18</v>
      </c>
      <c r="AM1589" s="9">
        <v>8</v>
      </c>
    </row>
    <row r="1590" spans="1:39" x14ac:dyDescent="0.3">
      <c r="A1590" t="s">
        <v>1532</v>
      </c>
      <c r="B1590" s="1" t="s">
        <v>1596</v>
      </c>
      <c r="C1590">
        <v>73</v>
      </c>
      <c r="D1590" s="8">
        <v>1.4300999999999999</v>
      </c>
      <c r="E1590">
        <v>600</v>
      </c>
      <c r="G1590" t="s">
        <v>29</v>
      </c>
      <c r="H1590" t="s">
        <v>987</v>
      </c>
      <c r="K1590" s="4">
        <v>1</v>
      </c>
      <c r="N1590" s="10">
        <v>1.4104372355430183E-3</v>
      </c>
      <c r="O1590" s="3">
        <v>0</v>
      </c>
      <c r="P1590">
        <v>60</v>
      </c>
      <c r="Q1590">
        <v>3.5</v>
      </c>
      <c r="R1590" t="s">
        <v>102</v>
      </c>
      <c r="S1590">
        <v>0</v>
      </c>
      <c r="T1590" s="6">
        <f>10^-(14-Q1590)</f>
        <v>3.162277660168371E-11</v>
      </c>
      <c r="U1590" s="6">
        <v>0</v>
      </c>
      <c r="V1590" s="6">
        <v>0</v>
      </c>
      <c r="W1590" s="6">
        <v>0</v>
      </c>
      <c r="X1590" s="6">
        <v>0</v>
      </c>
      <c r="Y1590" t="s">
        <v>171</v>
      </c>
      <c r="Z1590" s="5">
        <v>-299</v>
      </c>
      <c r="AD1590">
        <v>5</v>
      </c>
      <c r="AE1590" s="1">
        <v>714</v>
      </c>
      <c r="AF1590">
        <v>1</v>
      </c>
      <c r="AL1590" s="9">
        <v>18</v>
      </c>
      <c r="AM1590" s="9">
        <v>8</v>
      </c>
    </row>
    <row r="1591" spans="1:39" x14ac:dyDescent="0.3">
      <c r="A1591" t="s">
        <v>1533</v>
      </c>
      <c r="B1591" s="1" t="s">
        <v>1596</v>
      </c>
      <c r="C1591">
        <v>73</v>
      </c>
      <c r="D1591" s="8">
        <v>1.4300999999999999</v>
      </c>
      <c r="E1591">
        <v>600</v>
      </c>
      <c r="G1591" t="s">
        <v>29</v>
      </c>
      <c r="H1591" t="s">
        <v>987</v>
      </c>
      <c r="K1591" s="4">
        <v>1</v>
      </c>
      <c r="N1591" s="10">
        <v>2.1156558533145277E-3</v>
      </c>
      <c r="O1591" s="3">
        <v>0</v>
      </c>
      <c r="P1591">
        <v>60</v>
      </c>
      <c r="Q1591">
        <v>3.5</v>
      </c>
      <c r="R1591" t="s">
        <v>102</v>
      </c>
      <c r="S1591">
        <v>0</v>
      </c>
      <c r="T1591" s="6">
        <f>10^-(14-Q1591)</f>
        <v>3.162277660168371E-11</v>
      </c>
      <c r="U1591" s="6">
        <v>0</v>
      </c>
      <c r="V1591" s="6">
        <v>0</v>
      </c>
      <c r="W1591" s="6">
        <v>0</v>
      </c>
      <c r="X1591" s="6">
        <v>0</v>
      </c>
      <c r="Y1591" t="s">
        <v>171</v>
      </c>
      <c r="Z1591" s="5">
        <v>-328</v>
      </c>
      <c r="AD1591">
        <v>5</v>
      </c>
      <c r="AE1591" s="1">
        <v>711</v>
      </c>
      <c r="AF1591">
        <v>1</v>
      </c>
      <c r="AL1591" s="9">
        <v>18</v>
      </c>
      <c r="AM1591" s="9">
        <v>8</v>
      </c>
    </row>
    <row r="1592" spans="1:39" x14ac:dyDescent="0.3">
      <c r="A1592" t="s">
        <v>1534</v>
      </c>
      <c r="B1592" s="1" t="s">
        <v>1596</v>
      </c>
      <c r="C1592">
        <v>73</v>
      </c>
      <c r="D1592" s="8">
        <v>1.4300999999999999</v>
      </c>
      <c r="E1592">
        <v>600</v>
      </c>
      <c r="G1592" t="s">
        <v>29</v>
      </c>
      <c r="H1592" t="s">
        <v>987</v>
      </c>
      <c r="K1592" s="4">
        <v>1</v>
      </c>
      <c r="N1592" s="10">
        <v>2.8208744710860366E-3</v>
      </c>
      <c r="O1592" s="3">
        <v>0</v>
      </c>
      <c r="P1592">
        <v>60</v>
      </c>
      <c r="Q1592">
        <v>3.5</v>
      </c>
      <c r="R1592" t="s">
        <v>102</v>
      </c>
      <c r="S1592">
        <v>0</v>
      </c>
      <c r="T1592" s="6">
        <f>10^-(14-Q1592)</f>
        <v>3.162277660168371E-11</v>
      </c>
      <c r="U1592" s="6">
        <v>0</v>
      </c>
      <c r="V1592" s="6">
        <v>0</v>
      </c>
      <c r="W1592" s="6">
        <v>0</v>
      </c>
      <c r="X1592" s="6">
        <v>0</v>
      </c>
      <c r="Y1592" t="s">
        <v>171</v>
      </c>
      <c r="Z1592" s="5">
        <v>-333</v>
      </c>
      <c r="AD1592">
        <v>5</v>
      </c>
      <c r="AE1592" s="1">
        <v>709</v>
      </c>
      <c r="AF1592">
        <v>1</v>
      </c>
      <c r="AL1592" s="9">
        <v>18</v>
      </c>
      <c r="AM1592" s="9">
        <v>8</v>
      </c>
    </row>
    <row r="1593" spans="1:39" x14ac:dyDescent="0.3">
      <c r="A1593" t="s">
        <v>1535</v>
      </c>
      <c r="B1593" s="1" t="s">
        <v>1596</v>
      </c>
      <c r="C1593">
        <v>73</v>
      </c>
      <c r="D1593" s="8">
        <v>1.4300999999999999</v>
      </c>
      <c r="E1593">
        <v>600</v>
      </c>
      <c r="G1593" t="s">
        <v>29</v>
      </c>
      <c r="H1593" t="s">
        <v>987</v>
      </c>
      <c r="K1593" s="4">
        <v>1</v>
      </c>
      <c r="N1593" s="10">
        <v>4.2313117066290554E-3</v>
      </c>
      <c r="O1593" s="3">
        <v>0</v>
      </c>
      <c r="P1593">
        <v>60</v>
      </c>
      <c r="Q1593">
        <v>3.5</v>
      </c>
      <c r="R1593" t="s">
        <v>102</v>
      </c>
      <c r="S1593">
        <v>0</v>
      </c>
      <c r="T1593" s="6">
        <f>10^-(14-Q1593)</f>
        <v>3.162277660168371E-11</v>
      </c>
      <c r="U1593" s="6">
        <v>0</v>
      </c>
      <c r="V1593" s="6">
        <v>0</v>
      </c>
      <c r="W1593" s="6">
        <v>0</v>
      </c>
      <c r="X1593" s="6">
        <v>0</v>
      </c>
      <c r="Y1593" t="s">
        <v>171</v>
      </c>
      <c r="Z1593" s="5">
        <v>-341</v>
      </c>
      <c r="AD1593">
        <v>5</v>
      </c>
      <c r="AE1593" s="1">
        <v>687</v>
      </c>
      <c r="AF1593">
        <v>1</v>
      </c>
      <c r="AL1593" s="9">
        <v>18</v>
      </c>
      <c r="AM1593" s="9">
        <v>8</v>
      </c>
    </row>
    <row r="1594" spans="1:39" x14ac:dyDescent="0.3">
      <c r="A1594" t="s">
        <v>1536</v>
      </c>
      <c r="B1594" s="1" t="s">
        <v>1596</v>
      </c>
      <c r="C1594">
        <v>73</v>
      </c>
      <c r="D1594" s="8">
        <v>1.4300999999999999</v>
      </c>
      <c r="E1594">
        <v>600</v>
      </c>
      <c r="G1594" t="s">
        <v>29</v>
      </c>
      <c r="H1594" t="s">
        <v>987</v>
      </c>
      <c r="K1594" s="4">
        <v>1</v>
      </c>
      <c r="N1594" s="10">
        <v>5.6417489421720732E-3</v>
      </c>
      <c r="O1594" s="3">
        <v>0</v>
      </c>
      <c r="P1594">
        <v>60</v>
      </c>
      <c r="Q1594">
        <v>3.5</v>
      </c>
      <c r="R1594" t="s">
        <v>102</v>
      </c>
      <c r="S1594">
        <v>0</v>
      </c>
      <c r="T1594" s="6">
        <f>10^-(14-Q1594)</f>
        <v>3.162277660168371E-11</v>
      </c>
      <c r="U1594" s="6">
        <v>0</v>
      </c>
      <c r="V1594" s="6">
        <v>0</v>
      </c>
      <c r="W1594" s="6">
        <v>0</v>
      </c>
      <c r="X1594" s="6">
        <v>0</v>
      </c>
      <c r="Y1594" t="s">
        <v>171</v>
      </c>
      <c r="Z1594" s="5">
        <v>-349</v>
      </c>
      <c r="AD1594">
        <v>5</v>
      </c>
      <c r="AE1594" s="1">
        <v>666</v>
      </c>
      <c r="AF1594">
        <v>1</v>
      </c>
      <c r="AL1594" s="9">
        <v>18</v>
      </c>
      <c r="AM1594" s="9">
        <v>8</v>
      </c>
    </row>
    <row r="1595" spans="1:39" x14ac:dyDescent="0.3">
      <c r="A1595" t="s">
        <v>1537</v>
      </c>
      <c r="B1595" s="1" t="s">
        <v>1596</v>
      </c>
      <c r="C1595">
        <v>73</v>
      </c>
      <c r="D1595" s="8">
        <v>1.4300999999999999</v>
      </c>
      <c r="E1595">
        <v>600</v>
      </c>
      <c r="G1595" t="s">
        <v>29</v>
      </c>
      <c r="H1595" t="s">
        <v>987</v>
      </c>
      <c r="K1595" s="4">
        <v>1</v>
      </c>
      <c r="N1595" s="10">
        <v>7.0521861777150916E-4</v>
      </c>
      <c r="O1595" s="3">
        <v>0</v>
      </c>
      <c r="P1595">
        <v>60</v>
      </c>
      <c r="Q1595">
        <v>6.5</v>
      </c>
      <c r="R1595" t="s">
        <v>102</v>
      </c>
      <c r="S1595">
        <v>0</v>
      </c>
      <c r="T1595" s="6">
        <f>10^-(14-Q1595)</f>
        <v>3.1622776601683699E-8</v>
      </c>
      <c r="U1595" s="6">
        <v>0</v>
      </c>
      <c r="V1595" s="6">
        <v>0</v>
      </c>
      <c r="W1595" s="6">
        <v>0</v>
      </c>
      <c r="X1595" s="6">
        <v>0</v>
      </c>
      <c r="Y1595" t="s">
        <v>171</v>
      </c>
      <c r="Z1595" s="5">
        <v>-287</v>
      </c>
      <c r="AD1595">
        <v>5</v>
      </c>
      <c r="AE1595" s="1">
        <v>911</v>
      </c>
      <c r="AF1595">
        <v>1</v>
      </c>
      <c r="AL1595" s="9">
        <v>18</v>
      </c>
      <c r="AM1595" s="9">
        <v>8</v>
      </c>
    </row>
    <row r="1596" spans="1:39" x14ac:dyDescent="0.3">
      <c r="A1596" t="s">
        <v>1538</v>
      </c>
      <c r="B1596" s="1" t="s">
        <v>1596</v>
      </c>
      <c r="C1596">
        <v>73</v>
      </c>
      <c r="D1596" s="8">
        <v>1.4300999999999999</v>
      </c>
      <c r="E1596">
        <v>600</v>
      </c>
      <c r="G1596" t="s">
        <v>29</v>
      </c>
      <c r="H1596" t="s">
        <v>987</v>
      </c>
      <c r="K1596" s="4">
        <v>1</v>
      </c>
      <c r="N1596" s="10">
        <v>1.4104372355430183E-3</v>
      </c>
      <c r="O1596" s="3">
        <v>0</v>
      </c>
      <c r="P1596">
        <v>60</v>
      </c>
      <c r="Q1596">
        <v>6.5</v>
      </c>
      <c r="R1596" t="s">
        <v>102</v>
      </c>
      <c r="S1596">
        <v>0</v>
      </c>
      <c r="T1596" s="6">
        <f>10^-(14-Q1596)</f>
        <v>3.1622776601683699E-8</v>
      </c>
      <c r="U1596" s="6">
        <v>0</v>
      </c>
      <c r="V1596" s="6">
        <v>0</v>
      </c>
      <c r="W1596" s="6">
        <v>0</v>
      </c>
      <c r="X1596" s="6">
        <v>0</v>
      </c>
      <c r="Y1596" t="s">
        <v>171</v>
      </c>
      <c r="Z1596" s="5">
        <v>-295</v>
      </c>
      <c r="AD1596">
        <v>5</v>
      </c>
      <c r="AE1596" s="1">
        <v>902</v>
      </c>
      <c r="AF1596">
        <v>1</v>
      </c>
      <c r="AL1596" s="9">
        <v>18</v>
      </c>
      <c r="AM1596" s="9">
        <v>8</v>
      </c>
    </row>
    <row r="1597" spans="1:39" x14ac:dyDescent="0.3">
      <c r="A1597" t="s">
        <v>1539</v>
      </c>
      <c r="B1597" s="1" t="s">
        <v>1596</v>
      </c>
      <c r="C1597">
        <v>73</v>
      </c>
      <c r="D1597" s="8">
        <v>1.4300999999999999</v>
      </c>
      <c r="E1597">
        <v>600</v>
      </c>
      <c r="G1597" t="s">
        <v>29</v>
      </c>
      <c r="H1597" t="s">
        <v>987</v>
      </c>
      <c r="K1597" s="4">
        <v>1</v>
      </c>
      <c r="N1597" s="10">
        <v>2.1156558533145277E-3</v>
      </c>
      <c r="O1597" s="3">
        <v>0</v>
      </c>
      <c r="P1597">
        <v>60</v>
      </c>
      <c r="Q1597">
        <v>6.5</v>
      </c>
      <c r="R1597" t="s">
        <v>102</v>
      </c>
      <c r="S1597">
        <v>0</v>
      </c>
      <c r="T1597" s="6">
        <f>10^-(14-Q1597)</f>
        <v>3.1622776601683699E-8</v>
      </c>
      <c r="U1597" s="6">
        <v>0</v>
      </c>
      <c r="V1597" s="6">
        <v>0</v>
      </c>
      <c r="W1597" s="6">
        <v>0</v>
      </c>
      <c r="X1597" s="6">
        <v>0</v>
      </c>
      <c r="Y1597" t="s">
        <v>171</v>
      </c>
      <c r="Z1597" s="5">
        <v>-302</v>
      </c>
      <c r="AD1597">
        <v>5</v>
      </c>
      <c r="AE1597" s="1">
        <v>897</v>
      </c>
      <c r="AF1597">
        <v>1</v>
      </c>
      <c r="AL1597" s="9">
        <v>18</v>
      </c>
      <c r="AM1597" s="9">
        <v>8</v>
      </c>
    </row>
    <row r="1598" spans="1:39" x14ac:dyDescent="0.3">
      <c r="A1598" t="s">
        <v>1540</v>
      </c>
      <c r="B1598" s="1" t="s">
        <v>1596</v>
      </c>
      <c r="C1598">
        <v>73</v>
      </c>
      <c r="D1598" s="8">
        <v>1.4300999999999999</v>
      </c>
      <c r="E1598">
        <v>600</v>
      </c>
      <c r="G1598" t="s">
        <v>29</v>
      </c>
      <c r="H1598" t="s">
        <v>987</v>
      </c>
      <c r="K1598" s="4">
        <v>1</v>
      </c>
      <c r="N1598" s="10">
        <v>2.8208744710860366E-3</v>
      </c>
      <c r="O1598" s="3">
        <v>0</v>
      </c>
      <c r="P1598">
        <v>60</v>
      </c>
      <c r="Q1598">
        <v>6.5</v>
      </c>
      <c r="R1598" t="s">
        <v>102</v>
      </c>
      <c r="S1598">
        <v>0</v>
      </c>
      <c r="T1598" s="6">
        <f>10^-(14-Q1598)</f>
        <v>3.1622776601683699E-8</v>
      </c>
      <c r="U1598" s="6">
        <v>0</v>
      </c>
      <c r="V1598" s="6">
        <v>0</v>
      </c>
      <c r="W1598" s="6">
        <v>0</v>
      </c>
      <c r="X1598" s="6">
        <v>0</v>
      </c>
      <c r="Y1598" t="s">
        <v>171</v>
      </c>
      <c r="Z1598" s="5">
        <v>-316</v>
      </c>
      <c r="AD1598">
        <v>5</v>
      </c>
      <c r="AE1598" s="1">
        <v>891</v>
      </c>
      <c r="AF1598">
        <v>1</v>
      </c>
      <c r="AL1598" s="9">
        <v>18</v>
      </c>
      <c r="AM1598" s="9">
        <v>8</v>
      </c>
    </row>
    <row r="1599" spans="1:39" x14ac:dyDescent="0.3">
      <c r="A1599" t="s">
        <v>1541</v>
      </c>
      <c r="B1599" s="1" t="s">
        <v>1596</v>
      </c>
      <c r="C1599">
        <v>73</v>
      </c>
      <c r="D1599" s="8">
        <v>1.4300999999999999</v>
      </c>
      <c r="E1599">
        <v>600</v>
      </c>
      <c r="G1599" t="s">
        <v>29</v>
      </c>
      <c r="H1599" t="s">
        <v>987</v>
      </c>
      <c r="K1599" s="4">
        <v>1</v>
      </c>
      <c r="N1599" s="10">
        <v>4.2313117066290554E-3</v>
      </c>
      <c r="O1599" s="3">
        <v>0</v>
      </c>
      <c r="P1599">
        <v>60</v>
      </c>
      <c r="Q1599">
        <v>6.5</v>
      </c>
      <c r="R1599" t="s">
        <v>102</v>
      </c>
      <c r="S1599">
        <v>0</v>
      </c>
      <c r="T1599" s="6">
        <f>10^-(14-Q1599)</f>
        <v>3.1622776601683699E-8</v>
      </c>
      <c r="U1599" s="6">
        <v>0</v>
      </c>
      <c r="V1599" s="6">
        <v>0</v>
      </c>
      <c r="W1599" s="6">
        <v>0</v>
      </c>
      <c r="X1599" s="6">
        <v>0</v>
      </c>
      <c r="Y1599" t="s">
        <v>171</v>
      </c>
      <c r="Z1599" s="5">
        <v>-320</v>
      </c>
      <c r="AD1599">
        <v>5</v>
      </c>
      <c r="AE1599" s="1">
        <v>886</v>
      </c>
      <c r="AF1599">
        <v>1</v>
      </c>
      <c r="AL1599" s="9">
        <v>18</v>
      </c>
      <c r="AM1599" s="9">
        <v>8</v>
      </c>
    </row>
    <row r="1600" spans="1:39" x14ac:dyDescent="0.3">
      <c r="A1600" t="s">
        <v>1542</v>
      </c>
      <c r="B1600" s="1" t="s">
        <v>1596</v>
      </c>
      <c r="C1600">
        <v>73</v>
      </c>
      <c r="D1600" s="8">
        <v>1.4300999999999999</v>
      </c>
      <c r="E1600">
        <v>600</v>
      </c>
      <c r="G1600" t="s">
        <v>29</v>
      </c>
      <c r="H1600" t="s">
        <v>987</v>
      </c>
      <c r="K1600" s="4">
        <v>1</v>
      </c>
      <c r="N1600" s="10">
        <v>5.6417489421720732E-3</v>
      </c>
      <c r="O1600" s="3">
        <v>0</v>
      </c>
      <c r="P1600">
        <v>60</v>
      </c>
      <c r="Q1600">
        <v>6.5</v>
      </c>
      <c r="R1600" t="s">
        <v>102</v>
      </c>
      <c r="S1600">
        <v>0</v>
      </c>
      <c r="T1600" s="6">
        <f>10^-(14-Q1600)</f>
        <v>3.1622776601683699E-8</v>
      </c>
      <c r="U1600" s="6">
        <v>0</v>
      </c>
      <c r="V1600" s="6">
        <v>0</v>
      </c>
      <c r="W1600" s="6">
        <v>0</v>
      </c>
      <c r="X1600" s="6">
        <v>0</v>
      </c>
      <c r="Y1600" t="s">
        <v>171</v>
      </c>
      <c r="Z1600" s="5">
        <v>-327</v>
      </c>
      <c r="AD1600">
        <v>5</v>
      </c>
      <c r="AE1600" s="1">
        <v>875</v>
      </c>
      <c r="AF1600">
        <v>1</v>
      </c>
      <c r="AL1600" s="9">
        <v>18</v>
      </c>
      <c r="AM1600" s="9">
        <v>8</v>
      </c>
    </row>
    <row r="1601" spans="1:39" x14ac:dyDescent="0.3">
      <c r="A1601" t="s">
        <v>1543</v>
      </c>
      <c r="B1601" s="1" t="s">
        <v>1596</v>
      </c>
      <c r="C1601">
        <v>73</v>
      </c>
      <c r="D1601" s="8">
        <v>1.4300999999999999</v>
      </c>
      <c r="E1601">
        <v>600</v>
      </c>
      <c r="G1601" t="s">
        <v>29</v>
      </c>
      <c r="H1601" t="s">
        <v>987</v>
      </c>
      <c r="K1601" s="4">
        <v>1</v>
      </c>
      <c r="N1601" s="10">
        <v>7.0521861777150916E-4</v>
      </c>
      <c r="O1601" s="3">
        <v>0</v>
      </c>
      <c r="P1601">
        <v>80</v>
      </c>
      <c r="Q1601">
        <v>1.5</v>
      </c>
      <c r="R1601" t="s">
        <v>102</v>
      </c>
      <c r="S1601">
        <v>0</v>
      </c>
      <c r="T1601" s="6">
        <f>10^-(14-Q1601)</f>
        <v>3.1622776601683746E-13</v>
      </c>
      <c r="U1601" s="6">
        <v>0</v>
      </c>
      <c r="V1601" s="6">
        <v>0</v>
      </c>
      <c r="W1601" s="6">
        <v>0</v>
      </c>
      <c r="X1601" s="6">
        <v>0</v>
      </c>
      <c r="Y1601" t="s">
        <v>171</v>
      </c>
      <c r="Z1601" s="5">
        <v>-253</v>
      </c>
      <c r="AD1601">
        <v>5</v>
      </c>
      <c r="AE1601" s="1">
        <v>452</v>
      </c>
      <c r="AF1601">
        <v>1</v>
      </c>
      <c r="AL1601" s="9">
        <v>18</v>
      </c>
      <c r="AM1601" s="9">
        <v>8</v>
      </c>
    </row>
    <row r="1602" spans="1:39" x14ac:dyDescent="0.3">
      <c r="A1602" t="s">
        <v>1544</v>
      </c>
      <c r="B1602" s="1" t="s">
        <v>1596</v>
      </c>
      <c r="C1602">
        <v>73</v>
      </c>
      <c r="D1602" s="8">
        <v>1.4300999999999999</v>
      </c>
      <c r="E1602">
        <v>600</v>
      </c>
      <c r="G1602" t="s">
        <v>29</v>
      </c>
      <c r="H1602" t="s">
        <v>987</v>
      </c>
      <c r="K1602" s="4">
        <v>1</v>
      </c>
      <c r="N1602" s="10">
        <v>1.4104372355430183E-3</v>
      </c>
      <c r="O1602" s="3">
        <v>0</v>
      </c>
      <c r="P1602">
        <v>80</v>
      </c>
      <c r="Q1602">
        <v>1.5</v>
      </c>
      <c r="R1602" t="s">
        <v>102</v>
      </c>
      <c r="S1602">
        <v>0</v>
      </c>
      <c r="T1602" s="6">
        <f>10^-(14-Q1602)</f>
        <v>3.1622776601683746E-13</v>
      </c>
      <c r="U1602" s="6">
        <v>0</v>
      </c>
      <c r="V1602" s="6">
        <v>0</v>
      </c>
      <c r="W1602" s="6">
        <v>0</v>
      </c>
      <c r="X1602" s="6">
        <v>0</v>
      </c>
      <c r="Y1602" t="s">
        <v>171</v>
      </c>
      <c r="Z1602" s="5">
        <v>-255</v>
      </c>
      <c r="AD1602">
        <v>5</v>
      </c>
      <c r="AE1602" s="1">
        <v>411</v>
      </c>
      <c r="AF1602">
        <v>1</v>
      </c>
      <c r="AL1602" s="9">
        <v>18</v>
      </c>
      <c r="AM1602" s="9">
        <v>8</v>
      </c>
    </row>
    <row r="1603" spans="1:39" x14ac:dyDescent="0.3">
      <c r="A1603" t="s">
        <v>1545</v>
      </c>
      <c r="B1603" s="1" t="s">
        <v>1596</v>
      </c>
      <c r="C1603">
        <v>73</v>
      </c>
      <c r="D1603" s="8">
        <v>1.4300999999999999</v>
      </c>
      <c r="E1603">
        <v>600</v>
      </c>
      <c r="G1603" t="s">
        <v>29</v>
      </c>
      <c r="H1603" t="s">
        <v>987</v>
      </c>
      <c r="K1603" s="4">
        <v>1</v>
      </c>
      <c r="N1603" s="10">
        <v>2.1156558533145277E-3</v>
      </c>
      <c r="O1603" s="3">
        <v>0</v>
      </c>
      <c r="P1603">
        <v>80</v>
      </c>
      <c r="Q1603">
        <v>1.5</v>
      </c>
      <c r="R1603" t="s">
        <v>102</v>
      </c>
      <c r="S1603">
        <v>0</v>
      </c>
      <c r="T1603" s="6">
        <f>10^-(14-Q1603)</f>
        <v>3.1622776601683746E-13</v>
      </c>
      <c r="U1603" s="6">
        <v>0</v>
      </c>
      <c r="V1603" s="6">
        <v>0</v>
      </c>
      <c r="W1603" s="6">
        <v>0</v>
      </c>
      <c r="X1603" s="6">
        <v>0</v>
      </c>
      <c r="Y1603" t="s">
        <v>171</v>
      </c>
      <c r="Z1603" s="5">
        <v>-258</v>
      </c>
      <c r="AD1603">
        <v>5</v>
      </c>
      <c r="AE1603" s="1">
        <v>404</v>
      </c>
      <c r="AF1603">
        <v>1</v>
      </c>
      <c r="AL1603" s="9">
        <v>18</v>
      </c>
      <c r="AM1603" s="9">
        <v>8</v>
      </c>
    </row>
    <row r="1604" spans="1:39" x14ac:dyDescent="0.3">
      <c r="A1604" t="s">
        <v>1546</v>
      </c>
      <c r="B1604" s="1" t="s">
        <v>1596</v>
      </c>
      <c r="C1604">
        <v>73</v>
      </c>
      <c r="D1604" s="8">
        <v>1.4300999999999999</v>
      </c>
      <c r="E1604">
        <v>600</v>
      </c>
      <c r="G1604" t="s">
        <v>29</v>
      </c>
      <c r="H1604" t="s">
        <v>987</v>
      </c>
      <c r="K1604" s="4">
        <v>1</v>
      </c>
      <c r="N1604" s="10">
        <v>2.8208744710860366E-3</v>
      </c>
      <c r="O1604" s="3">
        <v>0</v>
      </c>
      <c r="P1604">
        <v>80</v>
      </c>
      <c r="Q1604">
        <v>1.5</v>
      </c>
      <c r="R1604" t="s">
        <v>102</v>
      </c>
      <c r="S1604">
        <v>0</v>
      </c>
      <c r="T1604" s="6">
        <f>10^-(14-Q1604)</f>
        <v>3.1622776601683746E-13</v>
      </c>
      <c r="U1604" s="6">
        <v>0</v>
      </c>
      <c r="V1604" s="6">
        <v>0</v>
      </c>
      <c r="W1604" s="6">
        <v>0</v>
      </c>
      <c r="X1604" s="6">
        <v>0</v>
      </c>
      <c r="Y1604" t="s">
        <v>171</v>
      </c>
      <c r="Z1604" s="5">
        <v>-267</v>
      </c>
      <c r="AD1604">
        <v>5</v>
      </c>
      <c r="AE1604" s="1">
        <v>381</v>
      </c>
      <c r="AF1604">
        <v>1</v>
      </c>
      <c r="AL1604" s="9">
        <v>18</v>
      </c>
      <c r="AM1604" s="9">
        <v>8</v>
      </c>
    </row>
    <row r="1605" spans="1:39" x14ac:dyDescent="0.3">
      <c r="A1605" t="s">
        <v>1547</v>
      </c>
      <c r="B1605" s="1" t="s">
        <v>1596</v>
      </c>
      <c r="C1605">
        <v>73</v>
      </c>
      <c r="D1605" s="8">
        <v>1.4300999999999999</v>
      </c>
      <c r="E1605">
        <v>600</v>
      </c>
      <c r="G1605" t="s">
        <v>29</v>
      </c>
      <c r="H1605" t="s">
        <v>987</v>
      </c>
      <c r="K1605" s="4">
        <v>1</v>
      </c>
      <c r="N1605" s="10">
        <v>4.2313117066290554E-3</v>
      </c>
      <c r="O1605" s="3">
        <v>0</v>
      </c>
      <c r="P1605">
        <v>80</v>
      </c>
      <c r="Q1605">
        <v>1.5</v>
      </c>
      <c r="R1605" t="s">
        <v>102</v>
      </c>
      <c r="S1605">
        <v>0</v>
      </c>
      <c r="T1605" s="6">
        <f>10^-(14-Q1605)</f>
        <v>3.1622776601683746E-13</v>
      </c>
      <c r="U1605" s="6">
        <v>0</v>
      </c>
      <c r="V1605" s="6">
        <v>0</v>
      </c>
      <c r="W1605" s="6">
        <v>0</v>
      </c>
      <c r="X1605" s="6">
        <v>0</v>
      </c>
      <c r="Y1605" t="s">
        <v>171</v>
      </c>
      <c r="Z1605" s="5">
        <v>-269</v>
      </c>
      <c r="AD1605">
        <v>5</v>
      </c>
      <c r="AE1605" s="1">
        <v>378</v>
      </c>
      <c r="AF1605">
        <v>1</v>
      </c>
      <c r="AL1605" s="9">
        <v>18</v>
      </c>
      <c r="AM1605" s="9">
        <v>8</v>
      </c>
    </row>
    <row r="1606" spans="1:39" x14ac:dyDescent="0.3">
      <c r="A1606" t="s">
        <v>1548</v>
      </c>
      <c r="B1606" s="1" t="s">
        <v>1596</v>
      </c>
      <c r="C1606">
        <v>73</v>
      </c>
      <c r="D1606" s="8">
        <v>1.4300999999999999</v>
      </c>
      <c r="E1606">
        <v>600</v>
      </c>
      <c r="G1606" t="s">
        <v>29</v>
      </c>
      <c r="H1606" t="s">
        <v>987</v>
      </c>
      <c r="K1606" s="4">
        <v>1</v>
      </c>
      <c r="N1606" s="10">
        <v>5.6417489421720732E-3</v>
      </c>
      <c r="O1606" s="3">
        <v>0</v>
      </c>
      <c r="P1606">
        <v>80</v>
      </c>
      <c r="Q1606">
        <v>1.5</v>
      </c>
      <c r="R1606" t="s">
        <v>102</v>
      </c>
      <c r="S1606">
        <v>0</v>
      </c>
      <c r="T1606" s="6">
        <f>10^-(14-Q1606)</f>
        <v>3.1622776601683746E-13</v>
      </c>
      <c r="U1606" s="6">
        <v>0</v>
      </c>
      <c r="V1606" s="6">
        <v>0</v>
      </c>
      <c r="W1606" s="6">
        <v>0</v>
      </c>
      <c r="X1606" s="6">
        <v>0</v>
      </c>
      <c r="Y1606" t="s">
        <v>171</v>
      </c>
      <c r="Z1606" s="5">
        <v>-289</v>
      </c>
      <c r="AD1606">
        <v>5</v>
      </c>
      <c r="AE1606" s="1">
        <v>361</v>
      </c>
      <c r="AF1606">
        <v>1</v>
      </c>
      <c r="AL1606" s="9">
        <v>18</v>
      </c>
      <c r="AM1606" s="9">
        <v>8</v>
      </c>
    </row>
    <row r="1607" spans="1:39" x14ac:dyDescent="0.3">
      <c r="A1607" t="s">
        <v>1549</v>
      </c>
      <c r="B1607" s="1" t="s">
        <v>1596</v>
      </c>
      <c r="C1607">
        <v>73</v>
      </c>
      <c r="D1607" s="8">
        <v>1.4300999999999999</v>
      </c>
      <c r="E1607">
        <v>600</v>
      </c>
      <c r="G1607" t="s">
        <v>29</v>
      </c>
      <c r="H1607" t="s">
        <v>987</v>
      </c>
      <c r="K1607" s="4">
        <v>1</v>
      </c>
      <c r="N1607" s="10">
        <v>7.0521861777150916E-4</v>
      </c>
      <c r="O1607" s="3">
        <v>0</v>
      </c>
      <c r="P1607">
        <v>80</v>
      </c>
      <c r="Q1607">
        <v>3.5</v>
      </c>
      <c r="R1607" t="s">
        <v>102</v>
      </c>
      <c r="S1607">
        <v>0</v>
      </c>
      <c r="T1607" s="6">
        <f>10^-(14-Q1607)</f>
        <v>3.162277660168371E-11</v>
      </c>
      <c r="U1607" s="6">
        <v>0</v>
      </c>
      <c r="V1607" s="6">
        <v>0</v>
      </c>
      <c r="W1607" s="6">
        <v>0</v>
      </c>
      <c r="X1607" s="6">
        <v>0</v>
      </c>
      <c r="Y1607" t="s">
        <v>171</v>
      </c>
      <c r="Z1607" s="5">
        <v>-245</v>
      </c>
      <c r="AD1607">
        <v>5</v>
      </c>
      <c r="AE1607" s="1">
        <v>678</v>
      </c>
      <c r="AF1607">
        <v>1</v>
      </c>
      <c r="AL1607" s="9">
        <v>18</v>
      </c>
      <c r="AM1607" s="9">
        <v>8</v>
      </c>
    </row>
    <row r="1608" spans="1:39" x14ac:dyDescent="0.3">
      <c r="A1608" t="s">
        <v>1550</v>
      </c>
      <c r="B1608" s="1" t="s">
        <v>1596</v>
      </c>
      <c r="C1608">
        <v>73</v>
      </c>
      <c r="D1608" s="8">
        <v>1.4300999999999999</v>
      </c>
      <c r="E1608">
        <v>600</v>
      </c>
      <c r="G1608" t="s">
        <v>29</v>
      </c>
      <c r="H1608" t="s">
        <v>987</v>
      </c>
      <c r="K1608" s="4">
        <v>1</v>
      </c>
      <c r="N1608" s="10">
        <v>1.4104372355430183E-3</v>
      </c>
      <c r="O1608" s="3">
        <v>0</v>
      </c>
      <c r="P1608">
        <v>80</v>
      </c>
      <c r="Q1608">
        <v>3.5</v>
      </c>
      <c r="R1608" t="s">
        <v>102</v>
      </c>
      <c r="S1608">
        <v>0</v>
      </c>
      <c r="T1608" s="6">
        <f>10^-(14-Q1608)</f>
        <v>3.162277660168371E-11</v>
      </c>
      <c r="U1608" s="6">
        <v>0</v>
      </c>
      <c r="V1608" s="6">
        <v>0</v>
      </c>
      <c r="W1608" s="6">
        <v>0</v>
      </c>
      <c r="X1608" s="6">
        <v>0</v>
      </c>
      <c r="Y1608" t="s">
        <v>171</v>
      </c>
      <c r="Z1608" s="5">
        <v>-229</v>
      </c>
      <c r="AD1608">
        <v>5</v>
      </c>
      <c r="AE1608" s="1">
        <v>614</v>
      </c>
      <c r="AF1608">
        <v>1</v>
      </c>
      <c r="AL1608" s="9">
        <v>18</v>
      </c>
      <c r="AM1608" s="9">
        <v>8</v>
      </c>
    </row>
    <row r="1609" spans="1:39" x14ac:dyDescent="0.3">
      <c r="A1609" t="s">
        <v>1551</v>
      </c>
      <c r="B1609" s="1" t="s">
        <v>1596</v>
      </c>
      <c r="C1609">
        <v>73</v>
      </c>
      <c r="D1609" s="8">
        <v>1.4300999999999999</v>
      </c>
      <c r="E1609">
        <v>600</v>
      </c>
      <c r="G1609" t="s">
        <v>29</v>
      </c>
      <c r="H1609" t="s">
        <v>987</v>
      </c>
      <c r="K1609" s="4">
        <v>1</v>
      </c>
      <c r="N1609" s="10">
        <v>2.1156558533145277E-3</v>
      </c>
      <c r="O1609" s="3">
        <v>0</v>
      </c>
      <c r="P1609">
        <v>80</v>
      </c>
      <c r="Q1609">
        <v>3.5</v>
      </c>
      <c r="R1609" t="s">
        <v>102</v>
      </c>
      <c r="S1609">
        <v>0</v>
      </c>
      <c r="T1609" s="6">
        <f>10^-(14-Q1609)</f>
        <v>3.162277660168371E-11</v>
      </c>
      <c r="U1609" s="6">
        <v>0</v>
      </c>
      <c r="V1609" s="6">
        <v>0</v>
      </c>
      <c r="W1609" s="6">
        <v>0</v>
      </c>
      <c r="X1609" s="6">
        <v>0</v>
      </c>
      <c r="Y1609" t="s">
        <v>171</v>
      </c>
      <c r="Z1609" s="5">
        <v>-228</v>
      </c>
      <c r="AD1609">
        <v>5</v>
      </c>
      <c r="AE1609" s="1">
        <v>608</v>
      </c>
      <c r="AF1609">
        <v>1</v>
      </c>
      <c r="AL1609" s="9">
        <v>18</v>
      </c>
      <c r="AM1609" s="9">
        <v>8</v>
      </c>
    </row>
    <row r="1610" spans="1:39" x14ac:dyDescent="0.3">
      <c r="A1610" t="s">
        <v>1552</v>
      </c>
      <c r="B1610" s="1" t="s">
        <v>1596</v>
      </c>
      <c r="C1610">
        <v>73</v>
      </c>
      <c r="D1610" s="8">
        <v>1.4300999999999999</v>
      </c>
      <c r="E1610">
        <v>600</v>
      </c>
      <c r="G1610" t="s">
        <v>29</v>
      </c>
      <c r="H1610" t="s">
        <v>987</v>
      </c>
      <c r="K1610" s="4">
        <v>1</v>
      </c>
      <c r="N1610" s="10">
        <v>2.8208744710860366E-3</v>
      </c>
      <c r="O1610" s="3">
        <v>0</v>
      </c>
      <c r="P1610">
        <v>80</v>
      </c>
      <c r="Q1610">
        <v>3.5</v>
      </c>
      <c r="R1610" t="s">
        <v>102</v>
      </c>
      <c r="S1610">
        <v>0</v>
      </c>
      <c r="T1610" s="6">
        <f>10^-(14-Q1610)</f>
        <v>3.162277660168371E-11</v>
      </c>
      <c r="U1610" s="6">
        <v>0</v>
      </c>
      <c r="V1610" s="6">
        <v>0</v>
      </c>
      <c r="W1610" s="6">
        <v>0</v>
      </c>
      <c r="X1610" s="6">
        <v>0</v>
      </c>
      <c r="Y1610" t="s">
        <v>171</v>
      </c>
      <c r="Z1610" s="5">
        <v>-223</v>
      </c>
      <c r="AD1610">
        <v>5</v>
      </c>
      <c r="AE1610" s="1">
        <v>601</v>
      </c>
      <c r="AF1610">
        <v>1</v>
      </c>
      <c r="AL1610" s="9">
        <v>18</v>
      </c>
      <c r="AM1610" s="9">
        <v>8</v>
      </c>
    </row>
    <row r="1611" spans="1:39" x14ac:dyDescent="0.3">
      <c r="A1611" t="s">
        <v>1553</v>
      </c>
      <c r="B1611" s="1" t="s">
        <v>1596</v>
      </c>
      <c r="C1611">
        <v>73</v>
      </c>
      <c r="D1611" s="8">
        <v>1.4300999999999999</v>
      </c>
      <c r="E1611">
        <v>600</v>
      </c>
      <c r="G1611" t="s">
        <v>29</v>
      </c>
      <c r="H1611" t="s">
        <v>987</v>
      </c>
      <c r="K1611" s="4">
        <v>1</v>
      </c>
      <c r="N1611" s="10">
        <v>4.2313117066290554E-3</v>
      </c>
      <c r="O1611" s="3">
        <v>0</v>
      </c>
      <c r="P1611">
        <v>80</v>
      </c>
      <c r="Q1611">
        <v>3.5</v>
      </c>
      <c r="R1611" t="s">
        <v>102</v>
      </c>
      <c r="S1611">
        <v>0</v>
      </c>
      <c r="T1611" s="6">
        <f>10^-(14-Q1611)</f>
        <v>3.162277660168371E-11</v>
      </c>
      <c r="U1611" s="6">
        <v>0</v>
      </c>
      <c r="V1611" s="6">
        <v>0</v>
      </c>
      <c r="W1611" s="6">
        <v>0</v>
      </c>
      <c r="X1611" s="6">
        <v>0</v>
      </c>
      <c r="Y1611" t="s">
        <v>171</v>
      </c>
      <c r="Z1611" s="5">
        <v>-214</v>
      </c>
      <c r="AD1611">
        <v>5</v>
      </c>
      <c r="AE1611" s="1">
        <v>587</v>
      </c>
      <c r="AF1611">
        <v>1</v>
      </c>
      <c r="AL1611" s="9">
        <v>18</v>
      </c>
      <c r="AM1611" s="9">
        <v>8</v>
      </c>
    </row>
    <row r="1612" spans="1:39" x14ac:dyDescent="0.3">
      <c r="A1612" t="s">
        <v>1554</v>
      </c>
      <c r="B1612" s="1" t="s">
        <v>1596</v>
      </c>
      <c r="C1612">
        <v>73</v>
      </c>
      <c r="D1612" s="8">
        <v>1.4300999999999999</v>
      </c>
      <c r="E1612">
        <v>600</v>
      </c>
      <c r="G1612" t="s">
        <v>29</v>
      </c>
      <c r="H1612" t="s">
        <v>987</v>
      </c>
      <c r="K1612" s="4">
        <v>1</v>
      </c>
      <c r="N1612" s="10">
        <v>5.6417489421720732E-3</v>
      </c>
      <c r="O1612" s="3">
        <v>0</v>
      </c>
      <c r="P1612">
        <v>80</v>
      </c>
      <c r="Q1612">
        <v>3.5</v>
      </c>
      <c r="R1612" t="s">
        <v>102</v>
      </c>
      <c r="S1612">
        <v>0</v>
      </c>
      <c r="T1612" s="6">
        <f>10^-(14-Q1612)</f>
        <v>3.162277660168371E-11</v>
      </c>
      <c r="U1612" s="6">
        <v>0</v>
      </c>
      <c r="V1612" s="6">
        <v>0</v>
      </c>
      <c r="W1612" s="6">
        <v>0</v>
      </c>
      <c r="X1612" s="6">
        <v>0</v>
      </c>
      <c r="Y1612" t="s">
        <v>171</v>
      </c>
      <c r="Z1612" s="5">
        <v>-203</v>
      </c>
      <c r="AD1612">
        <v>5</v>
      </c>
      <c r="AE1612" s="1">
        <v>543</v>
      </c>
      <c r="AF1612">
        <v>1</v>
      </c>
      <c r="AL1612" s="9">
        <v>18</v>
      </c>
      <c r="AM1612" s="9">
        <v>8</v>
      </c>
    </row>
    <row r="1613" spans="1:39" x14ac:dyDescent="0.3">
      <c r="A1613" t="s">
        <v>1555</v>
      </c>
      <c r="B1613" s="1" t="s">
        <v>1596</v>
      </c>
      <c r="C1613">
        <v>73</v>
      </c>
      <c r="D1613" s="8">
        <v>1.4300999999999999</v>
      </c>
      <c r="E1613">
        <v>600</v>
      </c>
      <c r="G1613" t="s">
        <v>29</v>
      </c>
      <c r="H1613" t="s">
        <v>987</v>
      </c>
      <c r="K1613" s="4">
        <v>1</v>
      </c>
      <c r="N1613" s="10">
        <v>7.0521861777150916E-4</v>
      </c>
      <c r="O1613" s="3">
        <v>0</v>
      </c>
      <c r="P1613">
        <v>80</v>
      </c>
      <c r="Q1613">
        <v>6.5</v>
      </c>
      <c r="R1613" t="s">
        <v>102</v>
      </c>
      <c r="S1613">
        <v>0</v>
      </c>
      <c r="T1613" s="6">
        <f>10^-(14-Q1613)</f>
        <v>3.1622776601683699E-8</v>
      </c>
      <c r="U1613" s="6">
        <v>0</v>
      </c>
      <c r="V1613" s="6">
        <v>0</v>
      </c>
      <c r="W1613" s="6">
        <v>0</v>
      </c>
      <c r="X1613" s="6">
        <v>0</v>
      </c>
      <c r="Y1613" t="s">
        <v>171</v>
      </c>
      <c r="Z1613" s="5">
        <v>-278</v>
      </c>
      <c r="AD1613">
        <v>5</v>
      </c>
      <c r="AE1613" s="1">
        <v>899</v>
      </c>
      <c r="AF1613">
        <v>1</v>
      </c>
      <c r="AL1613" s="9">
        <v>18</v>
      </c>
      <c r="AM1613" s="9">
        <v>8</v>
      </c>
    </row>
    <row r="1614" spans="1:39" x14ac:dyDescent="0.3">
      <c r="A1614" t="s">
        <v>1556</v>
      </c>
      <c r="B1614" s="1" t="s">
        <v>1596</v>
      </c>
      <c r="C1614">
        <v>73</v>
      </c>
      <c r="D1614" s="8">
        <v>1.4300999999999999</v>
      </c>
      <c r="E1614">
        <v>600</v>
      </c>
      <c r="G1614" t="s">
        <v>29</v>
      </c>
      <c r="H1614" t="s">
        <v>987</v>
      </c>
      <c r="K1614" s="4">
        <v>1</v>
      </c>
      <c r="N1614" s="10">
        <v>1.4104372355430183E-3</v>
      </c>
      <c r="O1614" s="3">
        <v>0</v>
      </c>
      <c r="P1614">
        <v>80</v>
      </c>
      <c r="Q1614">
        <v>6.5</v>
      </c>
      <c r="R1614" t="s">
        <v>102</v>
      </c>
      <c r="S1614">
        <v>0</v>
      </c>
      <c r="T1614" s="6">
        <f>10^-(14-Q1614)</f>
        <v>3.1622776601683699E-8</v>
      </c>
      <c r="U1614" s="6">
        <v>0</v>
      </c>
      <c r="V1614" s="6">
        <v>0</v>
      </c>
      <c r="W1614" s="6">
        <v>0</v>
      </c>
      <c r="X1614" s="6">
        <v>0</v>
      </c>
      <c r="Y1614" t="s">
        <v>171</v>
      </c>
      <c r="Z1614" s="5">
        <v>-281</v>
      </c>
      <c r="AD1614">
        <v>5</v>
      </c>
      <c r="AE1614" s="1">
        <v>890</v>
      </c>
      <c r="AF1614">
        <v>1</v>
      </c>
      <c r="AL1614" s="9">
        <v>18</v>
      </c>
      <c r="AM1614" s="9">
        <v>8</v>
      </c>
    </row>
    <row r="1615" spans="1:39" x14ac:dyDescent="0.3">
      <c r="A1615" t="s">
        <v>1557</v>
      </c>
      <c r="B1615" s="1" t="s">
        <v>1596</v>
      </c>
      <c r="C1615">
        <v>73</v>
      </c>
      <c r="D1615" s="8">
        <v>1.4300999999999999</v>
      </c>
      <c r="E1615">
        <v>600</v>
      </c>
      <c r="G1615" t="s">
        <v>29</v>
      </c>
      <c r="H1615" t="s">
        <v>987</v>
      </c>
      <c r="K1615" s="4">
        <v>1</v>
      </c>
      <c r="N1615" s="10">
        <v>2.1156558533145277E-3</v>
      </c>
      <c r="O1615" s="3">
        <v>0</v>
      </c>
      <c r="P1615">
        <v>80</v>
      </c>
      <c r="Q1615">
        <v>6.5</v>
      </c>
      <c r="R1615" t="s">
        <v>102</v>
      </c>
      <c r="S1615">
        <v>0</v>
      </c>
      <c r="T1615" s="6">
        <f>10^-(14-Q1615)</f>
        <v>3.1622776601683699E-8</v>
      </c>
      <c r="U1615" s="6">
        <v>0</v>
      </c>
      <c r="V1615" s="6">
        <v>0</v>
      </c>
      <c r="W1615" s="6">
        <v>0</v>
      </c>
      <c r="X1615" s="6">
        <v>0</v>
      </c>
      <c r="Y1615" t="s">
        <v>171</v>
      </c>
      <c r="Z1615" s="5">
        <v>-295</v>
      </c>
      <c r="AD1615">
        <v>5</v>
      </c>
      <c r="AE1615" s="1">
        <v>881</v>
      </c>
      <c r="AF1615">
        <v>1</v>
      </c>
      <c r="AL1615" s="9">
        <v>18</v>
      </c>
      <c r="AM1615" s="9">
        <v>8</v>
      </c>
    </row>
    <row r="1616" spans="1:39" x14ac:dyDescent="0.3">
      <c r="A1616" t="s">
        <v>1558</v>
      </c>
      <c r="B1616" s="1" t="s">
        <v>1596</v>
      </c>
      <c r="C1616">
        <v>73</v>
      </c>
      <c r="D1616" s="8">
        <v>1.4300999999999999</v>
      </c>
      <c r="E1616">
        <v>600</v>
      </c>
      <c r="G1616" t="s">
        <v>29</v>
      </c>
      <c r="H1616" t="s">
        <v>987</v>
      </c>
      <c r="K1616" s="4">
        <v>1</v>
      </c>
      <c r="N1616" s="10">
        <v>2.8208744710860366E-3</v>
      </c>
      <c r="O1616" s="3">
        <v>0</v>
      </c>
      <c r="P1616">
        <v>80</v>
      </c>
      <c r="Q1616">
        <v>6.5</v>
      </c>
      <c r="R1616" t="s">
        <v>102</v>
      </c>
      <c r="S1616">
        <v>0</v>
      </c>
      <c r="T1616" s="6">
        <f>10^-(14-Q1616)</f>
        <v>3.1622776601683699E-8</v>
      </c>
      <c r="U1616" s="6">
        <v>0</v>
      </c>
      <c r="V1616" s="6">
        <v>0</v>
      </c>
      <c r="W1616" s="6">
        <v>0</v>
      </c>
      <c r="X1616" s="6">
        <v>0</v>
      </c>
      <c r="Y1616" t="s">
        <v>171</v>
      </c>
      <c r="Z1616" s="5">
        <v>-306</v>
      </c>
      <c r="AD1616">
        <v>5</v>
      </c>
      <c r="AE1616" s="1">
        <v>836</v>
      </c>
      <c r="AF1616">
        <v>1</v>
      </c>
      <c r="AL1616" s="9">
        <v>18</v>
      </c>
      <c r="AM1616" s="9">
        <v>8</v>
      </c>
    </row>
    <row r="1617" spans="1:41" x14ac:dyDescent="0.3">
      <c r="A1617" t="s">
        <v>1559</v>
      </c>
      <c r="B1617" s="1" t="s">
        <v>1596</v>
      </c>
      <c r="C1617">
        <v>73</v>
      </c>
      <c r="D1617" s="8">
        <v>1.4300999999999999</v>
      </c>
      <c r="E1617">
        <v>600</v>
      </c>
      <c r="G1617" t="s">
        <v>29</v>
      </c>
      <c r="H1617" t="s">
        <v>987</v>
      </c>
      <c r="K1617" s="4">
        <v>1</v>
      </c>
      <c r="N1617" s="10">
        <v>4.2313117066290554E-3</v>
      </c>
      <c r="O1617" s="3">
        <v>0</v>
      </c>
      <c r="P1617">
        <v>80</v>
      </c>
      <c r="Q1617">
        <v>6.5</v>
      </c>
      <c r="R1617" t="s">
        <v>102</v>
      </c>
      <c r="S1617">
        <v>0</v>
      </c>
      <c r="T1617" s="6">
        <f>10^-(14-Q1617)</f>
        <v>3.1622776601683699E-8</v>
      </c>
      <c r="U1617" s="6">
        <v>0</v>
      </c>
      <c r="V1617" s="6">
        <v>0</v>
      </c>
      <c r="W1617" s="6">
        <v>0</v>
      </c>
      <c r="X1617" s="6">
        <v>0</v>
      </c>
      <c r="Y1617" t="s">
        <v>171</v>
      </c>
      <c r="Z1617" s="5">
        <v>-314</v>
      </c>
      <c r="AD1617">
        <v>5</v>
      </c>
      <c r="AE1617" s="1">
        <v>826</v>
      </c>
      <c r="AF1617">
        <v>1</v>
      </c>
      <c r="AL1617" s="9">
        <v>18</v>
      </c>
      <c r="AM1617" s="9">
        <v>8</v>
      </c>
    </row>
    <row r="1618" spans="1:41" x14ac:dyDescent="0.3">
      <c r="A1618" t="s">
        <v>1560</v>
      </c>
      <c r="B1618" s="1" t="s">
        <v>1596</v>
      </c>
      <c r="C1618">
        <v>73</v>
      </c>
      <c r="D1618" s="8">
        <v>1.4300999999999999</v>
      </c>
      <c r="E1618">
        <v>600</v>
      </c>
      <c r="G1618" t="s">
        <v>29</v>
      </c>
      <c r="H1618" t="s">
        <v>987</v>
      </c>
      <c r="K1618" s="4">
        <v>1</v>
      </c>
      <c r="N1618" s="10">
        <v>5.6417489421720732E-3</v>
      </c>
      <c r="O1618" s="3">
        <v>0</v>
      </c>
      <c r="P1618">
        <v>80</v>
      </c>
      <c r="Q1618">
        <v>6.5</v>
      </c>
      <c r="R1618" t="s">
        <v>102</v>
      </c>
      <c r="S1618">
        <v>0</v>
      </c>
      <c r="T1618" s="6">
        <f>10^-(14-Q1618)</f>
        <v>3.1622776601683699E-8</v>
      </c>
      <c r="U1618" s="6">
        <v>0</v>
      </c>
      <c r="V1618" s="6">
        <v>0</v>
      </c>
      <c r="W1618" s="6">
        <v>0</v>
      </c>
      <c r="X1618" s="6">
        <v>0</v>
      </c>
      <c r="Y1618" t="s">
        <v>171</v>
      </c>
      <c r="Z1618" s="5">
        <v>-321</v>
      </c>
      <c r="AD1618">
        <v>5</v>
      </c>
      <c r="AE1618" s="1">
        <v>855</v>
      </c>
      <c r="AF1618">
        <v>1</v>
      </c>
      <c r="AL1618" s="9">
        <v>18</v>
      </c>
      <c r="AM1618" s="9">
        <v>8</v>
      </c>
    </row>
    <row r="1619" spans="1:41" x14ac:dyDescent="0.3">
      <c r="A1619" t="s">
        <v>601</v>
      </c>
      <c r="B1619" s="1" t="s">
        <v>1612</v>
      </c>
      <c r="C1619">
        <v>74</v>
      </c>
      <c r="D1619" s="8" t="s">
        <v>1629</v>
      </c>
      <c r="E1619">
        <v>1200</v>
      </c>
      <c r="G1619" t="s">
        <v>32</v>
      </c>
      <c r="H1619">
        <v>1.5</v>
      </c>
      <c r="I1619" s="4">
        <v>0.62</v>
      </c>
      <c r="J1619" s="3">
        <v>0.5</v>
      </c>
      <c r="K1619" s="4">
        <v>12</v>
      </c>
      <c r="N1619" s="3">
        <v>1.4104372355430183E-3</v>
      </c>
      <c r="O1619" s="3">
        <v>0</v>
      </c>
      <c r="P1619">
        <v>22.5</v>
      </c>
      <c r="Q1619">
        <v>8.5</v>
      </c>
      <c r="R1619" t="s">
        <v>102</v>
      </c>
      <c r="S1619">
        <v>0</v>
      </c>
      <c r="T1619" s="6">
        <f>10^-(14-Q1619)</f>
        <v>3.1622776601683767E-6</v>
      </c>
      <c r="U1619" s="6">
        <v>0</v>
      </c>
      <c r="V1619" s="6">
        <v>0</v>
      </c>
      <c r="W1619" s="6">
        <v>0</v>
      </c>
      <c r="X1619" s="6">
        <v>0</v>
      </c>
      <c r="Y1619" t="s">
        <v>171</v>
      </c>
      <c r="Z1619" s="5">
        <v>-219.2</v>
      </c>
      <c r="AA1619" s="3">
        <v>1.4749999999999999E-5</v>
      </c>
      <c r="AD1619">
        <v>0.1</v>
      </c>
      <c r="AE1619">
        <v>1235</v>
      </c>
      <c r="AF1619">
        <v>2</v>
      </c>
      <c r="AG1619" s="9">
        <v>1.7999999999999999E-2</v>
      </c>
      <c r="AH1619" s="9">
        <v>0.94</v>
      </c>
      <c r="AI1619" s="9">
        <v>0.53</v>
      </c>
      <c r="AJ1619" s="9">
        <v>3.1E-2</v>
      </c>
      <c r="AK1619" s="9">
        <v>1E-3</v>
      </c>
      <c r="AL1619" s="9">
        <v>16.72</v>
      </c>
      <c r="AM1619" s="9">
        <v>10</v>
      </c>
      <c r="AN1619" s="9">
        <v>2.06</v>
      </c>
      <c r="AO1619" s="9">
        <v>4.2000000000000003E-2</v>
      </c>
    </row>
    <row r="1620" spans="1:41" x14ac:dyDescent="0.3">
      <c r="A1620" t="s">
        <v>604</v>
      </c>
      <c r="B1620" s="1" t="s">
        <v>1612</v>
      </c>
      <c r="C1620">
        <v>74</v>
      </c>
      <c r="D1620" s="8" t="s">
        <v>1629</v>
      </c>
      <c r="E1620">
        <v>1200</v>
      </c>
      <c r="G1620" t="s">
        <v>29</v>
      </c>
      <c r="H1620" t="s">
        <v>987</v>
      </c>
      <c r="J1620" s="3">
        <v>24</v>
      </c>
      <c r="K1620" s="4">
        <v>12</v>
      </c>
      <c r="N1620" s="3">
        <v>1.4104372355430183E-3</v>
      </c>
      <c r="O1620" s="3">
        <v>0</v>
      </c>
      <c r="P1620">
        <v>22.5</v>
      </c>
      <c r="Q1620">
        <v>8.5</v>
      </c>
      <c r="R1620" t="s">
        <v>102</v>
      </c>
      <c r="S1620">
        <v>0</v>
      </c>
      <c r="T1620" s="6">
        <f>10^-(14-Q1620)</f>
        <v>3.1622776601683767E-6</v>
      </c>
      <c r="U1620" s="6">
        <v>0</v>
      </c>
      <c r="V1620" s="6">
        <v>0</v>
      </c>
      <c r="W1620" s="6">
        <v>0</v>
      </c>
      <c r="X1620" s="6">
        <v>0</v>
      </c>
      <c r="Y1620" t="s">
        <v>171</v>
      </c>
      <c r="Z1620" s="5">
        <v>-172</v>
      </c>
      <c r="AA1620" s="3">
        <v>1.0180000000000001E-5</v>
      </c>
      <c r="AD1620">
        <v>0.1</v>
      </c>
      <c r="AE1620">
        <v>1150</v>
      </c>
      <c r="AF1620">
        <v>2</v>
      </c>
      <c r="AG1620" s="9">
        <v>1.7999999999999999E-2</v>
      </c>
      <c r="AH1620" s="9">
        <v>0.94</v>
      </c>
      <c r="AI1620" s="9">
        <v>0.53</v>
      </c>
      <c r="AJ1620" s="9">
        <v>3.1E-2</v>
      </c>
      <c r="AK1620" s="9">
        <v>1E-3</v>
      </c>
      <c r="AL1620" s="9">
        <v>16.72</v>
      </c>
      <c r="AM1620" s="9">
        <v>10</v>
      </c>
      <c r="AN1620" s="9">
        <v>2.06</v>
      </c>
      <c r="AO1620" s="9">
        <v>4.2000000000000003E-2</v>
      </c>
    </row>
    <row r="1621" spans="1:41" x14ac:dyDescent="0.3">
      <c r="A1621" t="s">
        <v>606</v>
      </c>
      <c r="B1621" s="1" t="s">
        <v>1612</v>
      </c>
      <c r="C1621">
        <v>74</v>
      </c>
      <c r="D1621" s="8" t="s">
        <v>1629</v>
      </c>
      <c r="E1621">
        <v>1200</v>
      </c>
      <c r="G1621" t="s">
        <v>32</v>
      </c>
      <c r="H1621">
        <v>1.5</v>
      </c>
      <c r="I1621" s="4">
        <v>0.62</v>
      </c>
      <c r="J1621" s="3">
        <v>0.5</v>
      </c>
      <c r="K1621" s="4">
        <v>12</v>
      </c>
      <c r="N1621" s="3">
        <v>0.5</v>
      </c>
      <c r="O1621" s="3">
        <v>0</v>
      </c>
      <c r="P1621">
        <v>22.5</v>
      </c>
      <c r="Q1621">
        <v>8.1</v>
      </c>
      <c r="R1621" t="s">
        <v>102</v>
      </c>
      <c r="S1621">
        <v>0</v>
      </c>
      <c r="T1621" s="6">
        <f>10^-(14-Q1621)</f>
        <v>1.2589254117941642E-6</v>
      </c>
      <c r="U1621" s="6">
        <v>0</v>
      </c>
      <c r="V1621" s="6">
        <v>0</v>
      </c>
      <c r="W1621" s="6">
        <v>0</v>
      </c>
      <c r="X1621" s="6">
        <v>0</v>
      </c>
      <c r="Y1621" t="s">
        <v>171</v>
      </c>
      <c r="Z1621" s="5">
        <v>40</v>
      </c>
      <c r="AA1621" s="3">
        <v>6.9820000000000006E-5</v>
      </c>
      <c r="AD1621">
        <v>0.1</v>
      </c>
      <c r="AE1621">
        <v>527</v>
      </c>
      <c r="AF1621">
        <v>1</v>
      </c>
      <c r="AG1621" s="9">
        <v>1.7999999999999999E-2</v>
      </c>
      <c r="AH1621" s="9">
        <v>0.94</v>
      </c>
      <c r="AI1621" s="9">
        <v>0.53</v>
      </c>
      <c r="AJ1621" s="9">
        <v>3.1E-2</v>
      </c>
      <c r="AK1621" s="9">
        <v>1E-3</v>
      </c>
      <c r="AL1621" s="9">
        <v>16.72</v>
      </c>
      <c r="AM1621" s="9">
        <v>10</v>
      </c>
      <c r="AN1621" s="9">
        <v>2.06</v>
      </c>
      <c r="AO1621" s="9">
        <v>4.2000000000000003E-2</v>
      </c>
    </row>
    <row r="1622" spans="1:41" x14ac:dyDescent="0.3">
      <c r="A1622" t="s">
        <v>609</v>
      </c>
      <c r="B1622" s="1" t="s">
        <v>1612</v>
      </c>
      <c r="C1622">
        <v>74</v>
      </c>
      <c r="D1622" s="8" t="s">
        <v>1629</v>
      </c>
      <c r="E1622">
        <v>1200</v>
      </c>
      <c r="G1622" t="s">
        <v>29</v>
      </c>
      <c r="H1622" t="s">
        <v>987</v>
      </c>
      <c r="J1622" s="3">
        <v>24</v>
      </c>
      <c r="K1622" s="4">
        <v>12</v>
      </c>
      <c r="N1622" s="3">
        <v>0.5</v>
      </c>
      <c r="O1622" s="3">
        <v>0</v>
      </c>
      <c r="P1622">
        <v>22.5</v>
      </c>
      <c r="Q1622">
        <v>8.1</v>
      </c>
      <c r="R1622" t="s">
        <v>102</v>
      </c>
      <c r="S1622">
        <v>0</v>
      </c>
      <c r="T1622" s="6">
        <f>10^-(14-Q1622)</f>
        <v>1.2589254117941642E-6</v>
      </c>
      <c r="U1622" s="6">
        <v>0</v>
      </c>
      <c r="V1622" s="6">
        <v>0</v>
      </c>
      <c r="W1622" s="6">
        <v>0</v>
      </c>
      <c r="X1622" s="6">
        <v>0</v>
      </c>
      <c r="Y1622" t="s">
        <v>171</v>
      </c>
      <c r="Z1622" s="5">
        <v>159</v>
      </c>
      <c r="AA1622" s="3">
        <v>1.3449999999999999E-4</v>
      </c>
      <c r="AD1622">
        <v>0.1</v>
      </c>
      <c r="AE1622">
        <v>425</v>
      </c>
      <c r="AF1622">
        <v>1</v>
      </c>
      <c r="AG1622" s="9">
        <v>1.7999999999999999E-2</v>
      </c>
      <c r="AH1622" s="9">
        <v>0.94</v>
      </c>
      <c r="AI1622" s="9">
        <v>0.53</v>
      </c>
      <c r="AJ1622" s="9">
        <v>3.1E-2</v>
      </c>
      <c r="AK1622" s="9">
        <v>1E-3</v>
      </c>
      <c r="AL1622" s="9">
        <v>16.72</v>
      </c>
      <c r="AM1622" s="9">
        <v>10</v>
      </c>
      <c r="AN1622" s="9">
        <v>2.06</v>
      </c>
      <c r="AO1622" s="9">
        <v>4.2000000000000003E-2</v>
      </c>
    </row>
    <row r="1623" spans="1:41" x14ac:dyDescent="0.3">
      <c r="A1623" t="s">
        <v>611</v>
      </c>
      <c r="B1623" s="1" t="s">
        <v>1612</v>
      </c>
      <c r="C1623">
        <v>74</v>
      </c>
      <c r="D1623" s="8" t="s">
        <v>1629</v>
      </c>
      <c r="E1623">
        <v>1200</v>
      </c>
      <c r="G1623" t="s">
        <v>32</v>
      </c>
      <c r="H1623">
        <v>1.5</v>
      </c>
      <c r="I1623" s="4">
        <v>0.62</v>
      </c>
      <c r="J1623" s="3">
        <v>0.5</v>
      </c>
      <c r="K1623" s="4">
        <v>12</v>
      </c>
      <c r="N1623" s="3">
        <v>1.4104372355430183E-3</v>
      </c>
      <c r="O1623" s="3">
        <v>0</v>
      </c>
      <c r="P1623">
        <v>30</v>
      </c>
      <c r="Q1623">
        <v>8.4</v>
      </c>
      <c r="R1623" t="s">
        <v>102</v>
      </c>
      <c r="S1623">
        <v>0</v>
      </c>
      <c r="T1623" s="6">
        <f>10^-(14-Q1623)</f>
        <v>2.5118864315095806E-6</v>
      </c>
      <c r="U1623" s="6">
        <v>0</v>
      </c>
      <c r="V1623" s="6">
        <v>0</v>
      </c>
      <c r="W1623" s="6">
        <v>0</v>
      </c>
      <c r="X1623" s="6">
        <v>0</v>
      </c>
      <c r="Y1623" t="s">
        <v>171</v>
      </c>
      <c r="Z1623" s="5">
        <v>-44</v>
      </c>
      <c r="AA1623" s="3">
        <v>8.9749999999999996E-6</v>
      </c>
      <c r="AD1623">
        <v>0.1</v>
      </c>
      <c r="AE1623">
        <v>1030</v>
      </c>
      <c r="AF1623">
        <v>2</v>
      </c>
      <c r="AG1623" s="9">
        <v>1.7999999999999999E-2</v>
      </c>
      <c r="AH1623" s="9">
        <v>0.94</v>
      </c>
      <c r="AI1623" s="9">
        <v>0.53</v>
      </c>
      <c r="AJ1623" s="9">
        <v>3.1E-2</v>
      </c>
      <c r="AK1623" s="9">
        <v>1E-3</v>
      </c>
      <c r="AL1623" s="9">
        <v>16.72</v>
      </c>
      <c r="AM1623" s="9">
        <v>10</v>
      </c>
      <c r="AN1623" s="9">
        <v>2.06</v>
      </c>
      <c r="AO1623" s="9">
        <v>4.2000000000000003E-2</v>
      </c>
    </row>
    <row r="1624" spans="1:41" x14ac:dyDescent="0.3">
      <c r="A1624" t="s">
        <v>613</v>
      </c>
      <c r="B1624" s="1" t="s">
        <v>1612</v>
      </c>
      <c r="C1624">
        <v>74</v>
      </c>
      <c r="D1624" s="8" t="s">
        <v>1629</v>
      </c>
      <c r="E1624">
        <v>1200</v>
      </c>
      <c r="G1624" t="s">
        <v>29</v>
      </c>
      <c r="H1624" t="s">
        <v>987</v>
      </c>
      <c r="J1624" s="3">
        <v>24</v>
      </c>
      <c r="K1624" s="4">
        <v>12</v>
      </c>
      <c r="N1624" s="3">
        <v>1.4104372355430183E-3</v>
      </c>
      <c r="O1624" s="3">
        <v>0</v>
      </c>
      <c r="P1624">
        <v>30</v>
      </c>
      <c r="Q1624">
        <v>8.4</v>
      </c>
      <c r="R1624" t="s">
        <v>102</v>
      </c>
      <c r="S1624">
        <v>0</v>
      </c>
      <c r="T1624" s="6">
        <f>10^-(14-Q1624)</f>
        <v>2.5118864315095806E-6</v>
      </c>
      <c r="U1624" s="6">
        <v>0</v>
      </c>
      <c r="V1624" s="6">
        <v>0</v>
      </c>
      <c r="W1624" s="6">
        <v>0</v>
      </c>
      <c r="X1624" s="6">
        <v>0</v>
      </c>
      <c r="Y1624" t="s">
        <v>171</v>
      </c>
      <c r="Z1624" s="5">
        <v>-42</v>
      </c>
      <c r="AA1624" s="3">
        <v>1.6520000000000001E-5</v>
      </c>
      <c r="AD1624">
        <v>0.1</v>
      </c>
      <c r="AE1624">
        <v>945</v>
      </c>
      <c r="AF1624">
        <v>1</v>
      </c>
      <c r="AG1624" s="9">
        <v>1.7999999999999999E-2</v>
      </c>
      <c r="AH1624" s="9">
        <v>0.94</v>
      </c>
      <c r="AI1624" s="9">
        <v>0.53</v>
      </c>
      <c r="AJ1624" s="9">
        <v>3.1E-2</v>
      </c>
      <c r="AK1624" s="9">
        <v>1E-3</v>
      </c>
      <c r="AL1624" s="9">
        <v>16.72</v>
      </c>
      <c r="AM1624" s="9">
        <v>10</v>
      </c>
      <c r="AN1624" s="9">
        <v>2.06</v>
      </c>
      <c r="AO1624" s="9">
        <v>4.2000000000000003E-2</v>
      </c>
    </row>
    <row r="1625" spans="1:41" x14ac:dyDescent="0.3">
      <c r="A1625" t="s">
        <v>614</v>
      </c>
      <c r="B1625" s="1" t="s">
        <v>1612</v>
      </c>
      <c r="C1625">
        <v>74</v>
      </c>
      <c r="D1625" s="8" t="s">
        <v>1629</v>
      </c>
      <c r="E1625">
        <v>1200</v>
      </c>
      <c r="G1625" t="s">
        <v>29</v>
      </c>
      <c r="H1625" t="s">
        <v>987</v>
      </c>
      <c r="J1625" s="3">
        <v>24</v>
      </c>
      <c r="K1625" s="4">
        <v>12</v>
      </c>
      <c r="N1625" s="3">
        <v>1.4104372355430183E-3</v>
      </c>
      <c r="O1625" s="3">
        <v>0</v>
      </c>
      <c r="P1625">
        <v>30</v>
      </c>
      <c r="Q1625">
        <v>8.4</v>
      </c>
      <c r="R1625" t="s">
        <v>102</v>
      </c>
      <c r="S1625">
        <v>0</v>
      </c>
      <c r="T1625" s="6">
        <f>10^-(14-Q1625)</f>
        <v>2.5118864315095806E-6</v>
      </c>
      <c r="U1625" s="6">
        <v>0</v>
      </c>
      <c r="V1625" s="6">
        <v>0</v>
      </c>
      <c r="W1625" s="6">
        <v>0</v>
      </c>
      <c r="X1625" s="6">
        <v>0</v>
      </c>
      <c r="Y1625" t="s">
        <v>171</v>
      </c>
      <c r="Z1625" s="5">
        <v>-42</v>
      </c>
      <c r="AA1625" s="3">
        <v>1.6520000000000001E-5</v>
      </c>
      <c r="AD1625">
        <v>0.1</v>
      </c>
      <c r="AE1625">
        <v>960</v>
      </c>
      <c r="AF1625">
        <v>1</v>
      </c>
      <c r="AG1625" s="9">
        <v>1.7999999999999999E-2</v>
      </c>
      <c r="AH1625" s="9">
        <v>0.94</v>
      </c>
      <c r="AI1625" s="9">
        <v>0.53</v>
      </c>
      <c r="AJ1625" s="9">
        <v>3.1E-2</v>
      </c>
      <c r="AK1625" s="9">
        <v>1E-3</v>
      </c>
      <c r="AL1625" s="9">
        <v>16.72</v>
      </c>
      <c r="AM1625" s="9">
        <v>10</v>
      </c>
      <c r="AN1625" s="9">
        <v>2.06</v>
      </c>
      <c r="AO1625" s="9">
        <v>4.2000000000000003E-2</v>
      </c>
    </row>
    <row r="1626" spans="1:41" x14ac:dyDescent="0.3">
      <c r="A1626" t="s">
        <v>616</v>
      </c>
      <c r="B1626" s="1" t="s">
        <v>1612</v>
      </c>
      <c r="C1626">
        <v>74</v>
      </c>
      <c r="D1626" s="8" t="s">
        <v>1629</v>
      </c>
      <c r="E1626">
        <v>1200</v>
      </c>
      <c r="G1626" t="s">
        <v>32</v>
      </c>
      <c r="H1626">
        <v>1.5</v>
      </c>
      <c r="I1626" s="4">
        <v>0.62</v>
      </c>
      <c r="J1626" s="3">
        <v>0.5</v>
      </c>
      <c r="K1626" s="4">
        <v>12</v>
      </c>
      <c r="N1626" s="3">
        <v>0.5</v>
      </c>
      <c r="O1626" s="3">
        <v>0</v>
      </c>
      <c r="P1626">
        <v>30</v>
      </c>
      <c r="Q1626">
        <v>8.1</v>
      </c>
      <c r="R1626" t="s">
        <v>102</v>
      </c>
      <c r="S1626">
        <v>0</v>
      </c>
      <c r="T1626" s="6">
        <f>10^-(14-Q1626)</f>
        <v>1.2589254117941642E-6</v>
      </c>
      <c r="U1626" s="6">
        <v>0</v>
      </c>
      <c r="V1626" s="6">
        <v>0</v>
      </c>
      <c r="W1626" s="6">
        <v>0</v>
      </c>
      <c r="X1626" s="6">
        <v>0</v>
      </c>
      <c r="Y1626" t="s">
        <v>171</v>
      </c>
      <c r="Z1626" s="5">
        <v>160</v>
      </c>
      <c r="AA1626" s="3">
        <v>1.037E-4</v>
      </c>
      <c r="AD1626">
        <v>0.1</v>
      </c>
      <c r="AE1626">
        <v>381</v>
      </c>
      <c r="AF1626">
        <v>1</v>
      </c>
      <c r="AG1626" s="9">
        <v>1.7999999999999999E-2</v>
      </c>
      <c r="AH1626" s="9">
        <v>0.94</v>
      </c>
      <c r="AI1626" s="9">
        <v>0.53</v>
      </c>
      <c r="AJ1626" s="9">
        <v>3.1E-2</v>
      </c>
      <c r="AK1626" s="9">
        <v>1E-3</v>
      </c>
      <c r="AL1626" s="9">
        <v>16.72</v>
      </c>
      <c r="AM1626" s="9">
        <v>10</v>
      </c>
      <c r="AN1626" s="9">
        <v>2.06</v>
      </c>
      <c r="AO1626" s="9">
        <v>4.2000000000000003E-2</v>
      </c>
    </row>
    <row r="1627" spans="1:41" x14ac:dyDescent="0.3">
      <c r="A1627" t="s">
        <v>618</v>
      </c>
      <c r="B1627" s="1" t="s">
        <v>1612</v>
      </c>
      <c r="C1627">
        <v>74</v>
      </c>
      <c r="D1627" s="8" t="s">
        <v>1629</v>
      </c>
      <c r="E1627">
        <v>1200</v>
      </c>
      <c r="G1627" t="s">
        <v>29</v>
      </c>
      <c r="H1627" t="s">
        <v>987</v>
      </c>
      <c r="J1627" s="3">
        <v>24</v>
      </c>
      <c r="K1627" s="4">
        <v>12</v>
      </c>
      <c r="N1627" s="3">
        <v>0.5</v>
      </c>
      <c r="O1627" s="3">
        <v>0</v>
      </c>
      <c r="P1627">
        <v>30</v>
      </c>
      <c r="Q1627">
        <v>8.1</v>
      </c>
      <c r="R1627" t="s">
        <v>102</v>
      </c>
      <c r="S1627">
        <v>0</v>
      </c>
      <c r="T1627" s="6">
        <f>10^-(14-Q1627)</f>
        <v>1.2589254117941642E-6</v>
      </c>
      <c r="U1627" s="6">
        <v>0</v>
      </c>
      <c r="V1627" s="6">
        <v>0</v>
      </c>
      <c r="W1627" s="6">
        <v>0</v>
      </c>
      <c r="X1627" s="6">
        <v>0</v>
      </c>
      <c r="Y1627" t="s">
        <v>171</v>
      </c>
      <c r="Z1627" s="5">
        <v>193</v>
      </c>
      <c r="AA1627" s="3">
        <v>8.0430000000000001E-5</v>
      </c>
      <c r="AD1627">
        <v>0.1</v>
      </c>
      <c r="AE1627">
        <v>385</v>
      </c>
      <c r="AF1627">
        <v>1</v>
      </c>
      <c r="AG1627" s="9">
        <v>1.7999999999999999E-2</v>
      </c>
      <c r="AH1627" s="9">
        <v>0.94</v>
      </c>
      <c r="AI1627" s="9">
        <v>0.53</v>
      </c>
      <c r="AJ1627" s="9">
        <v>3.1E-2</v>
      </c>
      <c r="AK1627" s="9">
        <v>1E-3</v>
      </c>
      <c r="AL1627" s="9">
        <v>16.72</v>
      </c>
      <c r="AM1627" s="9">
        <v>10</v>
      </c>
      <c r="AN1627" s="9">
        <v>2.06</v>
      </c>
      <c r="AO1627" s="9">
        <v>4.2000000000000003E-2</v>
      </c>
    </row>
    <row r="1628" spans="1:41" x14ac:dyDescent="0.3">
      <c r="A1628" t="s">
        <v>600</v>
      </c>
      <c r="B1628" s="1" t="s">
        <v>1612</v>
      </c>
      <c r="C1628">
        <v>74</v>
      </c>
      <c r="D1628" s="8" t="s">
        <v>1631</v>
      </c>
      <c r="E1628">
        <v>1200</v>
      </c>
      <c r="G1628" t="s">
        <v>32</v>
      </c>
      <c r="H1628">
        <v>1.5</v>
      </c>
      <c r="I1628" s="4">
        <v>0.62</v>
      </c>
      <c r="J1628" s="3">
        <v>0.5</v>
      </c>
      <c r="K1628" s="4">
        <v>12</v>
      </c>
      <c r="N1628" s="3">
        <v>1.4104372355430183E-3</v>
      </c>
      <c r="O1628" s="3">
        <v>0</v>
      </c>
      <c r="P1628">
        <v>22.5</v>
      </c>
      <c r="Q1628">
        <v>8.5</v>
      </c>
      <c r="R1628" t="s">
        <v>102</v>
      </c>
      <c r="S1628">
        <v>0</v>
      </c>
      <c r="T1628" s="6">
        <f>10^-(14-Q1628)</f>
        <v>3.1622776601683767E-6</v>
      </c>
      <c r="U1628" s="6">
        <v>0</v>
      </c>
      <c r="V1628" s="6">
        <v>0</v>
      </c>
      <c r="W1628" s="6">
        <v>0</v>
      </c>
      <c r="X1628" s="6">
        <v>0</v>
      </c>
      <c r="Y1628" t="s">
        <v>171</v>
      </c>
      <c r="Z1628" s="5">
        <v>-75.2</v>
      </c>
      <c r="AA1628" s="3">
        <v>1.9709999999999999E-5</v>
      </c>
      <c r="AD1628">
        <v>0.1</v>
      </c>
      <c r="AE1628">
        <v>785</v>
      </c>
      <c r="AF1628">
        <v>1</v>
      </c>
      <c r="AG1628" s="9">
        <v>2.1000000000000001E-2</v>
      </c>
      <c r="AH1628" s="9">
        <v>1.51</v>
      </c>
      <c r="AI1628" s="9">
        <v>0.38</v>
      </c>
      <c r="AJ1628" s="9">
        <v>3.1E-2</v>
      </c>
      <c r="AK1628" s="9">
        <v>2E-3</v>
      </c>
      <c r="AL1628" s="9">
        <v>17.98</v>
      </c>
      <c r="AM1628" s="9">
        <v>8</v>
      </c>
      <c r="AN1628" s="9">
        <v>0.27</v>
      </c>
      <c r="AO1628" s="9">
        <v>4.9000000000000002E-2</v>
      </c>
    </row>
    <row r="1629" spans="1:41" x14ac:dyDescent="0.3">
      <c r="A1629" t="s">
        <v>602</v>
      </c>
      <c r="B1629" s="1" t="s">
        <v>1612</v>
      </c>
      <c r="C1629">
        <v>74</v>
      </c>
      <c r="D1629" s="8" t="s">
        <v>1631</v>
      </c>
      <c r="E1629">
        <v>1200</v>
      </c>
      <c r="G1629" t="s">
        <v>29</v>
      </c>
      <c r="H1629" t="s">
        <v>987</v>
      </c>
      <c r="J1629" s="3">
        <v>24</v>
      </c>
      <c r="K1629" s="4">
        <v>12</v>
      </c>
      <c r="N1629" s="3">
        <v>1.4104372355430183E-3</v>
      </c>
      <c r="O1629" s="3">
        <v>0</v>
      </c>
      <c r="P1629">
        <v>22.5</v>
      </c>
      <c r="Q1629">
        <v>8.5</v>
      </c>
      <c r="R1629" t="s">
        <v>102</v>
      </c>
      <c r="S1629">
        <v>0</v>
      </c>
      <c r="T1629" s="6">
        <f>10^-(14-Q1629)</f>
        <v>3.1622776601683767E-6</v>
      </c>
      <c r="U1629" s="6">
        <v>0</v>
      </c>
      <c r="V1629" s="6">
        <v>0</v>
      </c>
      <c r="W1629" s="6">
        <v>0</v>
      </c>
      <c r="X1629" s="6">
        <v>0</v>
      </c>
      <c r="Y1629" t="s">
        <v>171</v>
      </c>
      <c r="Z1629" s="5">
        <v>-120</v>
      </c>
      <c r="AA1629" s="3">
        <v>2.1080000000000001E-5</v>
      </c>
      <c r="AD1629">
        <v>0.1</v>
      </c>
      <c r="AE1629">
        <v>855</v>
      </c>
      <c r="AF1629">
        <v>1</v>
      </c>
      <c r="AG1629" s="9">
        <v>2.1000000000000001E-2</v>
      </c>
      <c r="AH1629" s="9">
        <v>1.51</v>
      </c>
      <c r="AI1629" s="9">
        <v>0.38</v>
      </c>
      <c r="AJ1629" s="9">
        <v>3.1E-2</v>
      </c>
      <c r="AK1629" s="9">
        <v>2E-3</v>
      </c>
      <c r="AL1629" s="9">
        <v>17.98</v>
      </c>
      <c r="AM1629" s="9">
        <v>8</v>
      </c>
      <c r="AN1629" s="9">
        <v>0.27</v>
      </c>
      <c r="AO1629" s="9">
        <v>4.9000000000000002E-2</v>
      </c>
    </row>
    <row r="1630" spans="1:41" x14ac:dyDescent="0.3">
      <c r="A1630" t="s">
        <v>603</v>
      </c>
      <c r="B1630" s="1" t="s">
        <v>1612</v>
      </c>
      <c r="C1630">
        <v>74</v>
      </c>
      <c r="D1630" s="8" t="s">
        <v>1631</v>
      </c>
      <c r="E1630">
        <v>1200</v>
      </c>
      <c r="G1630" t="s">
        <v>29</v>
      </c>
      <c r="H1630" t="s">
        <v>987</v>
      </c>
      <c r="J1630" s="3">
        <v>24</v>
      </c>
      <c r="K1630" s="4">
        <v>12</v>
      </c>
      <c r="N1630" s="3">
        <v>1.4104372355430183E-3</v>
      </c>
      <c r="O1630" s="3">
        <v>0</v>
      </c>
      <c r="P1630">
        <v>22.5</v>
      </c>
      <c r="Q1630">
        <v>8.5</v>
      </c>
      <c r="R1630" t="s">
        <v>102</v>
      </c>
      <c r="S1630">
        <v>0</v>
      </c>
      <c r="T1630" s="6">
        <f>10^-(14-Q1630)</f>
        <v>3.1622776601683767E-6</v>
      </c>
      <c r="U1630" s="6">
        <v>0</v>
      </c>
      <c r="V1630" s="6">
        <v>0</v>
      </c>
      <c r="W1630" s="6">
        <v>0</v>
      </c>
      <c r="X1630" s="6">
        <v>0</v>
      </c>
      <c r="Y1630" t="s">
        <v>171</v>
      </c>
      <c r="Z1630" s="5">
        <v>-120</v>
      </c>
      <c r="AA1630" s="3">
        <v>2.1080000000000001E-5</v>
      </c>
      <c r="AD1630">
        <v>0.1</v>
      </c>
      <c r="AE1630">
        <v>750</v>
      </c>
      <c r="AF1630">
        <v>1</v>
      </c>
      <c r="AG1630" s="9">
        <v>2.1000000000000001E-2</v>
      </c>
      <c r="AH1630" s="9">
        <v>1.51</v>
      </c>
      <c r="AI1630" s="9">
        <v>0.38</v>
      </c>
      <c r="AJ1630" s="9">
        <v>3.1E-2</v>
      </c>
      <c r="AK1630" s="9">
        <v>2E-3</v>
      </c>
      <c r="AL1630" s="9">
        <v>17.98</v>
      </c>
      <c r="AM1630" s="9">
        <v>8</v>
      </c>
      <c r="AN1630" s="9">
        <v>0.27</v>
      </c>
      <c r="AO1630" s="9">
        <v>4.9000000000000002E-2</v>
      </c>
    </row>
    <row r="1631" spans="1:41" x14ac:dyDescent="0.3">
      <c r="A1631" t="s">
        <v>605</v>
      </c>
      <c r="B1631" s="1" t="s">
        <v>1612</v>
      </c>
      <c r="C1631">
        <v>74</v>
      </c>
      <c r="D1631" s="8" t="s">
        <v>1631</v>
      </c>
      <c r="E1631">
        <v>1200</v>
      </c>
      <c r="G1631" t="s">
        <v>32</v>
      </c>
      <c r="H1631">
        <v>1.5</v>
      </c>
      <c r="I1631" s="4">
        <v>0.62</v>
      </c>
      <c r="J1631" s="3">
        <v>0.5</v>
      </c>
      <c r="K1631" s="4">
        <v>12</v>
      </c>
      <c r="N1631" s="3">
        <v>0.5</v>
      </c>
      <c r="O1631" s="3">
        <v>0</v>
      </c>
      <c r="P1631">
        <v>22.5</v>
      </c>
      <c r="Q1631">
        <v>8.1</v>
      </c>
      <c r="R1631" t="s">
        <v>102</v>
      </c>
      <c r="S1631">
        <v>0</v>
      </c>
      <c r="T1631" s="6">
        <f>10^-(14-Q1631)</f>
        <v>1.2589254117941642E-6</v>
      </c>
      <c r="U1631" s="6">
        <v>0</v>
      </c>
      <c r="V1631" s="6">
        <v>0</v>
      </c>
      <c r="W1631" s="6">
        <v>0</v>
      </c>
      <c r="X1631" s="6">
        <v>0</v>
      </c>
      <c r="Y1631" t="s">
        <v>171</v>
      </c>
      <c r="Z1631" s="5">
        <v>141</v>
      </c>
      <c r="AA1631" s="3">
        <v>1.071E-4</v>
      </c>
      <c r="AD1631">
        <v>0.1</v>
      </c>
      <c r="AE1631">
        <v>230</v>
      </c>
      <c r="AF1631">
        <v>1</v>
      </c>
      <c r="AG1631" s="9">
        <v>2.1000000000000001E-2</v>
      </c>
      <c r="AH1631" s="9">
        <v>1.51</v>
      </c>
      <c r="AI1631" s="9">
        <v>0.38</v>
      </c>
      <c r="AJ1631" s="9">
        <v>3.1E-2</v>
      </c>
      <c r="AK1631" s="9">
        <v>2E-3</v>
      </c>
      <c r="AL1631" s="9">
        <v>17.98</v>
      </c>
      <c r="AM1631" s="9">
        <v>8</v>
      </c>
      <c r="AN1631" s="9">
        <v>0.27</v>
      </c>
      <c r="AO1631" s="9">
        <v>4.9000000000000002E-2</v>
      </c>
    </row>
    <row r="1632" spans="1:41" x14ac:dyDescent="0.3">
      <c r="A1632" t="s">
        <v>607</v>
      </c>
      <c r="B1632" s="1" t="s">
        <v>1612</v>
      </c>
      <c r="C1632">
        <v>74</v>
      </c>
      <c r="D1632" s="8" t="s">
        <v>1631</v>
      </c>
      <c r="E1632">
        <v>1200</v>
      </c>
      <c r="G1632" t="s">
        <v>29</v>
      </c>
      <c r="H1632" t="s">
        <v>987</v>
      </c>
      <c r="J1632" s="3">
        <v>24</v>
      </c>
      <c r="K1632" s="4">
        <v>12</v>
      </c>
      <c r="N1632" s="3">
        <v>0.5</v>
      </c>
      <c r="O1632" s="3">
        <v>0</v>
      </c>
      <c r="P1632">
        <v>22.5</v>
      </c>
      <c r="Q1632">
        <v>8.1</v>
      </c>
      <c r="R1632" t="s">
        <v>102</v>
      </c>
      <c r="S1632">
        <v>0</v>
      </c>
      <c r="T1632" s="6">
        <f>10^-(14-Q1632)</f>
        <v>1.2589254117941642E-6</v>
      </c>
      <c r="U1632" s="6">
        <v>0</v>
      </c>
      <c r="V1632" s="6">
        <v>0</v>
      </c>
      <c r="W1632" s="6">
        <v>0</v>
      </c>
      <c r="X1632" s="6">
        <v>0</v>
      </c>
      <c r="Y1632" t="s">
        <v>171</v>
      </c>
      <c r="Z1632" s="5">
        <v>98</v>
      </c>
      <c r="AA1632" s="3">
        <v>1.4440000000000001E-4</v>
      </c>
      <c r="AD1632">
        <v>0.1</v>
      </c>
      <c r="AE1632">
        <v>284</v>
      </c>
      <c r="AF1632">
        <v>1</v>
      </c>
      <c r="AG1632" s="9">
        <v>2.1000000000000001E-2</v>
      </c>
      <c r="AH1632" s="9">
        <v>1.51</v>
      </c>
      <c r="AI1632" s="9">
        <v>0.38</v>
      </c>
      <c r="AJ1632" s="9">
        <v>3.1E-2</v>
      </c>
      <c r="AK1632" s="9">
        <v>2E-3</v>
      </c>
      <c r="AL1632" s="9">
        <v>17.98</v>
      </c>
      <c r="AM1632" s="9">
        <v>8</v>
      </c>
      <c r="AN1632" s="9">
        <v>0.27</v>
      </c>
      <c r="AO1632" s="9">
        <v>4.9000000000000002E-2</v>
      </c>
    </row>
    <row r="1633" spans="1:41" x14ac:dyDescent="0.3">
      <c r="A1633" t="s">
        <v>608</v>
      </c>
      <c r="B1633" s="1" t="s">
        <v>1612</v>
      </c>
      <c r="C1633">
        <v>74</v>
      </c>
      <c r="D1633" s="8" t="s">
        <v>1631</v>
      </c>
      <c r="E1633">
        <v>1200</v>
      </c>
      <c r="G1633" t="s">
        <v>29</v>
      </c>
      <c r="H1633" t="s">
        <v>987</v>
      </c>
      <c r="J1633" s="3">
        <v>24</v>
      </c>
      <c r="K1633" s="4">
        <v>12</v>
      </c>
      <c r="N1633" s="3">
        <v>0.5</v>
      </c>
      <c r="O1633" s="3">
        <v>0</v>
      </c>
      <c r="P1633">
        <v>22.5</v>
      </c>
      <c r="Q1633">
        <v>8.1</v>
      </c>
      <c r="R1633" t="s">
        <v>102</v>
      </c>
      <c r="S1633">
        <v>0</v>
      </c>
      <c r="T1633" s="6">
        <f>10^-(14-Q1633)</f>
        <v>1.2589254117941642E-6</v>
      </c>
      <c r="U1633" s="6">
        <v>0</v>
      </c>
      <c r="V1633" s="6">
        <v>0</v>
      </c>
      <c r="W1633" s="6">
        <v>0</v>
      </c>
      <c r="X1633" s="6">
        <v>0</v>
      </c>
      <c r="Y1633" t="s">
        <v>171</v>
      </c>
      <c r="Z1633" s="5">
        <v>98</v>
      </c>
      <c r="AA1633" s="3">
        <v>1.4440000000000001E-4</v>
      </c>
      <c r="AD1633">
        <v>0.1</v>
      </c>
      <c r="AE1633">
        <v>225</v>
      </c>
      <c r="AF1633">
        <v>1</v>
      </c>
      <c r="AG1633" s="9">
        <v>2.1000000000000001E-2</v>
      </c>
      <c r="AH1633" s="9">
        <v>1.51</v>
      </c>
      <c r="AI1633" s="9">
        <v>0.38</v>
      </c>
      <c r="AJ1633" s="9">
        <v>3.1E-2</v>
      </c>
      <c r="AK1633" s="9">
        <v>2E-3</v>
      </c>
      <c r="AL1633" s="9">
        <v>17.98</v>
      </c>
      <c r="AM1633" s="9">
        <v>8</v>
      </c>
      <c r="AN1633" s="9">
        <v>0.27</v>
      </c>
      <c r="AO1633" s="9">
        <v>4.9000000000000002E-2</v>
      </c>
    </row>
    <row r="1634" spans="1:41" x14ac:dyDescent="0.3">
      <c r="A1634" t="s">
        <v>610</v>
      </c>
      <c r="B1634" s="1" t="s">
        <v>1612</v>
      </c>
      <c r="C1634">
        <v>74</v>
      </c>
      <c r="D1634" s="8" t="s">
        <v>1631</v>
      </c>
      <c r="E1634">
        <v>1200</v>
      </c>
      <c r="G1634" t="s">
        <v>32</v>
      </c>
      <c r="H1634">
        <v>1.5</v>
      </c>
      <c r="I1634" s="4">
        <v>0.62</v>
      </c>
      <c r="J1634" s="3">
        <v>0.5</v>
      </c>
      <c r="K1634" s="4">
        <v>12</v>
      </c>
      <c r="N1634" s="3">
        <v>1.4104372355430183E-3</v>
      </c>
      <c r="O1634" s="3">
        <v>0</v>
      </c>
      <c r="P1634">
        <v>30</v>
      </c>
      <c r="Q1634">
        <v>8.4</v>
      </c>
      <c r="R1634" t="s">
        <v>102</v>
      </c>
      <c r="S1634">
        <v>0</v>
      </c>
      <c r="T1634" s="6">
        <f>10^-(14-Q1634)</f>
        <v>2.5118864315095806E-6</v>
      </c>
      <c r="U1634" s="6">
        <v>0</v>
      </c>
      <c r="V1634" s="6">
        <v>0</v>
      </c>
      <c r="W1634" s="6">
        <v>0</v>
      </c>
      <c r="X1634" s="6">
        <v>0</v>
      </c>
      <c r="Y1634" t="s">
        <v>171</v>
      </c>
      <c r="Z1634" s="5">
        <v>2</v>
      </c>
      <c r="AA1634" s="3">
        <v>7.8539999999999997E-6</v>
      </c>
      <c r="AD1634">
        <v>0.1</v>
      </c>
      <c r="AE1634">
        <v>695</v>
      </c>
      <c r="AF1634">
        <v>1</v>
      </c>
      <c r="AG1634" s="9">
        <v>2.1000000000000001E-2</v>
      </c>
      <c r="AH1634" s="9">
        <v>1.51</v>
      </c>
      <c r="AI1634" s="9">
        <v>0.38</v>
      </c>
      <c r="AJ1634" s="9">
        <v>3.1E-2</v>
      </c>
      <c r="AK1634" s="9">
        <v>2E-3</v>
      </c>
      <c r="AL1634" s="9">
        <v>17.98</v>
      </c>
      <c r="AM1634" s="9">
        <v>8</v>
      </c>
      <c r="AN1634" s="9">
        <v>0.27</v>
      </c>
      <c r="AO1634" s="9">
        <v>4.9000000000000002E-2</v>
      </c>
    </row>
    <row r="1635" spans="1:41" x14ac:dyDescent="0.3">
      <c r="A1635" t="s">
        <v>612</v>
      </c>
      <c r="B1635" s="1" t="s">
        <v>1612</v>
      </c>
      <c r="C1635">
        <v>74</v>
      </c>
      <c r="D1635" s="8" t="s">
        <v>1631</v>
      </c>
      <c r="E1635">
        <v>1200</v>
      </c>
      <c r="G1635" t="s">
        <v>29</v>
      </c>
      <c r="H1635" t="s">
        <v>987</v>
      </c>
      <c r="J1635" s="3">
        <v>24</v>
      </c>
      <c r="K1635" s="4">
        <v>12</v>
      </c>
      <c r="N1635" s="3">
        <v>1.4104372355430183E-3</v>
      </c>
      <c r="O1635" s="3">
        <v>0</v>
      </c>
      <c r="P1635">
        <v>30</v>
      </c>
      <c r="Q1635">
        <v>8.4</v>
      </c>
      <c r="R1635" t="s">
        <v>102</v>
      </c>
      <c r="S1635">
        <v>0</v>
      </c>
      <c r="T1635" s="6">
        <f>10^-(14-Q1635)</f>
        <v>2.5118864315095806E-6</v>
      </c>
      <c r="U1635" s="6">
        <v>0</v>
      </c>
      <c r="V1635" s="6">
        <v>0</v>
      </c>
      <c r="W1635" s="6">
        <v>0</v>
      </c>
      <c r="X1635" s="6">
        <v>0</v>
      </c>
      <c r="Y1635" t="s">
        <v>171</v>
      </c>
      <c r="Z1635" s="5">
        <v>-76</v>
      </c>
      <c r="AA1635" s="3">
        <v>5.6590000000000004E-6</v>
      </c>
      <c r="AD1635">
        <v>0.1</v>
      </c>
      <c r="AE1635">
        <v>770</v>
      </c>
      <c r="AF1635">
        <v>1</v>
      </c>
      <c r="AG1635" s="9">
        <v>2.1000000000000001E-2</v>
      </c>
      <c r="AH1635" s="9">
        <v>1.51</v>
      </c>
      <c r="AI1635" s="9">
        <v>0.38</v>
      </c>
      <c r="AJ1635" s="9">
        <v>3.1E-2</v>
      </c>
      <c r="AK1635" s="9">
        <v>2E-3</v>
      </c>
      <c r="AL1635" s="9">
        <v>17.98</v>
      </c>
      <c r="AM1635" s="9">
        <v>8</v>
      </c>
      <c r="AN1635" s="9">
        <v>0.27</v>
      </c>
      <c r="AO1635" s="9">
        <v>4.9000000000000002E-2</v>
      </c>
    </row>
    <row r="1636" spans="1:41" ht="14.25" customHeight="1" x14ac:dyDescent="0.3">
      <c r="A1636" t="s">
        <v>615</v>
      </c>
      <c r="B1636" s="1" t="s">
        <v>1612</v>
      </c>
      <c r="C1636">
        <v>74</v>
      </c>
      <c r="D1636" s="8" t="s">
        <v>1631</v>
      </c>
      <c r="E1636">
        <v>1200</v>
      </c>
      <c r="G1636" t="s">
        <v>32</v>
      </c>
      <c r="H1636">
        <v>1.5</v>
      </c>
      <c r="I1636" s="4">
        <v>0.62</v>
      </c>
      <c r="J1636" s="3">
        <v>0.5</v>
      </c>
      <c r="K1636" s="4">
        <v>12</v>
      </c>
      <c r="N1636" s="3">
        <v>0.5</v>
      </c>
      <c r="O1636" s="3">
        <v>0</v>
      </c>
      <c r="P1636">
        <v>30</v>
      </c>
      <c r="Q1636">
        <v>7.8</v>
      </c>
      <c r="R1636" t="s">
        <v>102</v>
      </c>
      <c r="S1636">
        <v>0</v>
      </c>
      <c r="T1636" s="6">
        <f>10^-(14-Q1636)</f>
        <v>6.3095734448019254E-7</v>
      </c>
      <c r="U1636" s="6">
        <v>0</v>
      </c>
      <c r="V1636" s="6">
        <v>0</v>
      </c>
      <c r="W1636" s="6">
        <v>0</v>
      </c>
      <c r="X1636" s="6">
        <v>0</v>
      </c>
      <c r="Y1636" t="s">
        <v>171</v>
      </c>
      <c r="Z1636" s="5">
        <v>-56</v>
      </c>
      <c r="AA1636" s="3">
        <v>2.3690000000000001E-6</v>
      </c>
      <c r="AD1636">
        <v>0.1</v>
      </c>
      <c r="AE1636">
        <v>149</v>
      </c>
      <c r="AF1636">
        <v>1</v>
      </c>
      <c r="AG1636" s="9">
        <v>2.1000000000000001E-2</v>
      </c>
      <c r="AH1636" s="9">
        <v>1.51</v>
      </c>
      <c r="AI1636" s="9">
        <v>0.38</v>
      </c>
      <c r="AJ1636" s="9">
        <v>3.1E-2</v>
      </c>
      <c r="AK1636" s="9">
        <v>2E-3</v>
      </c>
      <c r="AL1636" s="9">
        <v>17.98</v>
      </c>
      <c r="AM1636" s="9">
        <v>8</v>
      </c>
      <c r="AN1636" s="9">
        <v>0.27</v>
      </c>
      <c r="AO1636" s="9">
        <v>4.9000000000000002E-2</v>
      </c>
    </row>
    <row r="1637" spans="1:41" x14ac:dyDescent="0.3">
      <c r="A1637" t="s">
        <v>617</v>
      </c>
      <c r="B1637" s="1" t="s">
        <v>1612</v>
      </c>
      <c r="C1637">
        <v>74</v>
      </c>
      <c r="D1637" s="8" t="s">
        <v>1631</v>
      </c>
      <c r="E1637">
        <v>1200</v>
      </c>
      <c r="G1637" t="s">
        <v>29</v>
      </c>
      <c r="H1637" t="s">
        <v>987</v>
      </c>
      <c r="J1637" s="3">
        <v>24</v>
      </c>
      <c r="K1637" s="4">
        <v>12</v>
      </c>
      <c r="N1637" s="3">
        <v>0.5</v>
      </c>
      <c r="O1637" s="3">
        <v>0</v>
      </c>
      <c r="P1637">
        <v>30</v>
      </c>
      <c r="Q1637">
        <v>8.1</v>
      </c>
      <c r="R1637" t="s">
        <v>102</v>
      </c>
      <c r="S1637">
        <v>0</v>
      </c>
      <c r="T1637" s="6">
        <f>10^-(14-Q1637)</f>
        <v>1.2589254117941642E-6</v>
      </c>
      <c r="U1637" s="6">
        <v>0</v>
      </c>
      <c r="V1637" s="6">
        <v>0</v>
      </c>
      <c r="W1637" s="6">
        <v>0</v>
      </c>
      <c r="X1637" s="6">
        <v>0</v>
      </c>
      <c r="Y1637" t="s">
        <v>171</v>
      </c>
      <c r="Z1637" s="5">
        <v>37</v>
      </c>
      <c r="AA1637" s="3">
        <v>6.4960000000000001E-6</v>
      </c>
      <c r="AD1637">
        <v>0.1</v>
      </c>
      <c r="AE1637">
        <v>192</v>
      </c>
      <c r="AF1637">
        <v>1</v>
      </c>
      <c r="AG1637" s="9">
        <v>2.1000000000000001E-2</v>
      </c>
      <c r="AH1637" s="9">
        <v>1.51</v>
      </c>
      <c r="AI1637" s="9">
        <v>0.38</v>
      </c>
      <c r="AJ1637" s="9">
        <v>3.1E-2</v>
      </c>
      <c r="AK1637" s="9">
        <v>2E-3</v>
      </c>
      <c r="AL1637" s="9">
        <v>17.98</v>
      </c>
      <c r="AM1637" s="9">
        <v>8</v>
      </c>
      <c r="AN1637" s="9">
        <v>0.27</v>
      </c>
      <c r="AO1637" s="9">
        <v>4.9000000000000002E-2</v>
      </c>
    </row>
    <row r="1638" spans="1:41" x14ac:dyDescent="0.3">
      <c r="A1638" t="s">
        <v>364</v>
      </c>
      <c r="B1638" s="1" t="s">
        <v>1598</v>
      </c>
      <c r="C1638">
        <v>75</v>
      </c>
      <c r="D1638" s="8">
        <v>1.4403999999999999</v>
      </c>
      <c r="E1638">
        <v>320</v>
      </c>
      <c r="G1638" t="s">
        <v>29</v>
      </c>
      <c r="H1638" t="s">
        <v>987</v>
      </c>
      <c r="J1638" s="3">
        <v>18</v>
      </c>
      <c r="K1638" s="4">
        <v>0.16666666666666666</v>
      </c>
      <c r="L1638" t="s">
        <v>172</v>
      </c>
      <c r="M1638" t="s">
        <v>28</v>
      </c>
      <c r="N1638" s="6">
        <v>1E-3</v>
      </c>
      <c r="O1638" s="3">
        <v>0</v>
      </c>
      <c r="P1638">
        <v>10</v>
      </c>
      <c r="Q1638">
        <v>7</v>
      </c>
      <c r="R1638" t="s">
        <v>102</v>
      </c>
      <c r="S1638">
        <v>0</v>
      </c>
      <c r="T1638" s="6">
        <f>10^-(14-Q1638)</f>
        <v>9.9999999999999995E-8</v>
      </c>
      <c r="U1638" s="6">
        <v>0</v>
      </c>
      <c r="V1638" s="6">
        <v>0</v>
      </c>
      <c r="W1638" s="6">
        <v>0</v>
      </c>
      <c r="X1638" s="6">
        <v>0</v>
      </c>
      <c r="Y1638" t="s">
        <v>171</v>
      </c>
      <c r="AD1638">
        <v>0.33333333333333331</v>
      </c>
      <c r="AE1638">
        <v>1200</v>
      </c>
      <c r="AF1638">
        <v>2</v>
      </c>
      <c r="AG1638" s="9">
        <v>2.1000000000000001E-2</v>
      </c>
      <c r="AH1638" s="9">
        <v>1.65</v>
      </c>
      <c r="AI1638" s="9">
        <v>0.45</v>
      </c>
      <c r="AL1638" s="9">
        <v>17.2</v>
      </c>
      <c r="AM1638" s="9">
        <v>10.1</v>
      </c>
      <c r="AN1638" s="9">
        <v>2.1</v>
      </c>
      <c r="AO1638" s="9">
        <v>3.7999999999999999E-2</v>
      </c>
    </row>
    <row r="1639" spans="1:41" x14ac:dyDescent="0.3">
      <c r="A1639" t="s">
        <v>365</v>
      </c>
      <c r="B1639" s="1" t="s">
        <v>1598</v>
      </c>
      <c r="C1639">
        <v>75</v>
      </c>
      <c r="D1639" s="8">
        <v>1.4403999999999999</v>
      </c>
      <c r="E1639">
        <v>320</v>
      </c>
      <c r="G1639" t="s">
        <v>29</v>
      </c>
      <c r="H1639" t="s">
        <v>987</v>
      </c>
      <c r="J1639" s="3">
        <v>18</v>
      </c>
      <c r="K1639" s="4">
        <v>0.16666666666666666</v>
      </c>
      <c r="L1639" t="s">
        <v>172</v>
      </c>
      <c r="M1639" t="s">
        <v>28</v>
      </c>
      <c r="N1639" s="6">
        <v>2.8571428571428571E-3</v>
      </c>
      <c r="O1639" s="3">
        <v>0</v>
      </c>
      <c r="P1639">
        <v>10</v>
      </c>
      <c r="Q1639">
        <v>7</v>
      </c>
      <c r="R1639" t="s">
        <v>102</v>
      </c>
      <c r="S1639">
        <v>0</v>
      </c>
      <c r="T1639" s="6">
        <f>10^-(14-Q1639)</f>
        <v>9.9999999999999995E-8</v>
      </c>
      <c r="U1639" s="6">
        <v>0</v>
      </c>
      <c r="V1639" s="6">
        <v>0</v>
      </c>
      <c r="W1639" s="6">
        <v>0</v>
      </c>
      <c r="X1639" s="6">
        <v>0</v>
      </c>
      <c r="Y1639" t="s">
        <v>171</v>
      </c>
      <c r="AD1639">
        <v>0.33333333333333331</v>
      </c>
      <c r="AE1639">
        <v>1000</v>
      </c>
      <c r="AF1639">
        <v>1</v>
      </c>
      <c r="AG1639" s="9">
        <v>2.1000000000000001E-2</v>
      </c>
      <c r="AH1639" s="9">
        <v>1.65</v>
      </c>
      <c r="AI1639" s="9">
        <v>0.45</v>
      </c>
      <c r="AL1639" s="9">
        <v>17.2</v>
      </c>
      <c r="AM1639" s="9">
        <v>10.1</v>
      </c>
      <c r="AN1639" s="9">
        <v>2.1</v>
      </c>
      <c r="AO1639" s="9">
        <v>3.7999999999999999E-2</v>
      </c>
    </row>
    <row r="1640" spans="1:41" x14ac:dyDescent="0.3">
      <c r="A1640" t="s">
        <v>366</v>
      </c>
      <c r="B1640" s="1" t="s">
        <v>1598</v>
      </c>
      <c r="C1640">
        <v>75</v>
      </c>
      <c r="D1640" s="8">
        <v>1.4403999999999999</v>
      </c>
      <c r="E1640">
        <v>320</v>
      </c>
      <c r="G1640" t="s">
        <v>29</v>
      </c>
      <c r="H1640" t="s">
        <v>987</v>
      </c>
      <c r="J1640" s="3">
        <v>18</v>
      </c>
      <c r="K1640" s="4">
        <v>0.16666666666666666</v>
      </c>
      <c r="L1640" t="s">
        <v>172</v>
      </c>
      <c r="M1640" t="s">
        <v>28</v>
      </c>
      <c r="N1640" s="6">
        <v>0.01</v>
      </c>
      <c r="O1640" s="3">
        <v>0</v>
      </c>
      <c r="P1640">
        <v>10</v>
      </c>
      <c r="Q1640">
        <v>7</v>
      </c>
      <c r="R1640" t="s">
        <v>102</v>
      </c>
      <c r="S1640">
        <v>0</v>
      </c>
      <c r="T1640" s="6">
        <f>10^-(14-Q1640)</f>
        <v>9.9999999999999995E-8</v>
      </c>
      <c r="U1640" s="6">
        <v>0</v>
      </c>
      <c r="V1640" s="6">
        <v>0</v>
      </c>
      <c r="W1640" s="6">
        <v>0</v>
      </c>
      <c r="X1640" s="6">
        <v>0</v>
      </c>
      <c r="Y1640" t="s">
        <v>171</v>
      </c>
      <c r="AD1640">
        <v>0.33333333333333331</v>
      </c>
      <c r="AE1640">
        <v>1000</v>
      </c>
      <c r="AF1640">
        <v>1</v>
      </c>
      <c r="AG1640" s="9">
        <v>2.1000000000000001E-2</v>
      </c>
      <c r="AH1640" s="9">
        <v>1.65</v>
      </c>
      <c r="AI1640" s="9">
        <v>0.45</v>
      </c>
      <c r="AL1640" s="9">
        <v>17.2</v>
      </c>
      <c r="AM1640" s="9">
        <v>10.1</v>
      </c>
      <c r="AN1640" s="9">
        <v>2.1</v>
      </c>
      <c r="AO1640" s="9">
        <v>3.7999999999999999E-2</v>
      </c>
    </row>
    <row r="1641" spans="1:41" x14ac:dyDescent="0.3">
      <c r="A1641" t="s">
        <v>367</v>
      </c>
      <c r="B1641" s="1" t="s">
        <v>1598</v>
      </c>
      <c r="C1641">
        <v>75</v>
      </c>
      <c r="D1641" s="8">
        <v>1.4403999999999999</v>
      </c>
      <c r="E1641">
        <v>320</v>
      </c>
      <c r="G1641" t="s">
        <v>29</v>
      </c>
      <c r="H1641" t="s">
        <v>987</v>
      </c>
      <c r="J1641" s="3">
        <v>18</v>
      </c>
      <c r="K1641" s="4">
        <v>0.16666666666666666</v>
      </c>
      <c r="L1641" t="s">
        <v>172</v>
      </c>
      <c r="M1641" t="s">
        <v>28</v>
      </c>
      <c r="N1641" s="6">
        <v>2.8571428571428574E-2</v>
      </c>
      <c r="O1641" s="3">
        <v>0</v>
      </c>
      <c r="P1641">
        <v>10</v>
      </c>
      <c r="Q1641">
        <v>7</v>
      </c>
      <c r="R1641" t="s">
        <v>102</v>
      </c>
      <c r="S1641">
        <v>0</v>
      </c>
      <c r="T1641" s="6">
        <f>10^-(14-Q1641)</f>
        <v>9.9999999999999995E-8</v>
      </c>
      <c r="U1641" s="6">
        <v>0</v>
      </c>
      <c r="V1641" s="6">
        <v>0</v>
      </c>
      <c r="W1641" s="6">
        <v>0</v>
      </c>
      <c r="X1641" s="6">
        <v>0</v>
      </c>
      <c r="Y1641" t="s">
        <v>171</v>
      </c>
      <c r="AD1641">
        <v>0.33333333333333331</v>
      </c>
      <c r="AE1641">
        <v>850</v>
      </c>
      <c r="AF1641">
        <v>1</v>
      </c>
      <c r="AG1641" s="9">
        <v>2.1000000000000001E-2</v>
      </c>
      <c r="AH1641" s="9">
        <v>1.65</v>
      </c>
      <c r="AI1641" s="9">
        <v>0.45</v>
      </c>
      <c r="AL1641" s="9">
        <v>17.2</v>
      </c>
      <c r="AM1641" s="9">
        <v>10.1</v>
      </c>
      <c r="AN1641" s="9">
        <v>2.1</v>
      </c>
      <c r="AO1641" s="9">
        <v>3.7999999999999999E-2</v>
      </c>
    </row>
    <row r="1642" spans="1:41" x14ac:dyDescent="0.3">
      <c r="A1642" t="s">
        <v>368</v>
      </c>
      <c r="B1642" s="1" t="s">
        <v>1598</v>
      </c>
      <c r="C1642">
        <v>75</v>
      </c>
      <c r="D1642" s="8">
        <v>1.4403999999999999</v>
      </c>
      <c r="E1642">
        <v>320</v>
      </c>
      <c r="G1642" t="s">
        <v>29</v>
      </c>
      <c r="H1642" t="s">
        <v>987</v>
      </c>
      <c r="J1642" s="3">
        <v>18</v>
      </c>
      <c r="K1642" s="4">
        <v>0.16666666666666666</v>
      </c>
      <c r="L1642" t="s">
        <v>172</v>
      </c>
      <c r="M1642" t="s">
        <v>28</v>
      </c>
      <c r="N1642" s="6">
        <v>0.1</v>
      </c>
      <c r="O1642" s="3">
        <v>0</v>
      </c>
      <c r="P1642">
        <v>10</v>
      </c>
      <c r="Q1642">
        <v>7</v>
      </c>
      <c r="R1642" t="s">
        <v>102</v>
      </c>
      <c r="S1642">
        <v>0</v>
      </c>
      <c r="T1642" s="6">
        <f>10^-(14-Q1642)</f>
        <v>9.9999999999999995E-8</v>
      </c>
      <c r="U1642" s="6">
        <v>0</v>
      </c>
      <c r="V1642" s="6">
        <v>0</v>
      </c>
      <c r="W1642" s="6">
        <v>0</v>
      </c>
      <c r="X1642" s="6">
        <v>0</v>
      </c>
      <c r="Y1642" t="s">
        <v>171</v>
      </c>
      <c r="AD1642">
        <v>0.33333333333333331</v>
      </c>
      <c r="AE1642">
        <v>750</v>
      </c>
      <c r="AF1642">
        <v>1</v>
      </c>
      <c r="AG1642" s="9">
        <v>2.1000000000000001E-2</v>
      </c>
      <c r="AH1642" s="9">
        <v>1.65</v>
      </c>
      <c r="AI1642" s="9">
        <v>0.45</v>
      </c>
      <c r="AL1642" s="9">
        <v>17.2</v>
      </c>
      <c r="AM1642" s="9">
        <v>10.1</v>
      </c>
      <c r="AN1642" s="9">
        <v>2.1</v>
      </c>
      <c r="AO1642" s="9">
        <v>3.7999999999999999E-2</v>
      </c>
    </row>
    <row r="1643" spans="1:41" x14ac:dyDescent="0.3">
      <c r="A1643" t="s">
        <v>369</v>
      </c>
      <c r="B1643" s="1" t="s">
        <v>1598</v>
      </c>
      <c r="C1643">
        <v>75</v>
      </c>
      <c r="D1643" s="8">
        <v>1.4403999999999999</v>
      </c>
      <c r="E1643">
        <v>320</v>
      </c>
      <c r="G1643" t="s">
        <v>29</v>
      </c>
      <c r="H1643" t="s">
        <v>987</v>
      </c>
      <c r="J1643" s="3">
        <v>18</v>
      </c>
      <c r="K1643" s="4">
        <v>0.16666666666666666</v>
      </c>
      <c r="L1643" t="s">
        <v>172</v>
      </c>
      <c r="M1643" t="s">
        <v>28</v>
      </c>
      <c r="N1643" s="6">
        <v>0.28571428571428575</v>
      </c>
      <c r="O1643" s="3">
        <v>0</v>
      </c>
      <c r="P1643">
        <v>10</v>
      </c>
      <c r="Q1643">
        <v>7</v>
      </c>
      <c r="R1643" t="s">
        <v>102</v>
      </c>
      <c r="S1643">
        <v>0</v>
      </c>
      <c r="T1643" s="6">
        <f>10^-(14-Q1643)</f>
        <v>9.9999999999999995E-8</v>
      </c>
      <c r="U1643" s="6">
        <v>0</v>
      </c>
      <c r="V1643" s="6">
        <v>0</v>
      </c>
      <c r="W1643" s="6">
        <v>0</v>
      </c>
      <c r="X1643" s="6">
        <v>0</v>
      </c>
      <c r="Y1643" t="s">
        <v>171</v>
      </c>
      <c r="AD1643">
        <v>0.33333333333333331</v>
      </c>
      <c r="AE1643">
        <v>700</v>
      </c>
      <c r="AF1643">
        <v>1</v>
      </c>
      <c r="AG1643" s="9">
        <v>2.1000000000000001E-2</v>
      </c>
      <c r="AH1643" s="9">
        <v>1.65</v>
      </c>
      <c r="AI1643" s="9">
        <v>0.45</v>
      </c>
      <c r="AL1643" s="9">
        <v>17.2</v>
      </c>
      <c r="AM1643" s="9">
        <v>10.1</v>
      </c>
      <c r="AN1643" s="9">
        <v>2.1</v>
      </c>
      <c r="AO1643" s="9">
        <v>3.7999999999999999E-2</v>
      </c>
    </row>
    <row r="1644" spans="1:41" x14ac:dyDescent="0.3">
      <c r="A1644" t="s">
        <v>370</v>
      </c>
      <c r="B1644" s="1" t="s">
        <v>1598</v>
      </c>
      <c r="C1644">
        <v>75</v>
      </c>
      <c r="D1644" s="8">
        <v>1.4403999999999999</v>
      </c>
      <c r="E1644">
        <v>320</v>
      </c>
      <c r="G1644" t="s">
        <v>29</v>
      </c>
      <c r="H1644" t="s">
        <v>987</v>
      </c>
      <c r="J1644" s="3">
        <v>18</v>
      </c>
      <c r="K1644" s="4">
        <v>0.16666666666666666</v>
      </c>
      <c r="L1644" t="s">
        <v>172</v>
      </c>
      <c r="M1644" t="s">
        <v>28</v>
      </c>
      <c r="N1644" s="6">
        <v>1</v>
      </c>
      <c r="O1644" s="3">
        <v>0</v>
      </c>
      <c r="P1644">
        <v>10</v>
      </c>
      <c r="Q1644">
        <v>7</v>
      </c>
      <c r="R1644" t="s">
        <v>102</v>
      </c>
      <c r="S1644">
        <v>0</v>
      </c>
      <c r="T1644" s="6">
        <f>10^-(14-Q1644)</f>
        <v>9.9999999999999995E-8</v>
      </c>
      <c r="U1644" s="6">
        <v>0</v>
      </c>
      <c r="V1644" s="6">
        <v>0</v>
      </c>
      <c r="W1644" s="6">
        <v>0</v>
      </c>
      <c r="X1644" s="6">
        <v>0</v>
      </c>
      <c r="Y1644" t="s">
        <v>171</v>
      </c>
      <c r="AD1644">
        <v>0.33333333333333331</v>
      </c>
      <c r="AE1644">
        <v>650</v>
      </c>
      <c r="AF1644">
        <v>1</v>
      </c>
      <c r="AG1644" s="9">
        <v>2.1000000000000001E-2</v>
      </c>
      <c r="AH1644" s="9">
        <v>1.65</v>
      </c>
      <c r="AI1644" s="9">
        <v>0.45</v>
      </c>
      <c r="AL1644" s="9">
        <v>17.2</v>
      </c>
      <c r="AM1644" s="9">
        <v>10.1</v>
      </c>
      <c r="AN1644" s="9">
        <v>2.1</v>
      </c>
      <c r="AO1644" s="9">
        <v>3.7999999999999999E-2</v>
      </c>
    </row>
    <row r="1645" spans="1:41" x14ac:dyDescent="0.3">
      <c r="A1645" t="s">
        <v>371</v>
      </c>
      <c r="B1645" s="1" t="s">
        <v>1598</v>
      </c>
      <c r="C1645">
        <v>75</v>
      </c>
      <c r="D1645" s="8">
        <v>1.4403999999999999</v>
      </c>
      <c r="E1645">
        <v>320</v>
      </c>
      <c r="G1645" t="s">
        <v>29</v>
      </c>
      <c r="H1645" t="s">
        <v>987</v>
      </c>
      <c r="J1645" s="3">
        <v>18</v>
      </c>
      <c r="K1645" s="4">
        <v>0.16666666666666666</v>
      </c>
      <c r="L1645" t="s">
        <v>172</v>
      </c>
      <c r="M1645" t="s">
        <v>28</v>
      </c>
      <c r="N1645" s="6">
        <v>2.8571428571428572</v>
      </c>
      <c r="O1645" s="3">
        <v>0</v>
      </c>
      <c r="P1645">
        <v>10</v>
      </c>
      <c r="Q1645">
        <v>7</v>
      </c>
      <c r="R1645" t="s">
        <v>102</v>
      </c>
      <c r="S1645">
        <v>0</v>
      </c>
      <c r="T1645" s="6">
        <f>10^-(14-Q1645)</f>
        <v>9.9999999999999995E-8</v>
      </c>
      <c r="U1645" s="6">
        <v>0</v>
      </c>
      <c r="V1645" s="6">
        <v>0</v>
      </c>
      <c r="W1645" s="6">
        <v>0</v>
      </c>
      <c r="X1645" s="6">
        <v>0</v>
      </c>
      <c r="Y1645" t="s">
        <v>171</v>
      </c>
      <c r="AD1645">
        <v>0.33333333333333331</v>
      </c>
      <c r="AE1645">
        <v>500</v>
      </c>
      <c r="AF1645">
        <v>1</v>
      </c>
      <c r="AG1645" s="9">
        <v>2.1000000000000001E-2</v>
      </c>
      <c r="AH1645" s="9">
        <v>1.65</v>
      </c>
      <c r="AI1645" s="9">
        <v>0.45</v>
      </c>
      <c r="AL1645" s="9">
        <v>17.2</v>
      </c>
      <c r="AM1645" s="9">
        <v>10.1</v>
      </c>
      <c r="AN1645" s="9">
        <v>2.1</v>
      </c>
      <c r="AO1645" s="9">
        <v>3.7999999999999999E-2</v>
      </c>
    </row>
    <row r="1646" spans="1:41" x14ac:dyDescent="0.3">
      <c r="A1646" t="s">
        <v>372</v>
      </c>
      <c r="B1646" s="1" t="s">
        <v>1598</v>
      </c>
      <c r="C1646">
        <v>75</v>
      </c>
      <c r="D1646" s="8">
        <v>1.4403999999999999</v>
      </c>
      <c r="E1646">
        <v>320</v>
      </c>
      <c r="G1646" t="s">
        <v>29</v>
      </c>
      <c r="H1646" t="s">
        <v>987</v>
      </c>
      <c r="J1646" s="3">
        <v>18</v>
      </c>
      <c r="K1646" s="4">
        <v>0.16666666666666666</v>
      </c>
      <c r="L1646" t="s">
        <v>172</v>
      </c>
      <c r="M1646" t="s">
        <v>28</v>
      </c>
      <c r="N1646" s="6">
        <v>1E-3</v>
      </c>
      <c r="O1646" s="3">
        <v>0</v>
      </c>
      <c r="P1646">
        <v>20</v>
      </c>
      <c r="Q1646">
        <v>7</v>
      </c>
      <c r="R1646" t="s">
        <v>102</v>
      </c>
      <c r="S1646">
        <v>0</v>
      </c>
      <c r="T1646" s="6">
        <f>10^-(14-Q1646)</f>
        <v>9.9999999999999995E-8</v>
      </c>
      <c r="U1646" s="6">
        <v>0</v>
      </c>
      <c r="V1646" s="6">
        <v>0</v>
      </c>
      <c r="W1646" s="6">
        <v>0</v>
      </c>
      <c r="X1646" s="6">
        <v>0</v>
      </c>
      <c r="Y1646" t="s">
        <v>171</v>
      </c>
      <c r="AD1646">
        <v>0.33333333333333331</v>
      </c>
      <c r="AE1646">
        <v>1200</v>
      </c>
      <c r="AF1646">
        <v>2</v>
      </c>
      <c r="AG1646" s="9">
        <v>2.1000000000000001E-2</v>
      </c>
      <c r="AH1646" s="9">
        <v>1.65</v>
      </c>
      <c r="AI1646" s="9">
        <v>0.45</v>
      </c>
      <c r="AL1646" s="9">
        <v>17.2</v>
      </c>
      <c r="AM1646" s="9">
        <v>10.1</v>
      </c>
      <c r="AN1646" s="9">
        <v>2.1</v>
      </c>
      <c r="AO1646" s="9">
        <v>3.7999999999999999E-2</v>
      </c>
    </row>
    <row r="1647" spans="1:41" x14ac:dyDescent="0.3">
      <c r="A1647" t="s">
        <v>373</v>
      </c>
      <c r="B1647" s="1" t="s">
        <v>1598</v>
      </c>
      <c r="C1647">
        <v>75</v>
      </c>
      <c r="D1647" s="8">
        <v>1.4403999999999999</v>
      </c>
      <c r="E1647">
        <v>320</v>
      </c>
      <c r="G1647" t="s">
        <v>29</v>
      </c>
      <c r="H1647" t="s">
        <v>987</v>
      </c>
      <c r="J1647" s="3">
        <v>18</v>
      </c>
      <c r="K1647" s="4">
        <v>0.16666666666666666</v>
      </c>
      <c r="L1647" t="s">
        <v>172</v>
      </c>
      <c r="M1647" t="s">
        <v>28</v>
      </c>
      <c r="N1647" s="6">
        <v>2.8571428571428571E-3</v>
      </c>
      <c r="O1647" s="3">
        <v>0</v>
      </c>
      <c r="P1647">
        <v>20</v>
      </c>
      <c r="Q1647">
        <v>7</v>
      </c>
      <c r="R1647" t="s">
        <v>102</v>
      </c>
      <c r="S1647">
        <v>0</v>
      </c>
      <c r="T1647" s="6">
        <f>10^-(14-Q1647)</f>
        <v>9.9999999999999995E-8</v>
      </c>
      <c r="U1647" s="6">
        <v>0</v>
      </c>
      <c r="V1647" s="6">
        <v>0</v>
      </c>
      <c r="W1647" s="6">
        <v>0</v>
      </c>
      <c r="X1647" s="6">
        <v>0</v>
      </c>
      <c r="Y1647" t="s">
        <v>171</v>
      </c>
      <c r="AD1647">
        <v>0.33333333333333331</v>
      </c>
      <c r="AE1647">
        <v>780</v>
      </c>
      <c r="AF1647">
        <v>1</v>
      </c>
      <c r="AG1647" s="9">
        <v>2.1000000000000001E-2</v>
      </c>
      <c r="AH1647" s="9">
        <v>1.65</v>
      </c>
      <c r="AI1647" s="9">
        <v>0.45</v>
      </c>
      <c r="AL1647" s="9">
        <v>17.2</v>
      </c>
      <c r="AM1647" s="9">
        <v>10.1</v>
      </c>
      <c r="AN1647" s="9">
        <v>2.1</v>
      </c>
      <c r="AO1647" s="9">
        <v>3.7999999999999999E-2</v>
      </c>
    </row>
    <row r="1648" spans="1:41" x14ac:dyDescent="0.3">
      <c r="A1648" t="s">
        <v>374</v>
      </c>
      <c r="B1648" s="1" t="s">
        <v>1598</v>
      </c>
      <c r="C1648">
        <v>75</v>
      </c>
      <c r="D1648" s="8">
        <v>1.4403999999999999</v>
      </c>
      <c r="E1648">
        <v>320</v>
      </c>
      <c r="G1648" t="s">
        <v>29</v>
      </c>
      <c r="H1648" t="s">
        <v>987</v>
      </c>
      <c r="J1648" s="3">
        <v>18</v>
      </c>
      <c r="K1648" s="4">
        <v>0.16666666666666666</v>
      </c>
      <c r="L1648" t="s">
        <v>172</v>
      </c>
      <c r="M1648" t="s">
        <v>28</v>
      </c>
      <c r="N1648" s="6">
        <v>0.01</v>
      </c>
      <c r="O1648" s="3">
        <v>0</v>
      </c>
      <c r="P1648">
        <v>20</v>
      </c>
      <c r="Q1648">
        <v>7</v>
      </c>
      <c r="R1648" t="s">
        <v>102</v>
      </c>
      <c r="S1648">
        <v>0</v>
      </c>
      <c r="T1648" s="6">
        <f>10^-(14-Q1648)</f>
        <v>9.9999999999999995E-8</v>
      </c>
      <c r="U1648" s="6">
        <v>0</v>
      </c>
      <c r="V1648" s="6">
        <v>0</v>
      </c>
      <c r="W1648" s="6">
        <v>0</v>
      </c>
      <c r="X1648" s="6">
        <v>0</v>
      </c>
      <c r="Y1648" t="s">
        <v>171</v>
      </c>
      <c r="AD1648">
        <v>0.33333333333333331</v>
      </c>
      <c r="AE1648">
        <v>800</v>
      </c>
      <c r="AF1648">
        <v>1</v>
      </c>
      <c r="AG1648" s="9">
        <v>2.1000000000000001E-2</v>
      </c>
      <c r="AH1648" s="9">
        <v>1.65</v>
      </c>
      <c r="AI1648" s="9">
        <v>0.45</v>
      </c>
      <c r="AL1648" s="9">
        <v>17.2</v>
      </c>
      <c r="AM1648" s="9">
        <v>10.1</v>
      </c>
      <c r="AN1648" s="9">
        <v>2.1</v>
      </c>
      <c r="AO1648" s="9">
        <v>3.7999999999999999E-2</v>
      </c>
    </row>
    <row r="1649" spans="1:41" x14ac:dyDescent="0.3">
      <c r="A1649" t="s">
        <v>375</v>
      </c>
      <c r="B1649" s="1" t="s">
        <v>1598</v>
      </c>
      <c r="C1649">
        <v>75</v>
      </c>
      <c r="D1649" s="8">
        <v>1.4403999999999999</v>
      </c>
      <c r="E1649">
        <v>320</v>
      </c>
      <c r="G1649" t="s">
        <v>29</v>
      </c>
      <c r="H1649" t="s">
        <v>987</v>
      </c>
      <c r="J1649" s="3">
        <v>18</v>
      </c>
      <c r="K1649" s="4">
        <v>0.16666666666666666</v>
      </c>
      <c r="L1649" t="s">
        <v>172</v>
      </c>
      <c r="M1649" t="s">
        <v>28</v>
      </c>
      <c r="N1649" s="6">
        <v>2.8571428571428574E-2</v>
      </c>
      <c r="O1649" s="3">
        <v>0</v>
      </c>
      <c r="P1649">
        <v>20</v>
      </c>
      <c r="Q1649">
        <v>7</v>
      </c>
      <c r="R1649" t="s">
        <v>102</v>
      </c>
      <c r="S1649">
        <v>0</v>
      </c>
      <c r="T1649" s="6">
        <f>10^-(14-Q1649)</f>
        <v>9.9999999999999995E-8</v>
      </c>
      <c r="U1649" s="6">
        <v>0</v>
      </c>
      <c r="V1649" s="6">
        <v>0</v>
      </c>
      <c r="W1649" s="6">
        <v>0</v>
      </c>
      <c r="X1649" s="6">
        <v>0</v>
      </c>
      <c r="Y1649" t="s">
        <v>171</v>
      </c>
      <c r="AD1649">
        <v>0.33333333333333331</v>
      </c>
      <c r="AE1649">
        <v>720</v>
      </c>
      <c r="AF1649">
        <v>1</v>
      </c>
      <c r="AG1649" s="9">
        <v>2.1000000000000001E-2</v>
      </c>
      <c r="AH1649" s="9">
        <v>1.65</v>
      </c>
      <c r="AI1649" s="9">
        <v>0.45</v>
      </c>
      <c r="AL1649" s="9">
        <v>17.2</v>
      </c>
      <c r="AM1649" s="9">
        <v>10.1</v>
      </c>
      <c r="AN1649" s="9">
        <v>2.1</v>
      </c>
      <c r="AO1649" s="9">
        <v>3.7999999999999999E-2</v>
      </c>
    </row>
    <row r="1650" spans="1:41" x14ac:dyDescent="0.3">
      <c r="A1650" t="s">
        <v>376</v>
      </c>
      <c r="B1650" s="1" t="s">
        <v>1598</v>
      </c>
      <c r="C1650">
        <v>75</v>
      </c>
      <c r="D1650" s="8">
        <v>1.4403999999999999</v>
      </c>
      <c r="E1650">
        <v>320</v>
      </c>
      <c r="G1650" t="s">
        <v>29</v>
      </c>
      <c r="H1650" t="s">
        <v>987</v>
      </c>
      <c r="J1650" s="3">
        <v>18</v>
      </c>
      <c r="K1650" s="4">
        <v>0.16666666666666666</v>
      </c>
      <c r="L1650" t="s">
        <v>172</v>
      </c>
      <c r="M1650" t="s">
        <v>28</v>
      </c>
      <c r="N1650" s="6">
        <v>0.1</v>
      </c>
      <c r="O1650" s="3">
        <v>0</v>
      </c>
      <c r="P1650">
        <v>20</v>
      </c>
      <c r="Q1650">
        <v>7</v>
      </c>
      <c r="R1650" t="s">
        <v>102</v>
      </c>
      <c r="S1650">
        <v>0</v>
      </c>
      <c r="T1650" s="6">
        <f>10^-(14-Q1650)</f>
        <v>9.9999999999999995E-8</v>
      </c>
      <c r="U1650" s="6">
        <v>0</v>
      </c>
      <c r="V1650" s="6">
        <v>0</v>
      </c>
      <c r="W1650" s="6">
        <v>0</v>
      </c>
      <c r="X1650" s="6">
        <v>0</v>
      </c>
      <c r="Y1650" t="s">
        <v>171</v>
      </c>
      <c r="AD1650">
        <v>0.33333333333333331</v>
      </c>
      <c r="AE1650">
        <v>680</v>
      </c>
      <c r="AF1650">
        <v>1</v>
      </c>
      <c r="AG1650" s="9">
        <v>2.1000000000000001E-2</v>
      </c>
      <c r="AH1650" s="9">
        <v>1.65</v>
      </c>
      <c r="AI1650" s="9">
        <v>0.45</v>
      </c>
      <c r="AL1650" s="9">
        <v>17.2</v>
      </c>
      <c r="AM1650" s="9">
        <v>10.1</v>
      </c>
      <c r="AN1650" s="9">
        <v>2.1</v>
      </c>
      <c r="AO1650" s="9">
        <v>3.7999999999999999E-2</v>
      </c>
    </row>
    <row r="1651" spans="1:41" x14ac:dyDescent="0.3">
      <c r="A1651" t="s">
        <v>377</v>
      </c>
      <c r="B1651" s="1" t="s">
        <v>1598</v>
      </c>
      <c r="C1651">
        <v>75</v>
      </c>
      <c r="D1651" s="8">
        <v>1.4403999999999999</v>
      </c>
      <c r="E1651">
        <v>320</v>
      </c>
      <c r="G1651" t="s">
        <v>29</v>
      </c>
      <c r="H1651" t="s">
        <v>987</v>
      </c>
      <c r="J1651" s="3">
        <v>18</v>
      </c>
      <c r="K1651" s="4">
        <v>0.16666666666666666</v>
      </c>
      <c r="L1651" t="s">
        <v>172</v>
      </c>
      <c r="M1651" t="s">
        <v>28</v>
      </c>
      <c r="N1651" s="6">
        <v>0.28571428571428575</v>
      </c>
      <c r="O1651" s="3">
        <v>0</v>
      </c>
      <c r="P1651">
        <v>20</v>
      </c>
      <c r="Q1651">
        <v>7</v>
      </c>
      <c r="R1651" t="s">
        <v>102</v>
      </c>
      <c r="S1651">
        <v>0</v>
      </c>
      <c r="T1651" s="6">
        <f>10^-(14-Q1651)</f>
        <v>9.9999999999999995E-8</v>
      </c>
      <c r="U1651" s="6">
        <v>0</v>
      </c>
      <c r="V1651" s="6">
        <v>0</v>
      </c>
      <c r="W1651" s="6">
        <v>0</v>
      </c>
      <c r="X1651" s="6">
        <v>0</v>
      </c>
      <c r="Y1651" t="s">
        <v>171</v>
      </c>
      <c r="AD1651">
        <v>0.33333333333333331</v>
      </c>
      <c r="AE1651">
        <v>620</v>
      </c>
      <c r="AF1651">
        <v>1</v>
      </c>
      <c r="AG1651" s="9">
        <v>2.1000000000000001E-2</v>
      </c>
      <c r="AH1651" s="9">
        <v>1.65</v>
      </c>
      <c r="AI1651" s="9">
        <v>0.45</v>
      </c>
      <c r="AL1651" s="9">
        <v>17.2</v>
      </c>
      <c r="AM1651" s="9">
        <v>10.1</v>
      </c>
      <c r="AN1651" s="9">
        <v>2.1</v>
      </c>
      <c r="AO1651" s="9">
        <v>3.7999999999999999E-2</v>
      </c>
    </row>
    <row r="1652" spans="1:41" x14ac:dyDescent="0.3">
      <c r="A1652" t="s">
        <v>378</v>
      </c>
      <c r="B1652" s="1" t="s">
        <v>1598</v>
      </c>
      <c r="C1652">
        <v>75</v>
      </c>
      <c r="D1652" s="8">
        <v>1.4403999999999999</v>
      </c>
      <c r="E1652">
        <v>320</v>
      </c>
      <c r="G1652" t="s">
        <v>29</v>
      </c>
      <c r="H1652" t="s">
        <v>987</v>
      </c>
      <c r="J1652" s="3">
        <v>18</v>
      </c>
      <c r="K1652" s="4">
        <v>0.16666666666666666</v>
      </c>
      <c r="L1652" t="s">
        <v>172</v>
      </c>
      <c r="M1652" t="s">
        <v>28</v>
      </c>
      <c r="N1652" s="6">
        <v>1</v>
      </c>
      <c r="O1652" s="3">
        <v>0</v>
      </c>
      <c r="P1652">
        <v>20</v>
      </c>
      <c r="Q1652">
        <v>7</v>
      </c>
      <c r="R1652" t="s">
        <v>102</v>
      </c>
      <c r="S1652">
        <v>0</v>
      </c>
      <c r="T1652" s="6">
        <f>10^-(14-Q1652)</f>
        <v>9.9999999999999995E-8</v>
      </c>
      <c r="U1652" s="6">
        <v>0</v>
      </c>
      <c r="V1652" s="6">
        <v>0</v>
      </c>
      <c r="W1652" s="6">
        <v>0</v>
      </c>
      <c r="X1652" s="6">
        <v>0</v>
      </c>
      <c r="Y1652" t="s">
        <v>171</v>
      </c>
      <c r="AD1652">
        <v>0.33333333333333331</v>
      </c>
      <c r="AE1652">
        <v>620</v>
      </c>
      <c r="AF1652">
        <v>1</v>
      </c>
      <c r="AG1652" s="9">
        <v>2.1000000000000001E-2</v>
      </c>
      <c r="AH1652" s="9">
        <v>1.65</v>
      </c>
      <c r="AI1652" s="9">
        <v>0.45</v>
      </c>
      <c r="AL1652" s="9">
        <v>17.2</v>
      </c>
      <c r="AM1652" s="9">
        <v>10.1</v>
      </c>
      <c r="AN1652" s="9">
        <v>2.1</v>
      </c>
      <c r="AO1652" s="9">
        <v>3.7999999999999999E-2</v>
      </c>
    </row>
    <row r="1653" spans="1:41" x14ac:dyDescent="0.3">
      <c r="A1653" t="s">
        <v>379</v>
      </c>
      <c r="B1653" s="1" t="s">
        <v>1598</v>
      </c>
      <c r="C1653">
        <v>75</v>
      </c>
      <c r="D1653" s="8">
        <v>1.4403999999999999</v>
      </c>
      <c r="E1653">
        <v>320</v>
      </c>
      <c r="G1653" t="s">
        <v>29</v>
      </c>
      <c r="H1653" t="s">
        <v>987</v>
      </c>
      <c r="J1653" s="3">
        <v>18</v>
      </c>
      <c r="K1653" s="4">
        <v>0.16666666666666666</v>
      </c>
      <c r="L1653" t="s">
        <v>172</v>
      </c>
      <c r="M1653" t="s">
        <v>28</v>
      </c>
      <c r="N1653" s="6">
        <v>2.8571428571428572</v>
      </c>
      <c r="O1653" s="3">
        <v>0</v>
      </c>
      <c r="P1653">
        <v>20</v>
      </c>
      <c r="Q1653">
        <v>7</v>
      </c>
      <c r="R1653" t="s">
        <v>102</v>
      </c>
      <c r="S1653">
        <v>0</v>
      </c>
      <c r="T1653" s="6">
        <f>10^-(14-Q1653)</f>
        <v>9.9999999999999995E-8</v>
      </c>
      <c r="U1653" s="6">
        <v>0</v>
      </c>
      <c r="V1653" s="6">
        <v>0</v>
      </c>
      <c r="W1653" s="6">
        <v>0</v>
      </c>
      <c r="X1653" s="6">
        <v>0</v>
      </c>
      <c r="Y1653" t="s">
        <v>171</v>
      </c>
      <c r="AD1653">
        <v>0.33333333333333331</v>
      </c>
      <c r="AE1653">
        <v>500</v>
      </c>
      <c r="AF1653">
        <v>1</v>
      </c>
      <c r="AG1653" s="9">
        <v>2.1000000000000001E-2</v>
      </c>
      <c r="AH1653" s="9">
        <v>1.65</v>
      </c>
      <c r="AI1653" s="9">
        <v>0.45</v>
      </c>
      <c r="AL1653" s="9">
        <v>17.2</v>
      </c>
      <c r="AM1653" s="9">
        <v>10.1</v>
      </c>
      <c r="AN1653" s="9">
        <v>2.1</v>
      </c>
      <c r="AO1653" s="9">
        <v>3.7999999999999999E-2</v>
      </c>
    </row>
    <row r="1654" spans="1:41" x14ac:dyDescent="0.3">
      <c r="A1654" t="s">
        <v>380</v>
      </c>
      <c r="B1654" s="1" t="s">
        <v>1598</v>
      </c>
      <c r="C1654">
        <v>75</v>
      </c>
      <c r="D1654" s="8">
        <v>1.4403999999999999</v>
      </c>
      <c r="E1654">
        <v>320</v>
      </c>
      <c r="G1654" t="s">
        <v>29</v>
      </c>
      <c r="H1654" t="s">
        <v>987</v>
      </c>
      <c r="J1654" s="3">
        <v>18</v>
      </c>
      <c r="K1654" s="4">
        <v>0.16666666666666666</v>
      </c>
      <c r="L1654" t="s">
        <v>172</v>
      </c>
      <c r="M1654" t="s">
        <v>28</v>
      </c>
      <c r="N1654" s="6">
        <v>1E-3</v>
      </c>
      <c r="O1654" s="3">
        <v>0</v>
      </c>
      <c r="P1654">
        <v>30</v>
      </c>
      <c r="Q1654">
        <v>7</v>
      </c>
      <c r="R1654" t="s">
        <v>102</v>
      </c>
      <c r="S1654">
        <v>0</v>
      </c>
      <c r="T1654" s="6">
        <f>10^-(14-Q1654)</f>
        <v>9.9999999999999995E-8</v>
      </c>
      <c r="U1654" s="6">
        <v>0</v>
      </c>
      <c r="V1654" s="6">
        <v>0</v>
      </c>
      <c r="W1654" s="6">
        <v>0</v>
      </c>
      <c r="X1654" s="6">
        <v>0</v>
      </c>
      <c r="Y1654" t="s">
        <v>171</v>
      </c>
      <c r="AD1654">
        <v>0.33333333333333331</v>
      </c>
      <c r="AE1654">
        <v>1200</v>
      </c>
      <c r="AF1654">
        <v>2</v>
      </c>
      <c r="AG1654" s="9">
        <v>2.1000000000000001E-2</v>
      </c>
      <c r="AH1654" s="9">
        <v>1.65</v>
      </c>
      <c r="AI1654" s="9">
        <v>0.45</v>
      </c>
      <c r="AL1654" s="9">
        <v>17.2</v>
      </c>
      <c r="AM1654" s="9">
        <v>10.1</v>
      </c>
      <c r="AN1654" s="9">
        <v>2.1</v>
      </c>
      <c r="AO1654" s="9">
        <v>3.7999999999999999E-2</v>
      </c>
    </row>
    <row r="1655" spans="1:41" x14ac:dyDescent="0.3">
      <c r="A1655" t="s">
        <v>381</v>
      </c>
      <c r="B1655" s="1" t="s">
        <v>1598</v>
      </c>
      <c r="C1655">
        <v>75</v>
      </c>
      <c r="D1655" s="8">
        <v>1.4403999999999999</v>
      </c>
      <c r="E1655">
        <v>320</v>
      </c>
      <c r="G1655" t="s">
        <v>29</v>
      </c>
      <c r="H1655" t="s">
        <v>987</v>
      </c>
      <c r="J1655" s="3">
        <v>18</v>
      </c>
      <c r="K1655" s="4">
        <v>0.16666666666666666</v>
      </c>
      <c r="L1655" t="s">
        <v>172</v>
      </c>
      <c r="M1655" t="s">
        <v>28</v>
      </c>
      <c r="N1655" s="6">
        <v>2.8571428571428571E-3</v>
      </c>
      <c r="O1655" s="3">
        <v>0</v>
      </c>
      <c r="P1655">
        <v>30</v>
      </c>
      <c r="Q1655">
        <v>7</v>
      </c>
      <c r="R1655" t="s">
        <v>102</v>
      </c>
      <c r="S1655">
        <v>0</v>
      </c>
      <c r="T1655" s="6">
        <f>10^-(14-Q1655)</f>
        <v>9.9999999999999995E-8</v>
      </c>
      <c r="U1655" s="6">
        <v>0</v>
      </c>
      <c r="V1655" s="6">
        <v>0</v>
      </c>
      <c r="W1655" s="6">
        <v>0</v>
      </c>
      <c r="X1655" s="6">
        <v>0</v>
      </c>
      <c r="Y1655" t="s">
        <v>171</v>
      </c>
      <c r="AD1655">
        <v>0.33333333333333331</v>
      </c>
      <c r="AE1655">
        <v>680</v>
      </c>
      <c r="AF1655">
        <v>1</v>
      </c>
      <c r="AG1655" s="9">
        <v>2.1000000000000001E-2</v>
      </c>
      <c r="AH1655" s="9">
        <v>1.65</v>
      </c>
      <c r="AI1655" s="9">
        <v>0.45</v>
      </c>
      <c r="AL1655" s="9">
        <v>17.2</v>
      </c>
      <c r="AM1655" s="9">
        <v>10.1</v>
      </c>
      <c r="AN1655" s="9">
        <v>2.1</v>
      </c>
      <c r="AO1655" s="9">
        <v>3.7999999999999999E-2</v>
      </c>
    </row>
    <row r="1656" spans="1:41" x14ac:dyDescent="0.3">
      <c r="A1656" t="s">
        <v>382</v>
      </c>
      <c r="B1656" s="1" t="s">
        <v>1598</v>
      </c>
      <c r="C1656">
        <v>75</v>
      </c>
      <c r="D1656" s="8">
        <v>1.4403999999999999</v>
      </c>
      <c r="E1656">
        <v>320</v>
      </c>
      <c r="G1656" t="s">
        <v>29</v>
      </c>
      <c r="H1656" t="s">
        <v>987</v>
      </c>
      <c r="J1656" s="3">
        <v>18</v>
      </c>
      <c r="K1656" s="4">
        <v>0.16666666666666666</v>
      </c>
      <c r="L1656" t="s">
        <v>172</v>
      </c>
      <c r="M1656" t="s">
        <v>28</v>
      </c>
      <c r="N1656" s="6">
        <v>0.01</v>
      </c>
      <c r="O1656" s="3">
        <v>0</v>
      </c>
      <c r="P1656">
        <v>30</v>
      </c>
      <c r="Q1656">
        <v>7</v>
      </c>
      <c r="R1656" t="s">
        <v>102</v>
      </c>
      <c r="S1656">
        <v>0</v>
      </c>
      <c r="T1656" s="6">
        <f>10^-(14-Q1656)</f>
        <v>9.9999999999999995E-8</v>
      </c>
      <c r="U1656" s="6">
        <v>0</v>
      </c>
      <c r="V1656" s="6">
        <v>0</v>
      </c>
      <c r="W1656" s="6">
        <v>0</v>
      </c>
      <c r="X1656" s="6">
        <v>0</v>
      </c>
      <c r="Y1656" t="s">
        <v>171</v>
      </c>
      <c r="AD1656">
        <v>0.33333333333333331</v>
      </c>
      <c r="AE1656">
        <v>680</v>
      </c>
      <c r="AF1656">
        <v>1</v>
      </c>
      <c r="AG1656" s="9">
        <v>2.1000000000000001E-2</v>
      </c>
      <c r="AH1656" s="9">
        <v>1.65</v>
      </c>
      <c r="AI1656" s="9">
        <v>0.45</v>
      </c>
      <c r="AL1656" s="9">
        <v>17.2</v>
      </c>
      <c r="AM1656" s="9">
        <v>10.1</v>
      </c>
      <c r="AN1656" s="9">
        <v>2.1</v>
      </c>
      <c r="AO1656" s="9">
        <v>3.7999999999999999E-2</v>
      </c>
    </row>
    <row r="1657" spans="1:41" x14ac:dyDescent="0.3">
      <c r="A1657" t="s">
        <v>383</v>
      </c>
      <c r="B1657" s="1" t="s">
        <v>1598</v>
      </c>
      <c r="C1657">
        <v>75</v>
      </c>
      <c r="D1657" s="8">
        <v>1.4403999999999999</v>
      </c>
      <c r="E1657">
        <v>320</v>
      </c>
      <c r="G1657" t="s">
        <v>29</v>
      </c>
      <c r="H1657" t="s">
        <v>987</v>
      </c>
      <c r="J1657" s="3">
        <v>18</v>
      </c>
      <c r="K1657" s="4">
        <v>0.16666666666666666</v>
      </c>
      <c r="L1657" t="s">
        <v>172</v>
      </c>
      <c r="M1657" t="s">
        <v>28</v>
      </c>
      <c r="N1657" s="6">
        <v>2.8571428571428574E-2</v>
      </c>
      <c r="O1657" s="3">
        <v>0</v>
      </c>
      <c r="P1657">
        <v>30</v>
      </c>
      <c r="Q1657">
        <v>7</v>
      </c>
      <c r="R1657" t="s">
        <v>102</v>
      </c>
      <c r="S1657">
        <v>0</v>
      </c>
      <c r="T1657" s="6">
        <f>10^-(14-Q1657)</f>
        <v>9.9999999999999995E-8</v>
      </c>
      <c r="U1657" s="6">
        <v>0</v>
      </c>
      <c r="V1657" s="6">
        <v>0</v>
      </c>
      <c r="W1657" s="6">
        <v>0</v>
      </c>
      <c r="X1657" s="6">
        <v>0</v>
      </c>
      <c r="Y1657" t="s">
        <v>171</v>
      </c>
      <c r="AD1657">
        <v>0.33333333333333331</v>
      </c>
      <c r="AE1657">
        <v>640</v>
      </c>
      <c r="AF1657">
        <v>1</v>
      </c>
      <c r="AG1657" s="9">
        <v>2.1000000000000001E-2</v>
      </c>
      <c r="AH1657" s="9">
        <v>1.65</v>
      </c>
      <c r="AI1657" s="9">
        <v>0.45</v>
      </c>
      <c r="AL1657" s="9">
        <v>17.2</v>
      </c>
      <c r="AM1657" s="9">
        <v>10.1</v>
      </c>
      <c r="AN1657" s="9">
        <v>2.1</v>
      </c>
      <c r="AO1657" s="9">
        <v>3.7999999999999999E-2</v>
      </c>
    </row>
    <row r="1658" spans="1:41" x14ac:dyDescent="0.3">
      <c r="A1658" t="s">
        <v>384</v>
      </c>
      <c r="B1658" s="1" t="s">
        <v>1598</v>
      </c>
      <c r="C1658">
        <v>75</v>
      </c>
      <c r="D1658" s="8">
        <v>1.4403999999999999</v>
      </c>
      <c r="E1658">
        <v>320</v>
      </c>
      <c r="G1658" t="s">
        <v>29</v>
      </c>
      <c r="H1658" t="s">
        <v>987</v>
      </c>
      <c r="J1658" s="3">
        <v>18</v>
      </c>
      <c r="K1658" s="4">
        <v>0.16666666666666666</v>
      </c>
      <c r="L1658" t="s">
        <v>172</v>
      </c>
      <c r="M1658" t="s">
        <v>28</v>
      </c>
      <c r="N1658" s="6">
        <v>0.1</v>
      </c>
      <c r="O1658" s="3">
        <v>0</v>
      </c>
      <c r="P1658">
        <v>30</v>
      </c>
      <c r="Q1658">
        <v>7</v>
      </c>
      <c r="R1658" t="s">
        <v>102</v>
      </c>
      <c r="S1658">
        <v>0</v>
      </c>
      <c r="T1658" s="6">
        <f>10^-(14-Q1658)</f>
        <v>9.9999999999999995E-8</v>
      </c>
      <c r="U1658" s="6">
        <v>0</v>
      </c>
      <c r="V1658" s="6">
        <v>0</v>
      </c>
      <c r="W1658" s="6">
        <v>0</v>
      </c>
      <c r="X1658" s="6">
        <v>0</v>
      </c>
      <c r="Y1658" t="s">
        <v>171</v>
      </c>
      <c r="AD1658">
        <v>0.33333333333333331</v>
      </c>
      <c r="AE1658">
        <v>620</v>
      </c>
      <c r="AF1658">
        <v>1</v>
      </c>
      <c r="AG1658" s="9">
        <v>2.1000000000000001E-2</v>
      </c>
      <c r="AH1658" s="9">
        <v>1.65</v>
      </c>
      <c r="AI1658" s="9">
        <v>0.45</v>
      </c>
      <c r="AL1658" s="9">
        <v>17.2</v>
      </c>
      <c r="AM1658" s="9">
        <v>10.1</v>
      </c>
      <c r="AN1658" s="9">
        <v>2.1</v>
      </c>
      <c r="AO1658" s="9">
        <v>3.7999999999999999E-2</v>
      </c>
    </row>
    <row r="1659" spans="1:41" x14ac:dyDescent="0.3">
      <c r="A1659" t="s">
        <v>385</v>
      </c>
      <c r="B1659" s="1" t="s">
        <v>1598</v>
      </c>
      <c r="C1659">
        <v>75</v>
      </c>
      <c r="D1659" s="8">
        <v>1.4403999999999999</v>
      </c>
      <c r="E1659">
        <v>320</v>
      </c>
      <c r="G1659" t="s">
        <v>29</v>
      </c>
      <c r="H1659" t="s">
        <v>987</v>
      </c>
      <c r="J1659" s="3">
        <v>18</v>
      </c>
      <c r="K1659" s="4">
        <v>0.16666666666666666</v>
      </c>
      <c r="L1659" t="s">
        <v>172</v>
      </c>
      <c r="M1659" t="s">
        <v>28</v>
      </c>
      <c r="N1659" s="6">
        <v>0.28571428571428575</v>
      </c>
      <c r="O1659" s="3">
        <v>0</v>
      </c>
      <c r="P1659">
        <v>30</v>
      </c>
      <c r="Q1659">
        <v>7</v>
      </c>
      <c r="R1659" t="s">
        <v>102</v>
      </c>
      <c r="S1659">
        <v>0</v>
      </c>
      <c r="T1659" s="6">
        <f>10^-(14-Q1659)</f>
        <v>9.9999999999999995E-8</v>
      </c>
      <c r="U1659" s="6">
        <v>0</v>
      </c>
      <c r="V1659" s="6">
        <v>0</v>
      </c>
      <c r="W1659" s="6">
        <v>0</v>
      </c>
      <c r="X1659" s="6">
        <v>0</v>
      </c>
      <c r="Y1659" t="s">
        <v>171</v>
      </c>
      <c r="AD1659">
        <v>0.33333333333333331</v>
      </c>
      <c r="AE1659">
        <v>500</v>
      </c>
      <c r="AF1659">
        <v>1</v>
      </c>
      <c r="AG1659" s="9">
        <v>2.1000000000000001E-2</v>
      </c>
      <c r="AH1659" s="9">
        <v>1.65</v>
      </c>
      <c r="AI1659" s="9">
        <v>0.45</v>
      </c>
      <c r="AL1659" s="9">
        <v>17.2</v>
      </c>
      <c r="AM1659" s="9">
        <v>10.1</v>
      </c>
      <c r="AN1659" s="9">
        <v>2.1</v>
      </c>
      <c r="AO1659" s="9">
        <v>3.7999999999999999E-2</v>
      </c>
    </row>
    <row r="1660" spans="1:41" x14ac:dyDescent="0.3">
      <c r="A1660" t="s">
        <v>386</v>
      </c>
      <c r="B1660" s="1" t="s">
        <v>1598</v>
      </c>
      <c r="C1660">
        <v>75</v>
      </c>
      <c r="D1660" s="8">
        <v>1.4403999999999999</v>
      </c>
      <c r="E1660">
        <v>320</v>
      </c>
      <c r="G1660" t="s">
        <v>29</v>
      </c>
      <c r="H1660" t="s">
        <v>987</v>
      </c>
      <c r="J1660" s="3">
        <v>18</v>
      </c>
      <c r="K1660" s="4">
        <v>0.16666666666666666</v>
      </c>
      <c r="L1660" t="s">
        <v>172</v>
      </c>
      <c r="M1660" t="s">
        <v>28</v>
      </c>
      <c r="N1660" s="6">
        <v>1</v>
      </c>
      <c r="O1660" s="3">
        <v>0</v>
      </c>
      <c r="P1660">
        <v>30</v>
      </c>
      <c r="Q1660">
        <v>7</v>
      </c>
      <c r="R1660" t="s">
        <v>102</v>
      </c>
      <c r="S1660">
        <v>0</v>
      </c>
      <c r="T1660" s="6">
        <f>10^-(14-Q1660)</f>
        <v>9.9999999999999995E-8</v>
      </c>
      <c r="U1660" s="6">
        <v>0</v>
      </c>
      <c r="V1660" s="6">
        <v>0</v>
      </c>
      <c r="W1660" s="6">
        <v>0</v>
      </c>
      <c r="X1660" s="6">
        <v>0</v>
      </c>
      <c r="Y1660" t="s">
        <v>171</v>
      </c>
      <c r="AD1660">
        <v>0.33333333333333331</v>
      </c>
      <c r="AE1660">
        <v>420</v>
      </c>
      <c r="AF1660">
        <v>1</v>
      </c>
      <c r="AG1660" s="9">
        <v>2.1000000000000001E-2</v>
      </c>
      <c r="AH1660" s="9">
        <v>1.65</v>
      </c>
      <c r="AI1660" s="9">
        <v>0.45</v>
      </c>
      <c r="AL1660" s="9">
        <v>17.2</v>
      </c>
      <c r="AM1660" s="9">
        <v>10.1</v>
      </c>
      <c r="AN1660" s="9">
        <v>2.1</v>
      </c>
      <c r="AO1660" s="9">
        <v>3.7999999999999999E-2</v>
      </c>
    </row>
    <row r="1661" spans="1:41" x14ac:dyDescent="0.3">
      <c r="A1661" t="s">
        <v>387</v>
      </c>
      <c r="B1661" s="1" t="s">
        <v>1598</v>
      </c>
      <c r="C1661">
        <v>75</v>
      </c>
      <c r="D1661" s="8">
        <v>1.4403999999999999</v>
      </c>
      <c r="E1661">
        <v>320</v>
      </c>
      <c r="G1661" t="s">
        <v>29</v>
      </c>
      <c r="H1661" t="s">
        <v>987</v>
      </c>
      <c r="J1661" s="3">
        <v>18</v>
      </c>
      <c r="K1661" s="4">
        <v>0.16666666666666666</v>
      </c>
      <c r="L1661" t="s">
        <v>172</v>
      </c>
      <c r="M1661" t="s">
        <v>28</v>
      </c>
      <c r="N1661" s="6">
        <v>2.8571428571428572</v>
      </c>
      <c r="O1661" s="3">
        <v>0</v>
      </c>
      <c r="P1661">
        <v>30</v>
      </c>
      <c r="Q1661">
        <v>7</v>
      </c>
      <c r="R1661" t="s">
        <v>102</v>
      </c>
      <c r="S1661">
        <v>0</v>
      </c>
      <c r="T1661" s="6">
        <f>10^-(14-Q1661)</f>
        <v>9.9999999999999995E-8</v>
      </c>
      <c r="U1661" s="6">
        <v>0</v>
      </c>
      <c r="V1661" s="6">
        <v>0</v>
      </c>
      <c r="W1661" s="6">
        <v>0</v>
      </c>
      <c r="X1661" s="6">
        <v>0</v>
      </c>
      <c r="Y1661" t="s">
        <v>171</v>
      </c>
      <c r="AD1661">
        <v>0.33333333333333331</v>
      </c>
      <c r="AE1661">
        <v>300</v>
      </c>
      <c r="AF1661">
        <v>1</v>
      </c>
      <c r="AG1661" s="9">
        <v>2.1000000000000001E-2</v>
      </c>
      <c r="AH1661" s="9">
        <v>1.65</v>
      </c>
      <c r="AI1661" s="9">
        <v>0.45</v>
      </c>
      <c r="AL1661" s="9">
        <v>17.2</v>
      </c>
      <c r="AM1661" s="9">
        <v>10.1</v>
      </c>
      <c r="AN1661" s="9">
        <v>2.1</v>
      </c>
      <c r="AO1661" s="9">
        <v>3.7999999999999999E-2</v>
      </c>
    </row>
    <row r="1662" spans="1:41" x14ac:dyDescent="0.3">
      <c r="A1662" t="s">
        <v>388</v>
      </c>
      <c r="B1662" s="1" t="s">
        <v>1598</v>
      </c>
      <c r="C1662">
        <v>75</v>
      </c>
      <c r="D1662" s="8">
        <v>1.4403999999999999</v>
      </c>
      <c r="E1662">
        <v>320</v>
      </c>
      <c r="G1662" t="s">
        <v>29</v>
      </c>
      <c r="H1662" t="s">
        <v>987</v>
      </c>
      <c r="J1662" s="3">
        <v>18</v>
      </c>
      <c r="K1662" s="4">
        <v>0.16666666666666666</v>
      </c>
      <c r="L1662" t="s">
        <v>172</v>
      </c>
      <c r="M1662" t="s">
        <v>28</v>
      </c>
      <c r="N1662" s="6">
        <v>1E-3</v>
      </c>
      <c r="O1662" s="3">
        <v>0</v>
      </c>
      <c r="P1662">
        <v>40</v>
      </c>
      <c r="Q1662">
        <v>7</v>
      </c>
      <c r="R1662" t="s">
        <v>102</v>
      </c>
      <c r="S1662">
        <v>0</v>
      </c>
      <c r="T1662" s="6">
        <f>10^-(14-Q1662)</f>
        <v>9.9999999999999995E-8</v>
      </c>
      <c r="U1662" s="6">
        <v>0</v>
      </c>
      <c r="V1662" s="6">
        <v>0</v>
      </c>
      <c r="W1662" s="6">
        <v>0</v>
      </c>
      <c r="X1662" s="6">
        <v>0</v>
      </c>
      <c r="Y1662" t="s">
        <v>171</v>
      </c>
      <c r="AD1662">
        <v>0.33333333333333331</v>
      </c>
      <c r="AE1662">
        <v>1200</v>
      </c>
      <c r="AF1662">
        <v>2</v>
      </c>
      <c r="AG1662" s="9">
        <v>2.1000000000000001E-2</v>
      </c>
      <c r="AH1662" s="9">
        <v>1.65</v>
      </c>
      <c r="AI1662" s="9">
        <v>0.45</v>
      </c>
      <c r="AL1662" s="9">
        <v>17.2</v>
      </c>
      <c r="AM1662" s="9">
        <v>10.1</v>
      </c>
      <c r="AN1662" s="9">
        <v>2.1</v>
      </c>
      <c r="AO1662" s="9">
        <v>3.7999999999999999E-2</v>
      </c>
    </row>
    <row r="1663" spans="1:41" x14ac:dyDescent="0.3">
      <c r="A1663" t="s">
        <v>389</v>
      </c>
      <c r="B1663" s="1" t="s">
        <v>1598</v>
      </c>
      <c r="C1663">
        <v>75</v>
      </c>
      <c r="D1663" s="8">
        <v>1.4403999999999999</v>
      </c>
      <c r="E1663">
        <v>320</v>
      </c>
      <c r="G1663" t="s">
        <v>29</v>
      </c>
      <c r="H1663" t="s">
        <v>987</v>
      </c>
      <c r="J1663" s="3">
        <v>18</v>
      </c>
      <c r="K1663" s="4">
        <v>0.16666666666666666</v>
      </c>
      <c r="L1663" t="s">
        <v>172</v>
      </c>
      <c r="M1663" t="s">
        <v>28</v>
      </c>
      <c r="N1663" s="6">
        <v>2.8571428571428571E-3</v>
      </c>
      <c r="O1663" s="3">
        <v>0</v>
      </c>
      <c r="P1663">
        <v>40</v>
      </c>
      <c r="Q1663">
        <v>7</v>
      </c>
      <c r="R1663" t="s">
        <v>102</v>
      </c>
      <c r="S1663">
        <v>0</v>
      </c>
      <c r="T1663" s="6">
        <f>10^-(14-Q1663)</f>
        <v>9.9999999999999995E-8</v>
      </c>
      <c r="U1663" s="6">
        <v>0</v>
      </c>
      <c r="V1663" s="6">
        <v>0</v>
      </c>
      <c r="W1663" s="6">
        <v>0</v>
      </c>
      <c r="X1663" s="6">
        <v>0</v>
      </c>
      <c r="Y1663" t="s">
        <v>171</v>
      </c>
      <c r="AD1663">
        <v>0.33333333333333331</v>
      </c>
      <c r="AE1663">
        <v>760</v>
      </c>
      <c r="AF1663">
        <v>1</v>
      </c>
      <c r="AG1663" s="9">
        <v>2.1000000000000001E-2</v>
      </c>
      <c r="AH1663" s="9">
        <v>1.65</v>
      </c>
      <c r="AI1663" s="9">
        <v>0.45</v>
      </c>
      <c r="AL1663" s="9">
        <v>17.2</v>
      </c>
      <c r="AM1663" s="9">
        <v>10.1</v>
      </c>
      <c r="AN1663" s="9">
        <v>2.1</v>
      </c>
      <c r="AO1663" s="9">
        <v>3.7999999999999999E-2</v>
      </c>
    </row>
    <row r="1664" spans="1:41" x14ac:dyDescent="0.3">
      <c r="A1664" t="s">
        <v>390</v>
      </c>
      <c r="B1664" s="1" t="s">
        <v>1598</v>
      </c>
      <c r="C1664">
        <v>75</v>
      </c>
      <c r="D1664" s="8">
        <v>1.4403999999999999</v>
      </c>
      <c r="E1664">
        <v>320</v>
      </c>
      <c r="G1664" t="s">
        <v>29</v>
      </c>
      <c r="H1664" t="s">
        <v>987</v>
      </c>
      <c r="J1664" s="3">
        <v>18</v>
      </c>
      <c r="K1664" s="4">
        <v>0.16666666666666666</v>
      </c>
      <c r="L1664" t="s">
        <v>172</v>
      </c>
      <c r="M1664" t="s">
        <v>28</v>
      </c>
      <c r="N1664" s="6">
        <v>0.01</v>
      </c>
      <c r="O1664" s="3">
        <v>0</v>
      </c>
      <c r="P1664">
        <v>40</v>
      </c>
      <c r="Q1664">
        <v>7</v>
      </c>
      <c r="R1664" t="s">
        <v>102</v>
      </c>
      <c r="S1664">
        <v>0</v>
      </c>
      <c r="T1664" s="6">
        <f>10^-(14-Q1664)</f>
        <v>9.9999999999999995E-8</v>
      </c>
      <c r="U1664" s="6">
        <v>0</v>
      </c>
      <c r="V1664" s="6">
        <v>0</v>
      </c>
      <c r="W1664" s="6">
        <v>0</v>
      </c>
      <c r="X1664" s="6">
        <v>0</v>
      </c>
      <c r="Y1664" t="s">
        <v>171</v>
      </c>
      <c r="AD1664">
        <v>0.33333333333333331</v>
      </c>
      <c r="AE1664">
        <v>640</v>
      </c>
      <c r="AF1664">
        <v>1</v>
      </c>
      <c r="AG1664" s="9">
        <v>2.1000000000000001E-2</v>
      </c>
      <c r="AH1664" s="9">
        <v>1.65</v>
      </c>
      <c r="AI1664" s="9">
        <v>0.45</v>
      </c>
      <c r="AL1664" s="9">
        <v>17.2</v>
      </c>
      <c r="AM1664" s="9">
        <v>10.1</v>
      </c>
      <c r="AN1664" s="9">
        <v>2.1</v>
      </c>
      <c r="AO1664" s="9">
        <v>3.7999999999999999E-2</v>
      </c>
    </row>
    <row r="1665" spans="1:41" x14ac:dyDescent="0.3">
      <c r="A1665" t="s">
        <v>391</v>
      </c>
      <c r="B1665" s="1" t="s">
        <v>1598</v>
      </c>
      <c r="C1665">
        <v>75</v>
      </c>
      <c r="D1665" s="8">
        <v>1.4403999999999999</v>
      </c>
      <c r="E1665">
        <v>320</v>
      </c>
      <c r="G1665" t="s">
        <v>29</v>
      </c>
      <c r="H1665" t="s">
        <v>987</v>
      </c>
      <c r="J1665" s="3">
        <v>18</v>
      </c>
      <c r="K1665" s="4">
        <v>0.16666666666666666</v>
      </c>
      <c r="L1665" t="s">
        <v>172</v>
      </c>
      <c r="M1665" t="s">
        <v>28</v>
      </c>
      <c r="N1665" s="6">
        <v>2.8571428571428574E-2</v>
      </c>
      <c r="O1665" s="3">
        <v>0</v>
      </c>
      <c r="P1665">
        <v>40</v>
      </c>
      <c r="Q1665">
        <v>7</v>
      </c>
      <c r="R1665" t="s">
        <v>102</v>
      </c>
      <c r="S1665">
        <v>0</v>
      </c>
      <c r="T1665" s="6">
        <f>10^-(14-Q1665)</f>
        <v>9.9999999999999995E-8</v>
      </c>
      <c r="U1665" s="6">
        <v>0</v>
      </c>
      <c r="V1665" s="6">
        <v>0</v>
      </c>
      <c r="W1665" s="6">
        <v>0</v>
      </c>
      <c r="X1665" s="6">
        <v>0</v>
      </c>
      <c r="Y1665" t="s">
        <v>171</v>
      </c>
      <c r="AD1665">
        <v>0.33333333333333331</v>
      </c>
      <c r="AE1665">
        <v>580</v>
      </c>
      <c r="AF1665">
        <v>1</v>
      </c>
      <c r="AG1665" s="9">
        <v>2.1000000000000001E-2</v>
      </c>
      <c r="AH1665" s="9">
        <v>1.65</v>
      </c>
      <c r="AI1665" s="9">
        <v>0.45</v>
      </c>
      <c r="AL1665" s="9">
        <v>17.2</v>
      </c>
      <c r="AM1665" s="9">
        <v>10.1</v>
      </c>
      <c r="AN1665" s="9">
        <v>2.1</v>
      </c>
      <c r="AO1665" s="9">
        <v>3.7999999999999999E-2</v>
      </c>
    </row>
    <row r="1666" spans="1:41" x14ac:dyDescent="0.3">
      <c r="A1666" t="s">
        <v>392</v>
      </c>
      <c r="B1666" s="1" t="s">
        <v>1598</v>
      </c>
      <c r="C1666">
        <v>75</v>
      </c>
      <c r="D1666" s="8">
        <v>1.4403999999999999</v>
      </c>
      <c r="E1666">
        <v>320</v>
      </c>
      <c r="G1666" t="s">
        <v>29</v>
      </c>
      <c r="H1666" t="s">
        <v>987</v>
      </c>
      <c r="J1666" s="3">
        <v>18</v>
      </c>
      <c r="K1666" s="4">
        <v>0.16666666666666666</v>
      </c>
      <c r="L1666" t="s">
        <v>172</v>
      </c>
      <c r="M1666" t="s">
        <v>28</v>
      </c>
      <c r="N1666" s="6">
        <v>0.1</v>
      </c>
      <c r="O1666" s="3">
        <v>0</v>
      </c>
      <c r="P1666">
        <v>40</v>
      </c>
      <c r="Q1666">
        <v>7</v>
      </c>
      <c r="R1666" t="s">
        <v>102</v>
      </c>
      <c r="S1666">
        <v>0</v>
      </c>
      <c r="T1666" s="6">
        <f>10^-(14-Q1666)</f>
        <v>9.9999999999999995E-8</v>
      </c>
      <c r="U1666" s="6">
        <v>0</v>
      </c>
      <c r="V1666" s="6">
        <v>0</v>
      </c>
      <c r="W1666" s="6">
        <v>0</v>
      </c>
      <c r="X1666" s="6">
        <v>0</v>
      </c>
      <c r="Y1666" t="s">
        <v>171</v>
      </c>
      <c r="AD1666">
        <v>0.33333333333333331</v>
      </c>
      <c r="AE1666">
        <v>560</v>
      </c>
      <c r="AF1666">
        <v>1</v>
      </c>
      <c r="AG1666" s="9">
        <v>2.1000000000000001E-2</v>
      </c>
      <c r="AH1666" s="9">
        <v>1.65</v>
      </c>
      <c r="AI1666" s="9">
        <v>0.45</v>
      </c>
      <c r="AL1666" s="9">
        <v>17.2</v>
      </c>
      <c r="AM1666" s="9">
        <v>10.1</v>
      </c>
      <c r="AN1666" s="9">
        <v>2.1</v>
      </c>
      <c r="AO1666" s="9">
        <v>3.7999999999999999E-2</v>
      </c>
    </row>
    <row r="1667" spans="1:41" x14ac:dyDescent="0.3">
      <c r="A1667" t="s">
        <v>393</v>
      </c>
      <c r="B1667" s="1" t="s">
        <v>1598</v>
      </c>
      <c r="C1667">
        <v>75</v>
      </c>
      <c r="D1667" s="8">
        <v>1.4403999999999999</v>
      </c>
      <c r="E1667">
        <v>320</v>
      </c>
      <c r="G1667" t="s">
        <v>29</v>
      </c>
      <c r="H1667" t="s">
        <v>987</v>
      </c>
      <c r="J1667" s="3">
        <v>18</v>
      </c>
      <c r="K1667" s="4">
        <v>0.16666666666666666</v>
      </c>
      <c r="L1667" t="s">
        <v>172</v>
      </c>
      <c r="M1667" t="s">
        <v>28</v>
      </c>
      <c r="N1667" s="6">
        <v>0.28571428571428575</v>
      </c>
      <c r="O1667" s="3">
        <v>0</v>
      </c>
      <c r="P1667">
        <v>40</v>
      </c>
      <c r="Q1667">
        <v>7</v>
      </c>
      <c r="R1667" t="s">
        <v>102</v>
      </c>
      <c r="S1667">
        <v>0</v>
      </c>
      <c r="T1667" s="6">
        <f>10^-(14-Q1667)</f>
        <v>9.9999999999999995E-8</v>
      </c>
      <c r="U1667" s="6">
        <v>0</v>
      </c>
      <c r="V1667" s="6">
        <v>0</v>
      </c>
      <c r="W1667" s="6">
        <v>0</v>
      </c>
      <c r="X1667" s="6">
        <v>0</v>
      </c>
      <c r="Y1667" t="s">
        <v>171</v>
      </c>
      <c r="AD1667">
        <v>0.33333333333333331</v>
      </c>
      <c r="AE1667">
        <v>400</v>
      </c>
      <c r="AF1667">
        <v>1</v>
      </c>
      <c r="AG1667" s="9">
        <v>2.1000000000000001E-2</v>
      </c>
      <c r="AH1667" s="9">
        <v>1.65</v>
      </c>
      <c r="AI1667" s="9">
        <v>0.45</v>
      </c>
      <c r="AL1667" s="9">
        <v>17.2</v>
      </c>
      <c r="AM1667" s="9">
        <v>10.1</v>
      </c>
      <c r="AN1667" s="9">
        <v>2.1</v>
      </c>
      <c r="AO1667" s="9">
        <v>3.7999999999999999E-2</v>
      </c>
    </row>
    <row r="1668" spans="1:41" x14ac:dyDescent="0.3">
      <c r="A1668" t="s">
        <v>394</v>
      </c>
      <c r="B1668" s="1" t="s">
        <v>1598</v>
      </c>
      <c r="C1668">
        <v>75</v>
      </c>
      <c r="D1668" s="8">
        <v>1.4403999999999999</v>
      </c>
      <c r="E1668">
        <v>320</v>
      </c>
      <c r="G1668" t="s">
        <v>29</v>
      </c>
      <c r="H1668" t="s">
        <v>987</v>
      </c>
      <c r="J1668" s="3">
        <v>18</v>
      </c>
      <c r="K1668" s="4">
        <v>0.16666666666666666</v>
      </c>
      <c r="L1668" t="s">
        <v>172</v>
      </c>
      <c r="M1668" t="s">
        <v>28</v>
      </c>
      <c r="N1668" s="6">
        <v>1</v>
      </c>
      <c r="O1668" s="3">
        <v>0</v>
      </c>
      <c r="P1668">
        <v>40</v>
      </c>
      <c r="Q1668">
        <v>7</v>
      </c>
      <c r="R1668" t="s">
        <v>102</v>
      </c>
      <c r="S1668">
        <v>0</v>
      </c>
      <c r="T1668" s="6">
        <f>10^-(14-Q1668)</f>
        <v>9.9999999999999995E-8</v>
      </c>
      <c r="U1668" s="6">
        <v>0</v>
      </c>
      <c r="V1668" s="6">
        <v>0</v>
      </c>
      <c r="W1668" s="6">
        <v>0</v>
      </c>
      <c r="X1668" s="6">
        <v>0</v>
      </c>
      <c r="Y1668" t="s">
        <v>171</v>
      </c>
      <c r="AD1668">
        <v>0.33333333333333331</v>
      </c>
      <c r="AE1668">
        <v>380</v>
      </c>
      <c r="AF1668">
        <v>1</v>
      </c>
      <c r="AG1668" s="9">
        <v>2.1000000000000001E-2</v>
      </c>
      <c r="AH1668" s="9">
        <v>1.65</v>
      </c>
      <c r="AI1668" s="9">
        <v>0.45</v>
      </c>
      <c r="AL1668" s="9">
        <v>17.2</v>
      </c>
      <c r="AM1668" s="9">
        <v>10.1</v>
      </c>
      <c r="AN1668" s="9">
        <v>2.1</v>
      </c>
      <c r="AO1668" s="9">
        <v>3.7999999999999999E-2</v>
      </c>
    </row>
    <row r="1669" spans="1:41" x14ac:dyDescent="0.3">
      <c r="A1669" t="s">
        <v>395</v>
      </c>
      <c r="B1669" s="1" t="s">
        <v>1598</v>
      </c>
      <c r="C1669">
        <v>75</v>
      </c>
      <c r="D1669" s="8">
        <v>1.4403999999999999</v>
      </c>
      <c r="E1669">
        <v>320</v>
      </c>
      <c r="G1669" t="s">
        <v>29</v>
      </c>
      <c r="H1669" t="s">
        <v>987</v>
      </c>
      <c r="J1669" s="3">
        <v>18</v>
      </c>
      <c r="K1669" s="4">
        <v>0.16666666666666666</v>
      </c>
      <c r="L1669" t="s">
        <v>172</v>
      </c>
      <c r="M1669" t="s">
        <v>28</v>
      </c>
      <c r="N1669" s="6">
        <v>2.8571428571428572</v>
      </c>
      <c r="O1669" s="3">
        <v>0</v>
      </c>
      <c r="P1669">
        <v>40</v>
      </c>
      <c r="Q1669">
        <v>7</v>
      </c>
      <c r="R1669" t="s">
        <v>102</v>
      </c>
      <c r="S1669">
        <v>0</v>
      </c>
      <c r="T1669" s="6">
        <f>10^-(14-Q1669)</f>
        <v>9.9999999999999995E-8</v>
      </c>
      <c r="U1669" s="6">
        <v>0</v>
      </c>
      <c r="V1669" s="6">
        <v>0</v>
      </c>
      <c r="W1669" s="6">
        <v>0</v>
      </c>
      <c r="X1669" s="6">
        <v>0</v>
      </c>
      <c r="Y1669" t="s">
        <v>171</v>
      </c>
      <c r="AD1669">
        <v>0.33333333333333331</v>
      </c>
      <c r="AE1669">
        <v>220</v>
      </c>
      <c r="AF1669">
        <v>1</v>
      </c>
      <c r="AG1669" s="9">
        <v>2.1000000000000001E-2</v>
      </c>
      <c r="AH1669" s="9">
        <v>1.65</v>
      </c>
      <c r="AI1669" s="9">
        <v>0.45</v>
      </c>
      <c r="AL1669" s="9">
        <v>17.2</v>
      </c>
      <c r="AM1669" s="9">
        <v>10.1</v>
      </c>
      <c r="AN1669" s="9">
        <v>2.1</v>
      </c>
      <c r="AO1669" s="9">
        <v>3.7999999999999999E-2</v>
      </c>
    </row>
    <row r="1670" spans="1:41" x14ac:dyDescent="0.3">
      <c r="A1670" t="s">
        <v>396</v>
      </c>
      <c r="B1670" s="1" t="s">
        <v>1598</v>
      </c>
      <c r="C1670">
        <v>75</v>
      </c>
      <c r="D1670" s="8">
        <v>1.4403999999999999</v>
      </c>
      <c r="E1670">
        <v>320</v>
      </c>
      <c r="G1670" t="s">
        <v>29</v>
      </c>
      <c r="H1670" t="s">
        <v>987</v>
      </c>
      <c r="J1670" s="3">
        <v>18</v>
      </c>
      <c r="K1670" s="4">
        <v>0.16666666666666666</v>
      </c>
      <c r="L1670" t="s">
        <v>172</v>
      </c>
      <c r="M1670" t="s">
        <v>28</v>
      </c>
      <c r="N1670" s="6">
        <v>1E-3</v>
      </c>
      <c r="O1670" s="3">
        <v>0</v>
      </c>
      <c r="P1670">
        <v>50</v>
      </c>
      <c r="Q1670">
        <v>7</v>
      </c>
      <c r="R1670" t="s">
        <v>102</v>
      </c>
      <c r="S1670">
        <v>0</v>
      </c>
      <c r="T1670" s="6">
        <f>10^-(14-Q1670)</f>
        <v>9.9999999999999995E-8</v>
      </c>
      <c r="U1670" s="6">
        <v>0</v>
      </c>
      <c r="V1670" s="6">
        <v>0</v>
      </c>
      <c r="W1670" s="6">
        <v>0</v>
      </c>
      <c r="X1670" s="6">
        <v>0</v>
      </c>
      <c r="Y1670" t="s">
        <v>171</v>
      </c>
      <c r="AD1670">
        <v>0.33333333333333331</v>
      </c>
      <c r="AE1670">
        <v>1200</v>
      </c>
      <c r="AF1670">
        <v>2</v>
      </c>
      <c r="AG1670" s="9">
        <v>2.1000000000000001E-2</v>
      </c>
      <c r="AH1670" s="9">
        <v>1.65</v>
      </c>
      <c r="AI1670" s="9">
        <v>0.45</v>
      </c>
      <c r="AL1670" s="9">
        <v>17.2</v>
      </c>
      <c r="AM1670" s="9">
        <v>10.1</v>
      </c>
      <c r="AN1670" s="9">
        <v>2.1</v>
      </c>
      <c r="AO1670" s="9">
        <v>3.7999999999999999E-2</v>
      </c>
    </row>
    <row r="1671" spans="1:41" x14ac:dyDescent="0.3">
      <c r="A1671" t="s">
        <v>397</v>
      </c>
      <c r="B1671" s="1" t="s">
        <v>1598</v>
      </c>
      <c r="C1671">
        <v>75</v>
      </c>
      <c r="D1671" s="8">
        <v>1.4403999999999999</v>
      </c>
      <c r="E1671">
        <v>320</v>
      </c>
      <c r="G1671" t="s">
        <v>29</v>
      </c>
      <c r="H1671" t="s">
        <v>987</v>
      </c>
      <c r="J1671" s="3">
        <v>18</v>
      </c>
      <c r="K1671" s="4">
        <v>0.16666666666666666</v>
      </c>
      <c r="L1671" t="s">
        <v>172</v>
      </c>
      <c r="M1671" t="s">
        <v>28</v>
      </c>
      <c r="N1671" s="6">
        <v>2.8571428571428571E-3</v>
      </c>
      <c r="O1671" s="3">
        <v>0</v>
      </c>
      <c r="P1671">
        <v>50</v>
      </c>
      <c r="Q1671">
        <v>7</v>
      </c>
      <c r="R1671" t="s">
        <v>102</v>
      </c>
      <c r="S1671">
        <v>0</v>
      </c>
      <c r="T1671" s="6">
        <f>10^-(14-Q1671)</f>
        <v>9.9999999999999995E-8</v>
      </c>
      <c r="U1671" s="6">
        <v>0</v>
      </c>
      <c r="V1671" s="6">
        <v>0</v>
      </c>
      <c r="W1671" s="6">
        <v>0</v>
      </c>
      <c r="X1671" s="6">
        <v>0</v>
      </c>
      <c r="Y1671" t="s">
        <v>171</v>
      </c>
      <c r="AD1671">
        <v>0.33333333333333331</v>
      </c>
      <c r="AE1671">
        <v>800</v>
      </c>
      <c r="AF1671">
        <v>1</v>
      </c>
      <c r="AG1671" s="9">
        <v>2.1000000000000001E-2</v>
      </c>
      <c r="AH1671" s="9">
        <v>1.65</v>
      </c>
      <c r="AI1671" s="9">
        <v>0.45</v>
      </c>
      <c r="AL1671" s="9">
        <v>17.2</v>
      </c>
      <c r="AM1671" s="9">
        <v>10.1</v>
      </c>
      <c r="AN1671" s="9">
        <v>2.1</v>
      </c>
      <c r="AO1671" s="9">
        <v>3.7999999999999999E-2</v>
      </c>
    </row>
    <row r="1672" spans="1:41" x14ac:dyDescent="0.3">
      <c r="A1672" t="s">
        <v>398</v>
      </c>
      <c r="B1672" s="1" t="s">
        <v>1598</v>
      </c>
      <c r="C1672">
        <v>75</v>
      </c>
      <c r="D1672" s="8">
        <v>1.4403999999999999</v>
      </c>
      <c r="E1672">
        <v>320</v>
      </c>
      <c r="G1672" t="s">
        <v>29</v>
      </c>
      <c r="H1672" t="s">
        <v>987</v>
      </c>
      <c r="J1672" s="3">
        <v>18</v>
      </c>
      <c r="K1672" s="4">
        <v>0.16666666666666666</v>
      </c>
      <c r="L1672" t="s">
        <v>172</v>
      </c>
      <c r="M1672" t="s">
        <v>28</v>
      </c>
      <c r="N1672" s="6">
        <v>0.01</v>
      </c>
      <c r="O1672" s="3">
        <v>0</v>
      </c>
      <c r="P1672">
        <v>50</v>
      </c>
      <c r="Q1672">
        <v>7</v>
      </c>
      <c r="R1672" t="s">
        <v>102</v>
      </c>
      <c r="S1672">
        <v>0</v>
      </c>
      <c r="T1672" s="6">
        <f>10^-(14-Q1672)</f>
        <v>9.9999999999999995E-8</v>
      </c>
      <c r="U1672" s="6">
        <v>0</v>
      </c>
      <c r="V1672" s="6">
        <v>0</v>
      </c>
      <c r="W1672" s="6">
        <v>0</v>
      </c>
      <c r="X1672" s="6">
        <v>0</v>
      </c>
      <c r="Y1672" t="s">
        <v>171</v>
      </c>
      <c r="AD1672">
        <v>0.33333333333333331</v>
      </c>
      <c r="AE1672">
        <v>560</v>
      </c>
      <c r="AF1672">
        <v>1</v>
      </c>
      <c r="AG1672" s="9">
        <v>2.1000000000000001E-2</v>
      </c>
      <c r="AH1672" s="9">
        <v>1.65</v>
      </c>
      <c r="AI1672" s="9">
        <v>0.45</v>
      </c>
      <c r="AL1672" s="9">
        <v>17.2</v>
      </c>
      <c r="AM1672" s="9">
        <v>10.1</v>
      </c>
      <c r="AN1672" s="9">
        <v>2.1</v>
      </c>
      <c r="AO1672" s="9">
        <v>3.7999999999999999E-2</v>
      </c>
    </row>
    <row r="1673" spans="1:41" x14ac:dyDescent="0.3">
      <c r="A1673" t="s">
        <v>399</v>
      </c>
      <c r="B1673" s="1" t="s">
        <v>1598</v>
      </c>
      <c r="C1673">
        <v>75</v>
      </c>
      <c r="D1673" s="8">
        <v>1.4403999999999999</v>
      </c>
      <c r="E1673">
        <v>320</v>
      </c>
      <c r="G1673" t="s">
        <v>29</v>
      </c>
      <c r="H1673" t="s">
        <v>987</v>
      </c>
      <c r="J1673" s="3">
        <v>18</v>
      </c>
      <c r="K1673" s="4">
        <v>0.16666666666666666</v>
      </c>
      <c r="L1673" t="s">
        <v>172</v>
      </c>
      <c r="M1673" t="s">
        <v>28</v>
      </c>
      <c r="N1673" s="6">
        <v>2.8571428571428574E-2</v>
      </c>
      <c r="O1673" s="3">
        <v>0</v>
      </c>
      <c r="P1673">
        <v>50</v>
      </c>
      <c r="Q1673">
        <v>7</v>
      </c>
      <c r="R1673" t="s">
        <v>102</v>
      </c>
      <c r="S1673">
        <v>0</v>
      </c>
      <c r="T1673" s="6">
        <f>10^-(14-Q1673)</f>
        <v>9.9999999999999995E-8</v>
      </c>
      <c r="U1673" s="6">
        <v>0</v>
      </c>
      <c r="V1673" s="6">
        <v>0</v>
      </c>
      <c r="W1673" s="6">
        <v>0</v>
      </c>
      <c r="X1673" s="6">
        <v>0</v>
      </c>
      <c r="Y1673" t="s">
        <v>171</v>
      </c>
      <c r="AD1673">
        <v>0.33333333333333331</v>
      </c>
      <c r="AE1673">
        <v>560</v>
      </c>
      <c r="AF1673">
        <v>1</v>
      </c>
      <c r="AG1673" s="9">
        <v>2.1000000000000001E-2</v>
      </c>
      <c r="AH1673" s="9">
        <v>1.65</v>
      </c>
      <c r="AI1673" s="9">
        <v>0.45</v>
      </c>
      <c r="AL1673" s="9">
        <v>17.2</v>
      </c>
      <c r="AM1673" s="9">
        <v>10.1</v>
      </c>
      <c r="AN1673" s="9">
        <v>2.1</v>
      </c>
      <c r="AO1673" s="9">
        <v>3.7999999999999999E-2</v>
      </c>
    </row>
    <row r="1674" spans="1:41" x14ac:dyDescent="0.3">
      <c r="A1674" t="s">
        <v>400</v>
      </c>
      <c r="B1674" s="1" t="s">
        <v>1598</v>
      </c>
      <c r="C1674">
        <v>75</v>
      </c>
      <c r="D1674" s="8">
        <v>1.4403999999999999</v>
      </c>
      <c r="E1674">
        <v>320</v>
      </c>
      <c r="G1674" t="s">
        <v>29</v>
      </c>
      <c r="H1674" t="s">
        <v>987</v>
      </c>
      <c r="J1674" s="3">
        <v>18</v>
      </c>
      <c r="K1674" s="4">
        <v>0.16666666666666666</v>
      </c>
      <c r="L1674" t="s">
        <v>172</v>
      </c>
      <c r="M1674" t="s">
        <v>28</v>
      </c>
      <c r="N1674" s="6">
        <v>0.1</v>
      </c>
      <c r="O1674" s="3">
        <v>0</v>
      </c>
      <c r="P1674">
        <v>50</v>
      </c>
      <c r="Q1674">
        <v>7</v>
      </c>
      <c r="R1674" t="s">
        <v>102</v>
      </c>
      <c r="S1674">
        <v>0</v>
      </c>
      <c r="T1674" s="6">
        <f>10^-(14-Q1674)</f>
        <v>9.9999999999999995E-8</v>
      </c>
      <c r="U1674" s="6">
        <v>0</v>
      </c>
      <c r="V1674" s="6">
        <v>0</v>
      </c>
      <c r="W1674" s="6">
        <v>0</v>
      </c>
      <c r="X1674" s="6">
        <v>0</v>
      </c>
      <c r="Y1674" t="s">
        <v>171</v>
      </c>
      <c r="AD1674">
        <v>0.33333333333333331</v>
      </c>
      <c r="AE1674">
        <v>440</v>
      </c>
      <c r="AF1674">
        <v>1</v>
      </c>
      <c r="AG1674" s="9">
        <v>2.1000000000000001E-2</v>
      </c>
      <c r="AH1674" s="9">
        <v>1.65</v>
      </c>
      <c r="AI1674" s="9">
        <v>0.45</v>
      </c>
      <c r="AL1674" s="9">
        <v>17.2</v>
      </c>
      <c r="AM1674" s="9">
        <v>10.1</v>
      </c>
      <c r="AN1674" s="9">
        <v>2.1</v>
      </c>
      <c r="AO1674" s="9">
        <v>3.7999999999999999E-2</v>
      </c>
    </row>
    <row r="1675" spans="1:41" x14ac:dyDescent="0.3">
      <c r="A1675" t="s">
        <v>401</v>
      </c>
      <c r="B1675" s="1" t="s">
        <v>1598</v>
      </c>
      <c r="C1675">
        <v>75</v>
      </c>
      <c r="D1675" s="8">
        <v>1.4403999999999999</v>
      </c>
      <c r="E1675">
        <v>320</v>
      </c>
      <c r="G1675" t="s">
        <v>29</v>
      </c>
      <c r="H1675" t="s">
        <v>987</v>
      </c>
      <c r="J1675" s="3">
        <v>18</v>
      </c>
      <c r="K1675" s="4">
        <v>0.16666666666666666</v>
      </c>
      <c r="L1675" t="s">
        <v>172</v>
      </c>
      <c r="M1675" t="s">
        <v>28</v>
      </c>
      <c r="N1675" s="6">
        <v>0.28571428571428575</v>
      </c>
      <c r="O1675" s="3">
        <v>0</v>
      </c>
      <c r="P1675">
        <v>50</v>
      </c>
      <c r="Q1675">
        <v>7</v>
      </c>
      <c r="R1675" t="s">
        <v>102</v>
      </c>
      <c r="S1675">
        <v>0</v>
      </c>
      <c r="T1675" s="6">
        <f>10^-(14-Q1675)</f>
        <v>9.9999999999999995E-8</v>
      </c>
      <c r="U1675" s="6">
        <v>0</v>
      </c>
      <c r="V1675" s="6">
        <v>0</v>
      </c>
      <c r="W1675" s="6">
        <v>0</v>
      </c>
      <c r="X1675" s="6">
        <v>0</v>
      </c>
      <c r="Y1675" t="s">
        <v>171</v>
      </c>
      <c r="AD1675">
        <v>0.33333333333333331</v>
      </c>
      <c r="AE1675">
        <v>360</v>
      </c>
      <c r="AF1675">
        <v>1</v>
      </c>
      <c r="AG1675" s="9">
        <v>2.1000000000000001E-2</v>
      </c>
      <c r="AH1675" s="9">
        <v>1.65</v>
      </c>
      <c r="AI1675" s="9">
        <v>0.45</v>
      </c>
      <c r="AL1675" s="9">
        <v>17.2</v>
      </c>
      <c r="AM1675" s="9">
        <v>10.1</v>
      </c>
      <c r="AN1675" s="9">
        <v>2.1</v>
      </c>
      <c r="AO1675" s="9">
        <v>3.7999999999999999E-2</v>
      </c>
    </row>
    <row r="1676" spans="1:41" x14ac:dyDescent="0.3">
      <c r="A1676" t="s">
        <v>402</v>
      </c>
      <c r="B1676" s="1" t="s">
        <v>1598</v>
      </c>
      <c r="C1676">
        <v>75</v>
      </c>
      <c r="D1676" s="8">
        <v>1.4403999999999999</v>
      </c>
      <c r="E1676">
        <v>320</v>
      </c>
      <c r="G1676" t="s">
        <v>29</v>
      </c>
      <c r="H1676" t="s">
        <v>987</v>
      </c>
      <c r="J1676" s="3">
        <v>18</v>
      </c>
      <c r="K1676" s="4">
        <v>0.16666666666666666</v>
      </c>
      <c r="L1676" t="s">
        <v>172</v>
      </c>
      <c r="M1676" t="s">
        <v>28</v>
      </c>
      <c r="N1676" s="6">
        <v>1</v>
      </c>
      <c r="O1676" s="3">
        <v>0</v>
      </c>
      <c r="P1676">
        <v>50</v>
      </c>
      <c r="Q1676">
        <v>7</v>
      </c>
      <c r="R1676" t="s">
        <v>102</v>
      </c>
      <c r="S1676">
        <v>0</v>
      </c>
      <c r="T1676" s="6">
        <f>10^-(14-Q1676)</f>
        <v>9.9999999999999995E-8</v>
      </c>
      <c r="U1676" s="6">
        <v>0</v>
      </c>
      <c r="V1676" s="6">
        <v>0</v>
      </c>
      <c r="W1676" s="6">
        <v>0</v>
      </c>
      <c r="X1676" s="6">
        <v>0</v>
      </c>
      <c r="Y1676" t="s">
        <v>171</v>
      </c>
      <c r="AD1676">
        <v>0.33333333333333331</v>
      </c>
      <c r="AE1676">
        <v>280</v>
      </c>
      <c r="AF1676">
        <v>1</v>
      </c>
      <c r="AG1676" s="9">
        <v>2.1000000000000001E-2</v>
      </c>
      <c r="AH1676" s="9">
        <v>1.65</v>
      </c>
      <c r="AI1676" s="9">
        <v>0.45</v>
      </c>
      <c r="AL1676" s="9">
        <v>17.2</v>
      </c>
      <c r="AM1676" s="9">
        <v>10.1</v>
      </c>
      <c r="AN1676" s="9">
        <v>2.1</v>
      </c>
      <c r="AO1676" s="9">
        <v>3.7999999999999999E-2</v>
      </c>
    </row>
    <row r="1677" spans="1:41" x14ac:dyDescent="0.3">
      <c r="A1677" t="s">
        <v>403</v>
      </c>
      <c r="B1677" s="1" t="s">
        <v>1598</v>
      </c>
      <c r="C1677">
        <v>75</v>
      </c>
      <c r="D1677" s="8">
        <v>1.4403999999999999</v>
      </c>
      <c r="E1677">
        <v>320</v>
      </c>
      <c r="G1677" t="s">
        <v>29</v>
      </c>
      <c r="H1677" t="s">
        <v>987</v>
      </c>
      <c r="J1677" s="3">
        <v>18</v>
      </c>
      <c r="K1677" s="4">
        <v>0.16666666666666666</v>
      </c>
      <c r="L1677" t="s">
        <v>172</v>
      </c>
      <c r="M1677" t="s">
        <v>28</v>
      </c>
      <c r="N1677" s="6">
        <v>2.8571428571428572</v>
      </c>
      <c r="O1677" s="3">
        <v>0</v>
      </c>
      <c r="P1677">
        <v>50</v>
      </c>
      <c r="Q1677">
        <v>7</v>
      </c>
      <c r="R1677" t="s">
        <v>102</v>
      </c>
      <c r="S1677">
        <v>0</v>
      </c>
      <c r="T1677" s="6">
        <f>10^-(14-Q1677)</f>
        <v>9.9999999999999995E-8</v>
      </c>
      <c r="U1677" s="6">
        <v>0</v>
      </c>
      <c r="V1677" s="6">
        <v>0</v>
      </c>
      <c r="W1677" s="6">
        <v>0</v>
      </c>
      <c r="X1677" s="6">
        <v>0</v>
      </c>
      <c r="Y1677" t="s">
        <v>171</v>
      </c>
      <c r="AD1677">
        <v>0.33333333333333331</v>
      </c>
      <c r="AE1677">
        <v>180</v>
      </c>
      <c r="AF1677">
        <v>1</v>
      </c>
      <c r="AG1677" s="9">
        <v>2.1000000000000001E-2</v>
      </c>
      <c r="AH1677" s="9">
        <v>1.65</v>
      </c>
      <c r="AI1677" s="9">
        <v>0.45</v>
      </c>
      <c r="AL1677" s="9">
        <v>17.2</v>
      </c>
      <c r="AM1677" s="9">
        <v>10.1</v>
      </c>
      <c r="AN1677" s="9">
        <v>2.1</v>
      </c>
      <c r="AO1677" s="9">
        <v>3.7999999999999999E-2</v>
      </c>
    </row>
    <row r="1678" spans="1:41" x14ac:dyDescent="0.3">
      <c r="A1678" t="s">
        <v>404</v>
      </c>
      <c r="B1678" s="1" t="s">
        <v>1598</v>
      </c>
      <c r="C1678">
        <v>75</v>
      </c>
      <c r="D1678" s="8">
        <v>1.4403999999999999</v>
      </c>
      <c r="E1678">
        <v>320</v>
      </c>
      <c r="G1678" t="s">
        <v>29</v>
      </c>
      <c r="H1678" t="s">
        <v>987</v>
      </c>
      <c r="J1678" s="3">
        <v>18</v>
      </c>
      <c r="K1678" s="4">
        <v>0.16666666666666666</v>
      </c>
      <c r="L1678" t="s">
        <v>172</v>
      </c>
      <c r="M1678" t="s">
        <v>28</v>
      </c>
      <c r="N1678" s="6">
        <v>1E-3</v>
      </c>
      <c r="O1678" s="3">
        <v>0</v>
      </c>
      <c r="P1678">
        <v>60</v>
      </c>
      <c r="Q1678">
        <v>7</v>
      </c>
      <c r="R1678" t="s">
        <v>102</v>
      </c>
      <c r="S1678">
        <v>0</v>
      </c>
      <c r="T1678" s="6">
        <f>10^-(14-Q1678)</f>
        <v>9.9999999999999995E-8</v>
      </c>
      <c r="U1678" s="6">
        <v>0</v>
      </c>
      <c r="V1678" s="6">
        <v>0</v>
      </c>
      <c r="W1678" s="6">
        <v>0</v>
      </c>
      <c r="X1678" s="6">
        <v>0</v>
      </c>
      <c r="Y1678" t="s">
        <v>171</v>
      </c>
      <c r="AD1678">
        <v>0.33333333333333331</v>
      </c>
      <c r="AE1678">
        <v>1150</v>
      </c>
      <c r="AF1678">
        <v>1</v>
      </c>
      <c r="AG1678" s="9">
        <v>2.1000000000000001E-2</v>
      </c>
      <c r="AH1678" s="9">
        <v>1.65</v>
      </c>
      <c r="AI1678" s="9">
        <v>0.45</v>
      </c>
      <c r="AL1678" s="9">
        <v>17.2</v>
      </c>
      <c r="AM1678" s="9">
        <v>10.1</v>
      </c>
      <c r="AN1678" s="9">
        <v>2.1</v>
      </c>
      <c r="AO1678" s="9">
        <v>3.7999999999999999E-2</v>
      </c>
    </row>
    <row r="1679" spans="1:41" x14ac:dyDescent="0.3">
      <c r="A1679" t="s">
        <v>405</v>
      </c>
      <c r="B1679" s="1" t="s">
        <v>1598</v>
      </c>
      <c r="C1679">
        <v>75</v>
      </c>
      <c r="D1679" s="8">
        <v>1.4403999999999999</v>
      </c>
      <c r="E1679">
        <v>320</v>
      </c>
      <c r="G1679" t="s">
        <v>29</v>
      </c>
      <c r="H1679" t="s">
        <v>987</v>
      </c>
      <c r="J1679" s="3">
        <v>18</v>
      </c>
      <c r="K1679" s="4">
        <v>0.16666666666666666</v>
      </c>
      <c r="L1679" t="s">
        <v>172</v>
      </c>
      <c r="M1679" t="s">
        <v>28</v>
      </c>
      <c r="N1679" s="6">
        <v>2.8571428571428571E-3</v>
      </c>
      <c r="O1679" s="3">
        <v>0</v>
      </c>
      <c r="P1679">
        <v>60</v>
      </c>
      <c r="Q1679">
        <v>7</v>
      </c>
      <c r="R1679" t="s">
        <v>102</v>
      </c>
      <c r="S1679">
        <v>0</v>
      </c>
      <c r="T1679" s="6">
        <f>10^-(14-Q1679)</f>
        <v>9.9999999999999995E-8</v>
      </c>
      <c r="U1679" s="6">
        <v>0</v>
      </c>
      <c r="V1679" s="6">
        <v>0</v>
      </c>
      <c r="W1679" s="6">
        <v>0</v>
      </c>
      <c r="X1679" s="6">
        <v>0</v>
      </c>
      <c r="Y1679" t="s">
        <v>171</v>
      </c>
      <c r="AD1679">
        <v>0.33333333333333331</v>
      </c>
      <c r="AE1679">
        <v>720</v>
      </c>
      <c r="AF1679">
        <v>1</v>
      </c>
      <c r="AG1679" s="9">
        <v>2.1000000000000001E-2</v>
      </c>
      <c r="AH1679" s="9">
        <v>1.65</v>
      </c>
      <c r="AI1679" s="9">
        <v>0.45</v>
      </c>
      <c r="AL1679" s="9">
        <v>17.2</v>
      </c>
      <c r="AM1679" s="9">
        <v>10.1</v>
      </c>
      <c r="AN1679" s="9">
        <v>2.1</v>
      </c>
      <c r="AO1679" s="9">
        <v>3.7999999999999999E-2</v>
      </c>
    </row>
    <row r="1680" spans="1:41" x14ac:dyDescent="0.3">
      <c r="A1680" t="s">
        <v>406</v>
      </c>
      <c r="B1680" s="1" t="s">
        <v>1598</v>
      </c>
      <c r="C1680">
        <v>75</v>
      </c>
      <c r="D1680" s="8">
        <v>1.4403999999999999</v>
      </c>
      <c r="E1680">
        <v>320</v>
      </c>
      <c r="G1680" t="s">
        <v>29</v>
      </c>
      <c r="H1680" t="s">
        <v>987</v>
      </c>
      <c r="J1680" s="3">
        <v>18</v>
      </c>
      <c r="K1680" s="4">
        <v>0.16666666666666666</v>
      </c>
      <c r="L1680" t="s">
        <v>172</v>
      </c>
      <c r="M1680" t="s">
        <v>28</v>
      </c>
      <c r="N1680" s="6">
        <v>0.01</v>
      </c>
      <c r="O1680" s="3">
        <v>0</v>
      </c>
      <c r="P1680">
        <v>60</v>
      </c>
      <c r="Q1680">
        <v>7</v>
      </c>
      <c r="R1680" t="s">
        <v>102</v>
      </c>
      <c r="S1680">
        <v>0</v>
      </c>
      <c r="T1680" s="6">
        <f>10^-(14-Q1680)</f>
        <v>9.9999999999999995E-8</v>
      </c>
      <c r="U1680" s="6">
        <v>0</v>
      </c>
      <c r="V1680" s="6">
        <v>0</v>
      </c>
      <c r="W1680" s="6">
        <v>0</v>
      </c>
      <c r="X1680" s="6">
        <v>0</v>
      </c>
      <c r="Y1680" t="s">
        <v>171</v>
      </c>
      <c r="AD1680">
        <v>0.33333333333333331</v>
      </c>
      <c r="AE1680">
        <v>560</v>
      </c>
      <c r="AF1680">
        <v>1</v>
      </c>
      <c r="AG1680" s="9">
        <v>2.1000000000000001E-2</v>
      </c>
      <c r="AH1680" s="9">
        <v>1.65</v>
      </c>
      <c r="AI1680" s="9">
        <v>0.45</v>
      </c>
      <c r="AL1680" s="9">
        <v>17.2</v>
      </c>
      <c r="AM1680" s="9">
        <v>10.1</v>
      </c>
      <c r="AN1680" s="9">
        <v>2.1</v>
      </c>
      <c r="AO1680" s="9">
        <v>3.7999999999999999E-2</v>
      </c>
    </row>
    <row r="1681" spans="1:41" x14ac:dyDescent="0.3">
      <c r="A1681" t="s">
        <v>407</v>
      </c>
      <c r="B1681" s="1" t="s">
        <v>1598</v>
      </c>
      <c r="C1681">
        <v>75</v>
      </c>
      <c r="D1681" s="8">
        <v>1.4403999999999999</v>
      </c>
      <c r="E1681">
        <v>320</v>
      </c>
      <c r="G1681" t="s">
        <v>29</v>
      </c>
      <c r="H1681" t="s">
        <v>987</v>
      </c>
      <c r="J1681" s="3">
        <v>18</v>
      </c>
      <c r="K1681" s="4">
        <v>0.16666666666666666</v>
      </c>
      <c r="L1681" t="s">
        <v>172</v>
      </c>
      <c r="M1681" t="s">
        <v>28</v>
      </c>
      <c r="N1681" s="6">
        <v>2.8571428571428574E-2</v>
      </c>
      <c r="O1681" s="3">
        <v>0</v>
      </c>
      <c r="P1681">
        <v>60</v>
      </c>
      <c r="Q1681">
        <v>7</v>
      </c>
      <c r="R1681" t="s">
        <v>102</v>
      </c>
      <c r="S1681">
        <v>0</v>
      </c>
      <c r="T1681" s="6">
        <f>10^-(14-Q1681)</f>
        <v>9.9999999999999995E-8</v>
      </c>
      <c r="U1681" s="6">
        <v>0</v>
      </c>
      <c r="V1681" s="6">
        <v>0</v>
      </c>
      <c r="W1681" s="6">
        <v>0</v>
      </c>
      <c r="X1681" s="6">
        <v>0</v>
      </c>
      <c r="Y1681" t="s">
        <v>171</v>
      </c>
      <c r="AD1681">
        <v>0.33333333333333331</v>
      </c>
      <c r="AE1681">
        <v>560</v>
      </c>
      <c r="AF1681">
        <v>1</v>
      </c>
      <c r="AG1681" s="9">
        <v>2.1000000000000001E-2</v>
      </c>
      <c r="AH1681" s="9">
        <v>1.65</v>
      </c>
      <c r="AI1681" s="9">
        <v>0.45</v>
      </c>
      <c r="AL1681" s="9">
        <v>17.2</v>
      </c>
      <c r="AM1681" s="9">
        <v>10.1</v>
      </c>
      <c r="AN1681" s="9">
        <v>2.1</v>
      </c>
      <c r="AO1681" s="9">
        <v>3.7999999999999999E-2</v>
      </c>
    </row>
    <row r="1682" spans="1:41" x14ac:dyDescent="0.3">
      <c r="A1682" t="s">
        <v>408</v>
      </c>
      <c r="B1682" s="1" t="s">
        <v>1598</v>
      </c>
      <c r="C1682">
        <v>75</v>
      </c>
      <c r="D1682" s="8">
        <v>1.4403999999999999</v>
      </c>
      <c r="E1682">
        <v>320</v>
      </c>
      <c r="G1682" t="s">
        <v>29</v>
      </c>
      <c r="H1682" t="s">
        <v>987</v>
      </c>
      <c r="J1682" s="3">
        <v>18</v>
      </c>
      <c r="K1682" s="4">
        <v>0.16666666666666666</v>
      </c>
      <c r="L1682" t="s">
        <v>172</v>
      </c>
      <c r="M1682" t="s">
        <v>28</v>
      </c>
      <c r="N1682" s="6">
        <v>0.1</v>
      </c>
      <c r="O1682" s="3">
        <v>0</v>
      </c>
      <c r="P1682">
        <v>60</v>
      </c>
      <c r="Q1682">
        <v>7</v>
      </c>
      <c r="R1682" t="s">
        <v>102</v>
      </c>
      <c r="S1682">
        <v>0</v>
      </c>
      <c r="T1682" s="6">
        <f>10^-(14-Q1682)</f>
        <v>9.9999999999999995E-8</v>
      </c>
      <c r="U1682" s="6">
        <v>0</v>
      </c>
      <c r="V1682" s="6">
        <v>0</v>
      </c>
      <c r="W1682" s="6">
        <v>0</v>
      </c>
      <c r="X1682" s="6">
        <v>0</v>
      </c>
      <c r="Y1682" t="s">
        <v>171</v>
      </c>
      <c r="AD1682">
        <v>0.33333333333333331</v>
      </c>
      <c r="AE1682">
        <v>440</v>
      </c>
      <c r="AF1682">
        <v>1</v>
      </c>
      <c r="AG1682" s="9">
        <v>2.1000000000000001E-2</v>
      </c>
      <c r="AH1682" s="9">
        <v>1.65</v>
      </c>
      <c r="AI1682" s="9">
        <v>0.45</v>
      </c>
      <c r="AL1682" s="9">
        <v>17.2</v>
      </c>
      <c r="AM1682" s="9">
        <v>10.1</v>
      </c>
      <c r="AN1682" s="9">
        <v>2.1</v>
      </c>
      <c r="AO1682" s="9">
        <v>3.7999999999999999E-2</v>
      </c>
    </row>
    <row r="1683" spans="1:41" x14ac:dyDescent="0.3">
      <c r="A1683" t="s">
        <v>409</v>
      </c>
      <c r="B1683" s="1" t="s">
        <v>1598</v>
      </c>
      <c r="C1683">
        <v>75</v>
      </c>
      <c r="D1683" s="8">
        <v>1.4403999999999999</v>
      </c>
      <c r="E1683">
        <v>320</v>
      </c>
      <c r="G1683" t="s">
        <v>29</v>
      </c>
      <c r="H1683" t="s">
        <v>987</v>
      </c>
      <c r="J1683" s="3">
        <v>18</v>
      </c>
      <c r="K1683" s="4">
        <v>0.16666666666666666</v>
      </c>
      <c r="L1683" t="s">
        <v>172</v>
      </c>
      <c r="M1683" t="s">
        <v>28</v>
      </c>
      <c r="N1683" s="6">
        <v>0.28571428571428575</v>
      </c>
      <c r="O1683" s="3">
        <v>0</v>
      </c>
      <c r="P1683">
        <v>60</v>
      </c>
      <c r="Q1683">
        <v>7</v>
      </c>
      <c r="R1683" t="s">
        <v>102</v>
      </c>
      <c r="S1683">
        <v>0</v>
      </c>
      <c r="T1683" s="6">
        <f>10^-(14-Q1683)</f>
        <v>9.9999999999999995E-8</v>
      </c>
      <c r="U1683" s="6">
        <v>0</v>
      </c>
      <c r="V1683" s="6">
        <v>0</v>
      </c>
      <c r="W1683" s="6">
        <v>0</v>
      </c>
      <c r="X1683" s="6">
        <v>0</v>
      </c>
      <c r="Y1683" t="s">
        <v>171</v>
      </c>
      <c r="AD1683">
        <v>0.33333333333333331</v>
      </c>
      <c r="AE1683">
        <v>380</v>
      </c>
      <c r="AF1683">
        <v>1</v>
      </c>
      <c r="AG1683" s="9">
        <v>2.1000000000000001E-2</v>
      </c>
      <c r="AH1683" s="9">
        <v>1.65</v>
      </c>
      <c r="AI1683" s="9">
        <v>0.45</v>
      </c>
      <c r="AL1683" s="9">
        <v>17.2</v>
      </c>
      <c r="AM1683" s="9">
        <v>10.1</v>
      </c>
      <c r="AN1683" s="9">
        <v>2.1</v>
      </c>
      <c r="AO1683" s="9">
        <v>3.7999999999999999E-2</v>
      </c>
    </row>
    <row r="1684" spans="1:41" x14ac:dyDescent="0.3">
      <c r="A1684" t="s">
        <v>410</v>
      </c>
      <c r="B1684" s="1" t="s">
        <v>1598</v>
      </c>
      <c r="C1684">
        <v>75</v>
      </c>
      <c r="D1684" s="8">
        <v>1.4403999999999999</v>
      </c>
      <c r="E1684">
        <v>320</v>
      </c>
      <c r="G1684" t="s">
        <v>29</v>
      </c>
      <c r="H1684" t="s">
        <v>987</v>
      </c>
      <c r="J1684" s="3">
        <v>18</v>
      </c>
      <c r="K1684" s="4">
        <v>0.16666666666666666</v>
      </c>
      <c r="L1684" t="s">
        <v>172</v>
      </c>
      <c r="M1684" t="s">
        <v>28</v>
      </c>
      <c r="N1684" s="6">
        <v>1</v>
      </c>
      <c r="O1684" s="3">
        <v>0</v>
      </c>
      <c r="P1684">
        <v>60</v>
      </c>
      <c r="Q1684">
        <v>7</v>
      </c>
      <c r="R1684" t="s">
        <v>102</v>
      </c>
      <c r="S1684">
        <v>0</v>
      </c>
      <c r="T1684" s="6">
        <f>10^-(14-Q1684)</f>
        <v>9.9999999999999995E-8</v>
      </c>
      <c r="U1684" s="6">
        <v>0</v>
      </c>
      <c r="V1684" s="6">
        <v>0</v>
      </c>
      <c r="W1684" s="6">
        <v>0</v>
      </c>
      <c r="X1684" s="6">
        <v>0</v>
      </c>
      <c r="Y1684" t="s">
        <v>171</v>
      </c>
      <c r="AD1684">
        <v>0.33333333333333331</v>
      </c>
      <c r="AE1684">
        <v>320</v>
      </c>
      <c r="AF1684">
        <v>1</v>
      </c>
      <c r="AG1684" s="9">
        <v>2.1000000000000001E-2</v>
      </c>
      <c r="AH1684" s="9">
        <v>1.65</v>
      </c>
      <c r="AI1684" s="9">
        <v>0.45</v>
      </c>
      <c r="AL1684" s="9">
        <v>17.2</v>
      </c>
      <c r="AM1684" s="9">
        <v>10.1</v>
      </c>
      <c r="AN1684" s="9">
        <v>2.1</v>
      </c>
      <c r="AO1684" s="9">
        <v>3.7999999999999999E-2</v>
      </c>
    </row>
    <row r="1685" spans="1:41" x14ac:dyDescent="0.3">
      <c r="A1685" t="s">
        <v>411</v>
      </c>
      <c r="B1685" s="1" t="s">
        <v>1598</v>
      </c>
      <c r="C1685">
        <v>75</v>
      </c>
      <c r="D1685" s="8">
        <v>1.4403999999999999</v>
      </c>
      <c r="E1685">
        <v>320</v>
      </c>
      <c r="G1685" t="s">
        <v>29</v>
      </c>
      <c r="H1685" t="s">
        <v>987</v>
      </c>
      <c r="J1685" s="3">
        <v>18</v>
      </c>
      <c r="K1685" s="4">
        <v>0.16666666666666666</v>
      </c>
      <c r="L1685" t="s">
        <v>172</v>
      </c>
      <c r="M1685" t="s">
        <v>28</v>
      </c>
      <c r="N1685" s="6">
        <v>2.8571428571428572</v>
      </c>
      <c r="O1685" s="3">
        <v>0</v>
      </c>
      <c r="P1685">
        <v>60</v>
      </c>
      <c r="Q1685">
        <v>7</v>
      </c>
      <c r="R1685" t="s">
        <v>102</v>
      </c>
      <c r="S1685">
        <v>0</v>
      </c>
      <c r="T1685" s="6">
        <f>10^-(14-Q1685)</f>
        <v>9.9999999999999995E-8</v>
      </c>
      <c r="U1685" s="6">
        <v>0</v>
      </c>
      <c r="V1685" s="6">
        <v>0</v>
      </c>
      <c r="W1685" s="6">
        <v>0</v>
      </c>
      <c r="X1685" s="6">
        <v>0</v>
      </c>
      <c r="Y1685" t="s">
        <v>171</v>
      </c>
      <c r="AD1685">
        <v>0.33333333333333331</v>
      </c>
      <c r="AE1685">
        <v>160</v>
      </c>
      <c r="AF1685">
        <v>1</v>
      </c>
      <c r="AG1685" s="9">
        <v>2.1000000000000001E-2</v>
      </c>
      <c r="AH1685" s="9">
        <v>1.65</v>
      </c>
      <c r="AI1685" s="9">
        <v>0.45</v>
      </c>
      <c r="AL1685" s="9">
        <v>17.2</v>
      </c>
      <c r="AM1685" s="9">
        <v>10.1</v>
      </c>
      <c r="AN1685" s="9">
        <v>2.1</v>
      </c>
      <c r="AO1685" s="9">
        <v>3.7999999999999999E-2</v>
      </c>
    </row>
    <row r="1686" spans="1:41" x14ac:dyDescent="0.3">
      <c r="A1686" t="s">
        <v>412</v>
      </c>
      <c r="B1686" s="1" t="s">
        <v>1598</v>
      </c>
      <c r="C1686">
        <v>75</v>
      </c>
      <c r="D1686" s="8">
        <v>1.4403999999999999</v>
      </c>
      <c r="E1686">
        <v>320</v>
      </c>
      <c r="G1686" t="s">
        <v>29</v>
      </c>
      <c r="H1686" t="s">
        <v>987</v>
      </c>
      <c r="J1686" s="3">
        <v>18</v>
      </c>
      <c r="K1686" s="4">
        <v>0.16666666666666666</v>
      </c>
      <c r="L1686" t="s">
        <v>172</v>
      </c>
      <c r="M1686" t="s">
        <v>28</v>
      </c>
      <c r="N1686" s="6">
        <v>1E-3</v>
      </c>
      <c r="O1686" s="3">
        <v>0</v>
      </c>
      <c r="P1686">
        <v>70</v>
      </c>
      <c r="Q1686">
        <v>7</v>
      </c>
      <c r="R1686" t="s">
        <v>102</v>
      </c>
      <c r="S1686">
        <v>0</v>
      </c>
      <c r="T1686" s="6">
        <f>10^-(14-Q1686)</f>
        <v>9.9999999999999995E-8</v>
      </c>
      <c r="U1686" s="6">
        <v>0</v>
      </c>
      <c r="V1686" s="6">
        <v>0</v>
      </c>
      <c r="W1686" s="6">
        <v>0</v>
      </c>
      <c r="X1686" s="6">
        <v>0</v>
      </c>
      <c r="Y1686" t="s">
        <v>171</v>
      </c>
      <c r="AD1686">
        <v>0.33333333333333331</v>
      </c>
      <c r="AE1686">
        <v>1000</v>
      </c>
      <c r="AF1686">
        <v>1</v>
      </c>
      <c r="AG1686" s="9">
        <v>2.1000000000000001E-2</v>
      </c>
      <c r="AH1686" s="9">
        <v>1.65</v>
      </c>
      <c r="AI1686" s="9">
        <v>0.45</v>
      </c>
      <c r="AL1686" s="9">
        <v>17.2</v>
      </c>
      <c r="AM1686" s="9">
        <v>10.1</v>
      </c>
      <c r="AN1686" s="9">
        <v>2.1</v>
      </c>
      <c r="AO1686" s="9">
        <v>3.7999999999999999E-2</v>
      </c>
    </row>
    <row r="1687" spans="1:41" x14ac:dyDescent="0.3">
      <c r="A1687" t="s">
        <v>413</v>
      </c>
      <c r="B1687" s="1" t="s">
        <v>1598</v>
      </c>
      <c r="C1687">
        <v>75</v>
      </c>
      <c r="D1687" s="8">
        <v>1.4403999999999999</v>
      </c>
      <c r="E1687">
        <v>320</v>
      </c>
      <c r="G1687" t="s">
        <v>29</v>
      </c>
      <c r="H1687" t="s">
        <v>987</v>
      </c>
      <c r="J1687" s="3">
        <v>18</v>
      </c>
      <c r="K1687" s="4">
        <v>0.16666666666666666</v>
      </c>
      <c r="L1687" t="s">
        <v>172</v>
      </c>
      <c r="M1687" t="s">
        <v>28</v>
      </c>
      <c r="N1687" s="6">
        <v>2.8571428571428571E-3</v>
      </c>
      <c r="O1687" s="3">
        <v>0</v>
      </c>
      <c r="P1687">
        <v>70</v>
      </c>
      <c r="Q1687">
        <v>7</v>
      </c>
      <c r="R1687" t="s">
        <v>102</v>
      </c>
      <c r="S1687">
        <v>0</v>
      </c>
      <c r="T1687" s="6">
        <f>10^-(14-Q1687)</f>
        <v>9.9999999999999995E-8</v>
      </c>
      <c r="U1687" s="6">
        <v>0</v>
      </c>
      <c r="V1687" s="6">
        <v>0</v>
      </c>
      <c r="W1687" s="6">
        <v>0</v>
      </c>
      <c r="X1687" s="6">
        <v>0</v>
      </c>
      <c r="Y1687" t="s">
        <v>171</v>
      </c>
      <c r="AD1687">
        <v>0.33333333333333331</v>
      </c>
      <c r="AE1687">
        <v>780</v>
      </c>
      <c r="AF1687">
        <v>1</v>
      </c>
      <c r="AG1687" s="9">
        <v>2.1000000000000001E-2</v>
      </c>
      <c r="AH1687" s="9">
        <v>1.65</v>
      </c>
      <c r="AI1687" s="9">
        <v>0.45</v>
      </c>
      <c r="AL1687" s="9">
        <v>17.2</v>
      </c>
      <c r="AM1687" s="9">
        <v>10.1</v>
      </c>
      <c r="AN1687" s="9">
        <v>2.1</v>
      </c>
      <c r="AO1687" s="9">
        <v>3.7999999999999999E-2</v>
      </c>
    </row>
    <row r="1688" spans="1:41" x14ac:dyDescent="0.3">
      <c r="A1688" t="s">
        <v>414</v>
      </c>
      <c r="B1688" s="1" t="s">
        <v>1598</v>
      </c>
      <c r="C1688">
        <v>75</v>
      </c>
      <c r="D1688" s="8">
        <v>1.4403999999999999</v>
      </c>
      <c r="E1688">
        <v>320</v>
      </c>
      <c r="G1688" t="s">
        <v>29</v>
      </c>
      <c r="H1688" t="s">
        <v>987</v>
      </c>
      <c r="J1688" s="3">
        <v>18</v>
      </c>
      <c r="K1688" s="4">
        <v>0.16666666666666666</v>
      </c>
      <c r="L1688" t="s">
        <v>172</v>
      </c>
      <c r="M1688" t="s">
        <v>28</v>
      </c>
      <c r="N1688" s="6">
        <v>0.01</v>
      </c>
      <c r="O1688" s="3">
        <v>0</v>
      </c>
      <c r="P1688">
        <v>70</v>
      </c>
      <c r="Q1688">
        <v>7</v>
      </c>
      <c r="R1688" t="s">
        <v>102</v>
      </c>
      <c r="S1688">
        <v>0</v>
      </c>
      <c r="T1688" s="6">
        <f>10^-(14-Q1688)</f>
        <v>9.9999999999999995E-8</v>
      </c>
      <c r="U1688" s="6">
        <v>0</v>
      </c>
      <c r="V1688" s="6">
        <v>0</v>
      </c>
      <c r="W1688" s="6">
        <v>0</v>
      </c>
      <c r="X1688" s="6">
        <v>0</v>
      </c>
      <c r="Y1688" t="s">
        <v>171</v>
      </c>
      <c r="AD1688">
        <v>0.33333333333333331</v>
      </c>
      <c r="AE1688">
        <v>520</v>
      </c>
      <c r="AF1688">
        <v>1</v>
      </c>
      <c r="AG1688" s="9">
        <v>2.1000000000000001E-2</v>
      </c>
      <c r="AH1688" s="9">
        <v>1.65</v>
      </c>
      <c r="AI1688" s="9">
        <v>0.45</v>
      </c>
      <c r="AL1688" s="9">
        <v>17.2</v>
      </c>
      <c r="AM1688" s="9">
        <v>10.1</v>
      </c>
      <c r="AN1688" s="9">
        <v>2.1</v>
      </c>
      <c r="AO1688" s="9">
        <v>3.7999999999999999E-2</v>
      </c>
    </row>
    <row r="1689" spans="1:41" x14ac:dyDescent="0.3">
      <c r="A1689" t="s">
        <v>415</v>
      </c>
      <c r="B1689" s="1" t="s">
        <v>1598</v>
      </c>
      <c r="C1689">
        <v>75</v>
      </c>
      <c r="D1689" s="8">
        <v>1.4403999999999999</v>
      </c>
      <c r="E1689">
        <v>320</v>
      </c>
      <c r="G1689" t="s">
        <v>29</v>
      </c>
      <c r="H1689" t="s">
        <v>987</v>
      </c>
      <c r="J1689" s="3">
        <v>18</v>
      </c>
      <c r="K1689" s="4">
        <v>0.16666666666666666</v>
      </c>
      <c r="L1689" t="s">
        <v>172</v>
      </c>
      <c r="M1689" t="s">
        <v>28</v>
      </c>
      <c r="N1689" s="6">
        <v>2.8571428571428574E-2</v>
      </c>
      <c r="O1689" s="3">
        <v>0</v>
      </c>
      <c r="P1689">
        <v>70</v>
      </c>
      <c r="Q1689">
        <v>7</v>
      </c>
      <c r="R1689" t="s">
        <v>102</v>
      </c>
      <c r="S1689">
        <v>0</v>
      </c>
      <c r="T1689" s="6">
        <f>10^-(14-Q1689)</f>
        <v>9.9999999999999995E-8</v>
      </c>
      <c r="U1689" s="6">
        <v>0</v>
      </c>
      <c r="V1689" s="6">
        <v>0</v>
      </c>
      <c r="W1689" s="6">
        <v>0</v>
      </c>
      <c r="X1689" s="6">
        <v>0</v>
      </c>
      <c r="Y1689" t="s">
        <v>171</v>
      </c>
      <c r="AD1689">
        <v>0.33333333333333331</v>
      </c>
      <c r="AE1689">
        <v>480</v>
      </c>
      <c r="AF1689">
        <v>1</v>
      </c>
      <c r="AG1689" s="9">
        <v>2.1000000000000001E-2</v>
      </c>
      <c r="AH1689" s="9">
        <v>1.65</v>
      </c>
      <c r="AI1689" s="9">
        <v>0.45</v>
      </c>
      <c r="AL1689" s="9">
        <v>17.2</v>
      </c>
      <c r="AM1689" s="9">
        <v>10.1</v>
      </c>
      <c r="AN1689" s="9">
        <v>2.1</v>
      </c>
      <c r="AO1689" s="9">
        <v>3.7999999999999999E-2</v>
      </c>
    </row>
    <row r="1690" spans="1:41" x14ac:dyDescent="0.3">
      <c r="A1690" t="s">
        <v>416</v>
      </c>
      <c r="B1690" s="1" t="s">
        <v>1598</v>
      </c>
      <c r="C1690">
        <v>75</v>
      </c>
      <c r="D1690" s="8">
        <v>1.4403999999999999</v>
      </c>
      <c r="E1690">
        <v>320</v>
      </c>
      <c r="G1690" t="s">
        <v>29</v>
      </c>
      <c r="H1690" t="s">
        <v>987</v>
      </c>
      <c r="J1690" s="3">
        <v>18</v>
      </c>
      <c r="K1690" s="4">
        <v>0.16666666666666666</v>
      </c>
      <c r="L1690" t="s">
        <v>172</v>
      </c>
      <c r="M1690" t="s">
        <v>28</v>
      </c>
      <c r="N1690" s="6">
        <v>0.1</v>
      </c>
      <c r="O1690" s="3">
        <v>0</v>
      </c>
      <c r="P1690">
        <v>70</v>
      </c>
      <c r="Q1690">
        <v>7</v>
      </c>
      <c r="R1690" t="s">
        <v>102</v>
      </c>
      <c r="S1690">
        <v>0</v>
      </c>
      <c r="T1690" s="6">
        <f>10^-(14-Q1690)</f>
        <v>9.9999999999999995E-8</v>
      </c>
      <c r="U1690" s="6">
        <v>0</v>
      </c>
      <c r="V1690" s="6">
        <v>0</v>
      </c>
      <c r="W1690" s="6">
        <v>0</v>
      </c>
      <c r="X1690" s="6">
        <v>0</v>
      </c>
      <c r="Y1690" t="s">
        <v>171</v>
      </c>
      <c r="AD1690">
        <v>0.33333333333333331</v>
      </c>
      <c r="AE1690">
        <v>380</v>
      </c>
      <c r="AF1690">
        <v>1</v>
      </c>
      <c r="AG1690" s="9">
        <v>2.1000000000000001E-2</v>
      </c>
      <c r="AH1690" s="9">
        <v>1.65</v>
      </c>
      <c r="AI1690" s="9">
        <v>0.45</v>
      </c>
      <c r="AL1690" s="9">
        <v>17.2</v>
      </c>
      <c r="AM1690" s="9">
        <v>10.1</v>
      </c>
      <c r="AN1690" s="9">
        <v>2.1</v>
      </c>
      <c r="AO1690" s="9">
        <v>3.7999999999999999E-2</v>
      </c>
    </row>
    <row r="1691" spans="1:41" x14ac:dyDescent="0.3">
      <c r="A1691" t="s">
        <v>417</v>
      </c>
      <c r="B1691" s="1" t="s">
        <v>1598</v>
      </c>
      <c r="C1691">
        <v>75</v>
      </c>
      <c r="D1691" s="8">
        <v>1.4403999999999999</v>
      </c>
      <c r="E1691">
        <v>320</v>
      </c>
      <c r="G1691" t="s">
        <v>29</v>
      </c>
      <c r="H1691" t="s">
        <v>987</v>
      </c>
      <c r="J1691" s="3">
        <v>18</v>
      </c>
      <c r="K1691" s="4">
        <v>0.16666666666666666</v>
      </c>
      <c r="L1691" t="s">
        <v>172</v>
      </c>
      <c r="M1691" t="s">
        <v>28</v>
      </c>
      <c r="N1691" s="6">
        <v>0.28571428571428575</v>
      </c>
      <c r="O1691" s="3">
        <v>0</v>
      </c>
      <c r="P1691">
        <v>70</v>
      </c>
      <c r="Q1691">
        <v>7</v>
      </c>
      <c r="R1691" t="s">
        <v>102</v>
      </c>
      <c r="S1691">
        <v>0</v>
      </c>
      <c r="T1691" s="6">
        <f>10^-(14-Q1691)</f>
        <v>9.9999999999999995E-8</v>
      </c>
      <c r="U1691" s="6">
        <v>0</v>
      </c>
      <c r="V1691" s="6">
        <v>0</v>
      </c>
      <c r="W1691" s="6">
        <v>0</v>
      </c>
      <c r="X1691" s="6">
        <v>0</v>
      </c>
      <c r="Y1691" t="s">
        <v>171</v>
      </c>
      <c r="AD1691">
        <v>0.33333333333333331</v>
      </c>
      <c r="AE1691">
        <v>260</v>
      </c>
      <c r="AF1691">
        <v>1</v>
      </c>
      <c r="AG1691" s="9">
        <v>2.1000000000000001E-2</v>
      </c>
      <c r="AH1691" s="9">
        <v>1.65</v>
      </c>
      <c r="AI1691" s="9">
        <v>0.45</v>
      </c>
      <c r="AL1691" s="9">
        <v>17.2</v>
      </c>
      <c r="AM1691" s="9">
        <v>10.1</v>
      </c>
      <c r="AN1691" s="9">
        <v>2.1</v>
      </c>
      <c r="AO1691" s="9">
        <v>3.7999999999999999E-2</v>
      </c>
    </row>
    <row r="1692" spans="1:41" x14ac:dyDescent="0.3">
      <c r="A1692" t="s">
        <v>418</v>
      </c>
      <c r="B1692" s="1" t="s">
        <v>1598</v>
      </c>
      <c r="C1692">
        <v>75</v>
      </c>
      <c r="D1692" s="8">
        <v>1.4403999999999999</v>
      </c>
      <c r="E1692">
        <v>320</v>
      </c>
      <c r="G1692" t="s">
        <v>29</v>
      </c>
      <c r="H1692" t="s">
        <v>987</v>
      </c>
      <c r="J1692" s="3">
        <v>18</v>
      </c>
      <c r="K1692" s="4">
        <v>0.16666666666666666</v>
      </c>
      <c r="L1692" t="s">
        <v>172</v>
      </c>
      <c r="M1692" t="s">
        <v>28</v>
      </c>
      <c r="N1692" s="6">
        <v>1</v>
      </c>
      <c r="O1692" s="3">
        <v>0</v>
      </c>
      <c r="P1692">
        <v>70</v>
      </c>
      <c r="Q1692">
        <v>7</v>
      </c>
      <c r="R1692" t="s">
        <v>102</v>
      </c>
      <c r="S1692">
        <v>0</v>
      </c>
      <c r="T1692" s="6">
        <f>10^-(14-Q1692)</f>
        <v>9.9999999999999995E-8</v>
      </c>
      <c r="U1692" s="6">
        <v>0</v>
      </c>
      <c r="V1692" s="6">
        <v>0</v>
      </c>
      <c r="W1692" s="6">
        <v>0</v>
      </c>
      <c r="X1692" s="6">
        <v>0</v>
      </c>
      <c r="Y1692" t="s">
        <v>171</v>
      </c>
      <c r="AD1692">
        <v>0.33333333333333331</v>
      </c>
      <c r="AE1692">
        <v>220</v>
      </c>
      <c r="AF1692">
        <v>1</v>
      </c>
      <c r="AG1692" s="9">
        <v>2.1000000000000001E-2</v>
      </c>
      <c r="AH1692" s="9">
        <v>1.65</v>
      </c>
      <c r="AI1692" s="9">
        <v>0.45</v>
      </c>
      <c r="AL1692" s="9">
        <v>17.2</v>
      </c>
      <c r="AM1692" s="9">
        <v>10.1</v>
      </c>
      <c r="AN1692" s="9">
        <v>2.1</v>
      </c>
      <c r="AO1692" s="9">
        <v>3.7999999999999999E-2</v>
      </c>
    </row>
    <row r="1693" spans="1:41" x14ac:dyDescent="0.3">
      <c r="A1693" t="s">
        <v>419</v>
      </c>
      <c r="B1693" s="1" t="s">
        <v>1598</v>
      </c>
      <c r="C1693">
        <v>75</v>
      </c>
      <c r="D1693" s="8">
        <v>1.4403999999999999</v>
      </c>
      <c r="E1693">
        <v>320</v>
      </c>
      <c r="G1693" t="s">
        <v>29</v>
      </c>
      <c r="H1693" t="s">
        <v>987</v>
      </c>
      <c r="J1693" s="3">
        <v>18</v>
      </c>
      <c r="K1693" s="4">
        <v>0.16666666666666666</v>
      </c>
      <c r="L1693" t="s">
        <v>172</v>
      </c>
      <c r="M1693" t="s">
        <v>28</v>
      </c>
      <c r="N1693" s="6">
        <v>2.8571428571428572</v>
      </c>
      <c r="O1693" s="3">
        <v>0</v>
      </c>
      <c r="P1693">
        <v>70</v>
      </c>
      <c r="Q1693">
        <v>7</v>
      </c>
      <c r="R1693" t="s">
        <v>102</v>
      </c>
      <c r="S1693">
        <v>0</v>
      </c>
      <c r="T1693" s="6">
        <f>10^-(14-Q1693)</f>
        <v>9.9999999999999995E-8</v>
      </c>
      <c r="U1693" s="6">
        <v>0</v>
      </c>
      <c r="V1693" s="6">
        <v>0</v>
      </c>
      <c r="W1693" s="6">
        <v>0</v>
      </c>
      <c r="X1693" s="6">
        <v>0</v>
      </c>
      <c r="Y1693" t="s">
        <v>171</v>
      </c>
      <c r="AD1693">
        <v>0.33333333333333331</v>
      </c>
      <c r="AE1693">
        <v>160</v>
      </c>
      <c r="AF1693">
        <v>1</v>
      </c>
      <c r="AG1693" s="9">
        <v>2.1000000000000001E-2</v>
      </c>
      <c r="AH1693" s="9">
        <v>1.65</v>
      </c>
      <c r="AI1693" s="9">
        <v>0.45</v>
      </c>
      <c r="AL1693" s="9">
        <v>17.2</v>
      </c>
      <c r="AM1693" s="9">
        <v>10.1</v>
      </c>
      <c r="AN1693" s="9">
        <v>2.1</v>
      </c>
      <c r="AO1693" s="9">
        <v>3.7999999999999999E-2</v>
      </c>
    </row>
    <row r="1694" spans="1:41" x14ac:dyDescent="0.3">
      <c r="A1694" t="s">
        <v>420</v>
      </c>
      <c r="B1694" s="1" t="s">
        <v>1598</v>
      </c>
      <c r="C1694">
        <v>75</v>
      </c>
      <c r="D1694" s="8">
        <v>1.4403999999999999</v>
      </c>
      <c r="E1694">
        <v>320</v>
      </c>
      <c r="G1694" t="s">
        <v>29</v>
      </c>
      <c r="H1694" t="s">
        <v>987</v>
      </c>
      <c r="J1694" s="3">
        <v>18</v>
      </c>
      <c r="K1694" s="4">
        <v>0.16666666666666666</v>
      </c>
      <c r="L1694" t="s">
        <v>172</v>
      </c>
      <c r="M1694" t="s">
        <v>28</v>
      </c>
      <c r="N1694" s="6">
        <v>1E-3</v>
      </c>
      <c r="O1694" s="3">
        <v>0</v>
      </c>
      <c r="P1694">
        <v>80</v>
      </c>
      <c r="Q1694">
        <v>7</v>
      </c>
      <c r="R1694" t="s">
        <v>102</v>
      </c>
      <c r="S1694">
        <v>0</v>
      </c>
      <c r="T1694" s="6">
        <f>10^-(14-Q1694)</f>
        <v>9.9999999999999995E-8</v>
      </c>
      <c r="U1694" s="6">
        <v>0</v>
      </c>
      <c r="V1694" s="6">
        <v>0</v>
      </c>
      <c r="W1694" s="6">
        <v>0</v>
      </c>
      <c r="X1694" s="6">
        <v>0</v>
      </c>
      <c r="Y1694" t="s">
        <v>171</v>
      </c>
      <c r="AD1694">
        <v>0.33333333333333331</v>
      </c>
      <c r="AE1694">
        <v>800</v>
      </c>
      <c r="AF1694">
        <v>1</v>
      </c>
      <c r="AG1694" s="9">
        <v>2.1000000000000001E-2</v>
      </c>
      <c r="AH1694" s="9">
        <v>1.65</v>
      </c>
      <c r="AI1694" s="9">
        <v>0.45</v>
      </c>
      <c r="AL1694" s="9">
        <v>17.2</v>
      </c>
      <c r="AM1694" s="9">
        <v>10.1</v>
      </c>
      <c r="AN1694" s="9">
        <v>2.1</v>
      </c>
      <c r="AO1694" s="9">
        <v>3.7999999999999999E-2</v>
      </c>
    </row>
    <row r="1695" spans="1:41" x14ac:dyDescent="0.3">
      <c r="A1695" t="s">
        <v>421</v>
      </c>
      <c r="B1695" s="1" t="s">
        <v>1598</v>
      </c>
      <c r="C1695">
        <v>75</v>
      </c>
      <c r="D1695" s="8">
        <v>1.4403999999999999</v>
      </c>
      <c r="E1695">
        <v>320</v>
      </c>
      <c r="G1695" t="s">
        <v>29</v>
      </c>
      <c r="H1695" t="s">
        <v>987</v>
      </c>
      <c r="J1695" s="3">
        <v>18</v>
      </c>
      <c r="K1695" s="4">
        <v>0.16666666666666666</v>
      </c>
      <c r="L1695" t="s">
        <v>172</v>
      </c>
      <c r="M1695" t="s">
        <v>28</v>
      </c>
      <c r="N1695" s="6">
        <v>2.8571428571428571E-3</v>
      </c>
      <c r="O1695" s="3">
        <v>0</v>
      </c>
      <c r="P1695">
        <v>80</v>
      </c>
      <c r="Q1695">
        <v>7</v>
      </c>
      <c r="R1695" t="s">
        <v>102</v>
      </c>
      <c r="S1695">
        <v>0</v>
      </c>
      <c r="T1695" s="6">
        <f>10^-(14-Q1695)</f>
        <v>9.9999999999999995E-8</v>
      </c>
      <c r="U1695" s="6">
        <v>0</v>
      </c>
      <c r="V1695" s="6">
        <v>0</v>
      </c>
      <c r="W1695" s="6">
        <v>0</v>
      </c>
      <c r="X1695" s="6">
        <v>0</v>
      </c>
      <c r="Y1695" t="s">
        <v>171</v>
      </c>
      <c r="AD1695">
        <v>0.33333333333333331</v>
      </c>
      <c r="AE1695">
        <v>700</v>
      </c>
      <c r="AF1695">
        <v>1</v>
      </c>
      <c r="AG1695" s="9">
        <v>2.1000000000000001E-2</v>
      </c>
      <c r="AH1695" s="9">
        <v>1.65</v>
      </c>
      <c r="AI1695" s="9">
        <v>0.45</v>
      </c>
      <c r="AL1695" s="9">
        <v>17.2</v>
      </c>
      <c r="AM1695" s="9">
        <v>10.1</v>
      </c>
      <c r="AN1695" s="9">
        <v>2.1</v>
      </c>
      <c r="AO1695" s="9">
        <v>3.7999999999999999E-2</v>
      </c>
    </row>
    <row r="1696" spans="1:41" x14ac:dyDescent="0.3">
      <c r="A1696" t="s">
        <v>422</v>
      </c>
      <c r="B1696" s="1" t="s">
        <v>1598</v>
      </c>
      <c r="C1696">
        <v>75</v>
      </c>
      <c r="D1696" s="8">
        <v>1.4403999999999999</v>
      </c>
      <c r="E1696">
        <v>320</v>
      </c>
      <c r="G1696" t="s">
        <v>29</v>
      </c>
      <c r="H1696" t="s">
        <v>987</v>
      </c>
      <c r="J1696" s="3">
        <v>18</v>
      </c>
      <c r="K1696" s="4">
        <v>0.16666666666666666</v>
      </c>
      <c r="L1696" t="s">
        <v>172</v>
      </c>
      <c r="M1696" t="s">
        <v>28</v>
      </c>
      <c r="N1696" s="6">
        <v>0.01</v>
      </c>
      <c r="O1696" s="3">
        <v>0</v>
      </c>
      <c r="P1696">
        <v>80</v>
      </c>
      <c r="Q1696">
        <v>7</v>
      </c>
      <c r="R1696" t="s">
        <v>102</v>
      </c>
      <c r="S1696">
        <v>0</v>
      </c>
      <c r="T1696" s="6">
        <f>10^-(14-Q1696)</f>
        <v>9.9999999999999995E-8</v>
      </c>
      <c r="U1696" s="6">
        <v>0</v>
      </c>
      <c r="V1696" s="6">
        <v>0</v>
      </c>
      <c r="W1696" s="6">
        <v>0</v>
      </c>
      <c r="X1696" s="6">
        <v>0</v>
      </c>
      <c r="Y1696" t="s">
        <v>171</v>
      </c>
      <c r="AD1696">
        <v>0.33333333333333331</v>
      </c>
      <c r="AE1696">
        <v>420</v>
      </c>
      <c r="AF1696">
        <v>1</v>
      </c>
      <c r="AG1696" s="9">
        <v>2.1000000000000001E-2</v>
      </c>
      <c r="AH1696" s="9">
        <v>1.65</v>
      </c>
      <c r="AI1696" s="9">
        <v>0.45</v>
      </c>
      <c r="AL1696" s="9">
        <v>17.2</v>
      </c>
      <c r="AM1696" s="9">
        <v>10.1</v>
      </c>
      <c r="AN1696" s="9">
        <v>2.1</v>
      </c>
      <c r="AO1696" s="9">
        <v>3.7999999999999999E-2</v>
      </c>
    </row>
    <row r="1697" spans="1:41" x14ac:dyDescent="0.3">
      <c r="A1697" t="s">
        <v>423</v>
      </c>
      <c r="B1697" s="1" t="s">
        <v>1598</v>
      </c>
      <c r="C1697">
        <v>75</v>
      </c>
      <c r="D1697" s="8">
        <v>1.4403999999999999</v>
      </c>
      <c r="E1697">
        <v>320</v>
      </c>
      <c r="G1697" t="s">
        <v>29</v>
      </c>
      <c r="H1697" t="s">
        <v>987</v>
      </c>
      <c r="J1697" s="3">
        <v>18</v>
      </c>
      <c r="K1697" s="4">
        <v>0.16666666666666666</v>
      </c>
      <c r="L1697" t="s">
        <v>172</v>
      </c>
      <c r="M1697" t="s">
        <v>28</v>
      </c>
      <c r="N1697" s="6">
        <v>2.8571428571428574E-2</v>
      </c>
      <c r="O1697" s="3">
        <v>0</v>
      </c>
      <c r="P1697">
        <v>80</v>
      </c>
      <c r="Q1697">
        <v>7</v>
      </c>
      <c r="R1697" t="s">
        <v>102</v>
      </c>
      <c r="S1697">
        <v>0</v>
      </c>
      <c r="T1697" s="6">
        <f>10^-(14-Q1697)</f>
        <v>9.9999999999999995E-8</v>
      </c>
      <c r="U1697" s="6">
        <v>0</v>
      </c>
      <c r="V1697" s="6">
        <v>0</v>
      </c>
      <c r="W1697" s="6">
        <v>0</v>
      </c>
      <c r="X1697" s="6">
        <v>0</v>
      </c>
      <c r="Y1697" t="s">
        <v>171</v>
      </c>
      <c r="AD1697">
        <v>0.33333333333333331</v>
      </c>
      <c r="AE1697">
        <v>430</v>
      </c>
      <c r="AF1697">
        <v>1</v>
      </c>
      <c r="AG1697" s="9">
        <v>2.1000000000000001E-2</v>
      </c>
      <c r="AH1697" s="9">
        <v>1.65</v>
      </c>
      <c r="AI1697" s="9">
        <v>0.45</v>
      </c>
      <c r="AL1697" s="9">
        <v>17.2</v>
      </c>
      <c r="AM1697" s="9">
        <v>10.1</v>
      </c>
      <c r="AN1697" s="9">
        <v>2.1</v>
      </c>
      <c r="AO1697" s="9">
        <v>3.7999999999999999E-2</v>
      </c>
    </row>
    <row r="1698" spans="1:41" x14ac:dyDescent="0.3">
      <c r="A1698" t="s">
        <v>424</v>
      </c>
      <c r="B1698" s="1" t="s">
        <v>1598</v>
      </c>
      <c r="C1698">
        <v>75</v>
      </c>
      <c r="D1698" s="8">
        <v>1.4403999999999999</v>
      </c>
      <c r="E1698">
        <v>320</v>
      </c>
      <c r="G1698" t="s">
        <v>29</v>
      </c>
      <c r="H1698" t="s">
        <v>987</v>
      </c>
      <c r="J1698" s="3">
        <v>18</v>
      </c>
      <c r="K1698" s="4">
        <v>0.16666666666666666</v>
      </c>
      <c r="L1698" t="s">
        <v>172</v>
      </c>
      <c r="M1698" t="s">
        <v>28</v>
      </c>
      <c r="N1698" s="6">
        <v>0.1</v>
      </c>
      <c r="O1698" s="3">
        <v>0</v>
      </c>
      <c r="P1698">
        <v>80</v>
      </c>
      <c r="Q1698">
        <v>7</v>
      </c>
      <c r="R1698" t="s">
        <v>102</v>
      </c>
      <c r="S1698">
        <v>0</v>
      </c>
      <c r="T1698" s="6">
        <f>10^-(14-Q1698)</f>
        <v>9.9999999999999995E-8</v>
      </c>
      <c r="U1698" s="6">
        <v>0</v>
      </c>
      <c r="V1698" s="6">
        <v>0</v>
      </c>
      <c r="W1698" s="6">
        <v>0</v>
      </c>
      <c r="X1698" s="6">
        <v>0</v>
      </c>
      <c r="Y1698" t="s">
        <v>171</v>
      </c>
      <c r="AD1698">
        <v>0.33333333333333331</v>
      </c>
      <c r="AE1698">
        <v>320</v>
      </c>
      <c r="AF1698">
        <v>1</v>
      </c>
      <c r="AG1698" s="9">
        <v>2.1000000000000001E-2</v>
      </c>
      <c r="AH1698" s="9">
        <v>1.65</v>
      </c>
      <c r="AI1698" s="9">
        <v>0.45</v>
      </c>
      <c r="AL1698" s="9">
        <v>17.2</v>
      </c>
      <c r="AM1698" s="9">
        <v>10.1</v>
      </c>
      <c r="AN1698" s="9">
        <v>2.1</v>
      </c>
      <c r="AO1698" s="9">
        <v>3.7999999999999999E-2</v>
      </c>
    </row>
    <row r="1699" spans="1:41" x14ac:dyDescent="0.3">
      <c r="A1699" t="s">
        <v>425</v>
      </c>
      <c r="B1699" s="1" t="s">
        <v>1598</v>
      </c>
      <c r="C1699">
        <v>75</v>
      </c>
      <c r="D1699" s="8">
        <v>1.4403999999999999</v>
      </c>
      <c r="E1699">
        <v>320</v>
      </c>
      <c r="G1699" t="s">
        <v>29</v>
      </c>
      <c r="H1699" t="s">
        <v>987</v>
      </c>
      <c r="J1699" s="3">
        <v>18</v>
      </c>
      <c r="K1699" s="4">
        <v>0.16666666666666666</v>
      </c>
      <c r="L1699" t="s">
        <v>172</v>
      </c>
      <c r="M1699" t="s">
        <v>28</v>
      </c>
      <c r="N1699" s="6">
        <v>0.28571428571428575</v>
      </c>
      <c r="O1699" s="3">
        <v>0</v>
      </c>
      <c r="P1699">
        <v>80</v>
      </c>
      <c r="Q1699">
        <v>7</v>
      </c>
      <c r="R1699" t="s">
        <v>102</v>
      </c>
      <c r="S1699">
        <v>0</v>
      </c>
      <c r="T1699" s="6">
        <f>10^-(14-Q1699)</f>
        <v>9.9999999999999995E-8</v>
      </c>
      <c r="U1699" s="6">
        <v>0</v>
      </c>
      <c r="V1699" s="6">
        <v>0</v>
      </c>
      <c r="W1699" s="6">
        <v>0</v>
      </c>
      <c r="X1699" s="6">
        <v>0</v>
      </c>
      <c r="Y1699" t="s">
        <v>171</v>
      </c>
      <c r="AD1699">
        <v>0.33333333333333331</v>
      </c>
      <c r="AE1699">
        <v>300</v>
      </c>
      <c r="AF1699">
        <v>1</v>
      </c>
      <c r="AG1699" s="9">
        <v>2.1000000000000001E-2</v>
      </c>
      <c r="AH1699" s="9">
        <v>1.65</v>
      </c>
      <c r="AI1699" s="9">
        <v>0.45</v>
      </c>
      <c r="AL1699" s="9">
        <v>17.2</v>
      </c>
      <c r="AM1699" s="9">
        <v>10.1</v>
      </c>
      <c r="AN1699" s="9">
        <v>2.1</v>
      </c>
      <c r="AO1699" s="9">
        <v>3.7999999999999999E-2</v>
      </c>
    </row>
    <row r="1700" spans="1:41" x14ac:dyDescent="0.3">
      <c r="A1700" t="s">
        <v>426</v>
      </c>
      <c r="B1700" s="1" t="s">
        <v>1598</v>
      </c>
      <c r="C1700">
        <v>75</v>
      </c>
      <c r="D1700" s="8">
        <v>1.4403999999999999</v>
      </c>
      <c r="E1700">
        <v>320</v>
      </c>
      <c r="G1700" t="s">
        <v>29</v>
      </c>
      <c r="H1700" t="s">
        <v>987</v>
      </c>
      <c r="J1700" s="3">
        <v>18</v>
      </c>
      <c r="K1700" s="4">
        <v>0.16666666666666666</v>
      </c>
      <c r="L1700" t="s">
        <v>172</v>
      </c>
      <c r="M1700" t="s">
        <v>28</v>
      </c>
      <c r="N1700" s="6">
        <v>1</v>
      </c>
      <c r="O1700" s="3">
        <v>0</v>
      </c>
      <c r="P1700">
        <v>80</v>
      </c>
      <c r="Q1700">
        <v>7</v>
      </c>
      <c r="R1700" t="s">
        <v>102</v>
      </c>
      <c r="S1700">
        <v>0</v>
      </c>
      <c r="T1700" s="6">
        <f>10^-(14-Q1700)</f>
        <v>9.9999999999999995E-8</v>
      </c>
      <c r="U1700" s="6">
        <v>0</v>
      </c>
      <c r="V1700" s="6">
        <v>0</v>
      </c>
      <c r="W1700" s="6">
        <v>0</v>
      </c>
      <c r="X1700" s="6">
        <v>0</v>
      </c>
      <c r="Y1700" t="s">
        <v>171</v>
      </c>
      <c r="AD1700">
        <v>0.33333333333333331</v>
      </c>
      <c r="AE1700">
        <v>200</v>
      </c>
      <c r="AF1700">
        <v>1</v>
      </c>
      <c r="AG1700" s="9">
        <v>2.1000000000000001E-2</v>
      </c>
      <c r="AH1700" s="9">
        <v>1.65</v>
      </c>
      <c r="AI1700" s="9">
        <v>0.45</v>
      </c>
      <c r="AL1700" s="9">
        <v>17.2</v>
      </c>
      <c r="AM1700" s="9">
        <v>10.1</v>
      </c>
      <c r="AN1700" s="9">
        <v>2.1</v>
      </c>
      <c r="AO1700" s="9">
        <v>3.7999999999999999E-2</v>
      </c>
    </row>
    <row r="1701" spans="1:41" x14ac:dyDescent="0.3">
      <c r="A1701" t="s">
        <v>427</v>
      </c>
      <c r="B1701" s="1" t="s">
        <v>1598</v>
      </c>
      <c r="C1701">
        <v>75</v>
      </c>
      <c r="D1701" s="8">
        <v>1.4403999999999999</v>
      </c>
      <c r="E1701">
        <v>320</v>
      </c>
      <c r="G1701" t="s">
        <v>29</v>
      </c>
      <c r="H1701" t="s">
        <v>987</v>
      </c>
      <c r="J1701" s="3">
        <v>18</v>
      </c>
      <c r="K1701" s="4">
        <v>0.16666666666666666</v>
      </c>
      <c r="L1701" t="s">
        <v>172</v>
      </c>
      <c r="M1701" t="s">
        <v>28</v>
      </c>
      <c r="N1701" s="6">
        <v>2.8571428571428572</v>
      </c>
      <c r="O1701" s="3">
        <v>0</v>
      </c>
      <c r="P1701">
        <v>80</v>
      </c>
      <c r="Q1701">
        <v>7</v>
      </c>
      <c r="R1701" t="s">
        <v>102</v>
      </c>
      <c r="S1701">
        <v>0</v>
      </c>
      <c r="T1701" s="6">
        <f>10^-(14-Q1701)</f>
        <v>9.9999999999999995E-8</v>
      </c>
      <c r="U1701" s="6">
        <v>0</v>
      </c>
      <c r="V1701" s="6">
        <v>0</v>
      </c>
      <c r="W1701" s="6">
        <v>0</v>
      </c>
      <c r="X1701" s="6">
        <v>0</v>
      </c>
      <c r="Y1701" t="s">
        <v>171</v>
      </c>
      <c r="AD1701">
        <v>0.33333333333333331</v>
      </c>
      <c r="AE1701">
        <v>20</v>
      </c>
      <c r="AF1701">
        <v>1</v>
      </c>
      <c r="AG1701" s="9">
        <v>2.1000000000000001E-2</v>
      </c>
      <c r="AH1701" s="9">
        <v>1.65</v>
      </c>
      <c r="AI1701" s="9">
        <v>0.45</v>
      </c>
      <c r="AL1701" s="9">
        <v>17.2</v>
      </c>
      <c r="AM1701" s="9">
        <v>10.1</v>
      </c>
      <c r="AN1701" s="9">
        <v>2.1</v>
      </c>
      <c r="AO1701" s="9">
        <v>3.7999999999999999E-2</v>
      </c>
    </row>
    <row r="1702" spans="1:41" x14ac:dyDescent="0.3">
      <c r="A1702" t="s">
        <v>596</v>
      </c>
      <c r="B1702" s="1" t="s">
        <v>1611</v>
      </c>
      <c r="C1702">
        <v>76</v>
      </c>
      <c r="D1702" s="8" t="s">
        <v>1629</v>
      </c>
      <c r="E1702">
        <v>2000</v>
      </c>
      <c r="H1702" t="s">
        <v>987</v>
      </c>
      <c r="N1702" s="3">
        <f>35/58.44</f>
        <v>0.59890485968514717</v>
      </c>
      <c r="O1702" s="3">
        <v>0</v>
      </c>
      <c r="P1702">
        <v>20</v>
      </c>
      <c r="Q1702">
        <v>6.5</v>
      </c>
      <c r="R1702" t="s">
        <v>102</v>
      </c>
      <c r="S1702">
        <v>0</v>
      </c>
      <c r="T1702" s="6">
        <f>10^-(14-Q1702)</f>
        <v>3.1622776601683699E-8</v>
      </c>
      <c r="U1702" s="6">
        <v>0</v>
      </c>
      <c r="V1702" s="6">
        <v>0</v>
      </c>
      <c r="W1702" s="6">
        <v>0</v>
      </c>
      <c r="X1702" s="6">
        <v>0</v>
      </c>
      <c r="Y1702" t="s">
        <v>171</v>
      </c>
      <c r="Z1702" s="5">
        <v>-182.5</v>
      </c>
      <c r="AD1702">
        <v>10</v>
      </c>
      <c r="AE1702">
        <v>496.1</v>
      </c>
      <c r="AF1702">
        <v>1</v>
      </c>
      <c r="AG1702" s="9">
        <v>0.09</v>
      </c>
      <c r="AH1702" s="9">
        <v>1.5</v>
      </c>
      <c r="AI1702" s="9">
        <v>0.67</v>
      </c>
      <c r="AJ1702" s="9">
        <v>5.0000000000000001E-3</v>
      </c>
      <c r="AK1702" s="9">
        <v>5.0000000000000001E-3</v>
      </c>
      <c r="AL1702" s="9">
        <v>17.100000000000001</v>
      </c>
      <c r="AM1702" s="9">
        <v>8.67</v>
      </c>
      <c r="AN1702" s="9">
        <v>2.66</v>
      </c>
    </row>
    <row r="1703" spans="1:41" x14ac:dyDescent="0.3">
      <c r="A1703" t="s">
        <v>597</v>
      </c>
      <c r="B1703" s="1" t="s">
        <v>1611</v>
      </c>
      <c r="C1703">
        <v>76</v>
      </c>
      <c r="D1703" s="8" t="s">
        <v>1629</v>
      </c>
      <c r="E1703">
        <v>2000</v>
      </c>
      <c r="H1703" t="s">
        <v>987</v>
      </c>
      <c r="N1703" s="3">
        <f>35/58.44</f>
        <v>0.59890485968514717</v>
      </c>
      <c r="O1703" s="3">
        <v>0</v>
      </c>
      <c r="P1703">
        <v>30</v>
      </c>
      <c r="Q1703">
        <v>6.5</v>
      </c>
      <c r="R1703" t="s">
        <v>102</v>
      </c>
      <c r="S1703">
        <v>0</v>
      </c>
      <c r="T1703" s="6">
        <f>10^-(14-Q1703)</f>
        <v>3.1622776601683699E-8</v>
      </c>
      <c r="U1703" s="6">
        <v>0</v>
      </c>
      <c r="V1703" s="6">
        <v>0</v>
      </c>
      <c r="W1703" s="6">
        <v>0</v>
      </c>
      <c r="X1703" s="6">
        <v>0</v>
      </c>
      <c r="Y1703" t="s">
        <v>171</v>
      </c>
      <c r="Z1703" s="5">
        <v>-216</v>
      </c>
      <c r="AD1703">
        <v>10</v>
      </c>
      <c r="AE1703">
        <v>412.2</v>
      </c>
      <c r="AF1703">
        <v>1</v>
      </c>
      <c r="AG1703" s="9">
        <v>0.09</v>
      </c>
      <c r="AH1703" s="9">
        <v>1.5</v>
      </c>
      <c r="AI1703" s="9">
        <v>0.67</v>
      </c>
      <c r="AJ1703" s="9">
        <v>5.0000000000000001E-3</v>
      </c>
      <c r="AK1703" s="9">
        <v>5.0000000000000001E-3</v>
      </c>
      <c r="AL1703" s="9">
        <v>17.100000000000001</v>
      </c>
      <c r="AM1703" s="9">
        <v>8.67</v>
      </c>
      <c r="AN1703" s="9">
        <v>2.66</v>
      </c>
    </row>
    <row r="1704" spans="1:41" x14ac:dyDescent="0.3">
      <c r="A1704" t="s">
        <v>598</v>
      </c>
      <c r="B1704" s="1" t="s">
        <v>1611</v>
      </c>
      <c r="C1704">
        <v>76</v>
      </c>
      <c r="D1704" s="8" t="s">
        <v>1629</v>
      </c>
      <c r="E1704">
        <v>2000</v>
      </c>
      <c r="H1704" t="s">
        <v>987</v>
      </c>
      <c r="N1704" s="3">
        <f>35/58.44</f>
        <v>0.59890485968514717</v>
      </c>
      <c r="O1704" s="3">
        <v>0</v>
      </c>
      <c r="P1704">
        <v>40</v>
      </c>
      <c r="Q1704">
        <v>6.5</v>
      </c>
      <c r="R1704" t="s">
        <v>102</v>
      </c>
      <c r="S1704">
        <v>0</v>
      </c>
      <c r="T1704" s="6">
        <f>10^-(14-Q1704)</f>
        <v>3.1622776601683699E-8</v>
      </c>
      <c r="U1704" s="6">
        <v>0</v>
      </c>
      <c r="V1704" s="6">
        <v>0</v>
      </c>
      <c r="W1704" s="6">
        <v>0</v>
      </c>
      <c r="X1704" s="6">
        <v>0</v>
      </c>
      <c r="Y1704" t="s">
        <v>171</v>
      </c>
      <c r="Z1704" s="5">
        <v>-221</v>
      </c>
      <c r="AD1704">
        <v>10</v>
      </c>
      <c r="AE1704">
        <v>350</v>
      </c>
      <c r="AF1704">
        <v>1</v>
      </c>
      <c r="AG1704" s="9">
        <v>0.09</v>
      </c>
      <c r="AH1704" s="9">
        <v>1.5</v>
      </c>
      <c r="AI1704" s="9">
        <v>0.67</v>
      </c>
      <c r="AJ1704" s="9">
        <v>5.0000000000000001E-3</v>
      </c>
      <c r="AK1704" s="9">
        <v>5.0000000000000001E-3</v>
      </c>
      <c r="AL1704" s="9">
        <v>17.100000000000001</v>
      </c>
      <c r="AM1704" s="9">
        <v>8.67</v>
      </c>
      <c r="AN1704" s="9">
        <v>2.66</v>
      </c>
    </row>
    <row r="1705" spans="1:41" x14ac:dyDescent="0.3">
      <c r="A1705" t="s">
        <v>599</v>
      </c>
      <c r="B1705" s="1" t="s">
        <v>1611</v>
      </c>
      <c r="C1705">
        <v>76</v>
      </c>
      <c r="D1705" s="8" t="s">
        <v>1629</v>
      </c>
      <c r="E1705">
        <v>2000</v>
      </c>
      <c r="H1705" t="s">
        <v>987</v>
      </c>
      <c r="N1705" s="3">
        <f>35/58.44</f>
        <v>0.59890485968514717</v>
      </c>
      <c r="O1705" s="3">
        <v>0</v>
      </c>
      <c r="P1705">
        <v>50</v>
      </c>
      <c r="Q1705">
        <v>6.5</v>
      </c>
      <c r="R1705" t="s">
        <v>102</v>
      </c>
      <c r="S1705">
        <v>0</v>
      </c>
      <c r="T1705" s="6">
        <f>10^-(14-Q1705)</f>
        <v>3.1622776601683699E-8</v>
      </c>
      <c r="U1705" s="6">
        <v>0</v>
      </c>
      <c r="V1705" s="6">
        <v>0</v>
      </c>
      <c r="W1705" s="6">
        <v>0</v>
      </c>
      <c r="X1705" s="6">
        <v>0</v>
      </c>
      <c r="Y1705" t="s">
        <v>171</v>
      </c>
      <c r="Z1705" s="5">
        <v>-244.1</v>
      </c>
      <c r="AD1705">
        <v>10</v>
      </c>
      <c r="AE1705">
        <v>237</v>
      </c>
      <c r="AF1705">
        <v>1</v>
      </c>
      <c r="AG1705" s="9">
        <v>0.09</v>
      </c>
      <c r="AH1705" s="9">
        <v>1.5</v>
      </c>
      <c r="AI1705" s="9">
        <v>0.67</v>
      </c>
      <c r="AJ1705" s="9">
        <v>5.0000000000000001E-3</v>
      </c>
      <c r="AK1705" s="9">
        <v>5.0000000000000001E-3</v>
      </c>
      <c r="AL1705" s="9">
        <v>17.100000000000001</v>
      </c>
      <c r="AM1705" s="9">
        <v>8.67</v>
      </c>
      <c r="AN1705" s="9">
        <v>2.66</v>
      </c>
    </row>
    <row r="1706" spans="1:41" x14ac:dyDescent="0.3">
      <c r="A1706" t="s">
        <v>592</v>
      </c>
      <c r="B1706" s="1" t="s">
        <v>1611</v>
      </c>
      <c r="C1706">
        <v>76</v>
      </c>
      <c r="D1706" s="8">
        <v>1.4300999999999999</v>
      </c>
      <c r="E1706">
        <v>2000</v>
      </c>
      <c r="H1706" t="s">
        <v>987</v>
      </c>
      <c r="N1706" s="3">
        <f>35/58.44</f>
        <v>0.59890485968514717</v>
      </c>
      <c r="O1706" s="3">
        <v>0</v>
      </c>
      <c r="P1706">
        <v>20</v>
      </c>
      <c r="Q1706">
        <v>6.5</v>
      </c>
      <c r="R1706" t="s">
        <v>102</v>
      </c>
      <c r="S1706">
        <v>0</v>
      </c>
      <c r="T1706" s="6">
        <f>10^-(14-Q1706)</f>
        <v>3.1622776601683699E-8</v>
      </c>
      <c r="U1706" s="6">
        <v>0</v>
      </c>
      <c r="V1706" s="6">
        <v>0</v>
      </c>
      <c r="W1706" s="6">
        <v>0</v>
      </c>
      <c r="X1706" s="6">
        <v>0</v>
      </c>
      <c r="Y1706" t="s">
        <v>171</v>
      </c>
      <c r="Z1706" s="5">
        <v>-227</v>
      </c>
      <c r="AD1706">
        <v>10</v>
      </c>
      <c r="AE1706">
        <v>333.2</v>
      </c>
      <c r="AF1706">
        <v>1</v>
      </c>
      <c r="AG1706" s="9">
        <v>0.06</v>
      </c>
      <c r="AH1706" s="9">
        <v>1.37</v>
      </c>
      <c r="AI1706" s="9">
        <v>0.98599999999999999</v>
      </c>
      <c r="AJ1706" s="9">
        <v>5.0000000000000001E-3</v>
      </c>
      <c r="AK1706" s="9">
        <v>5.0000000000000001E-3</v>
      </c>
      <c r="AL1706" s="9">
        <v>19.3</v>
      </c>
      <c r="AM1706" s="9">
        <v>9.6999999999999993</v>
      </c>
      <c r="AN1706" s="9">
        <v>0.122</v>
      </c>
    </row>
    <row r="1707" spans="1:41" x14ac:dyDescent="0.3">
      <c r="A1707" t="s">
        <v>593</v>
      </c>
      <c r="B1707" s="1" t="s">
        <v>1611</v>
      </c>
      <c r="C1707">
        <v>76</v>
      </c>
      <c r="D1707" s="8">
        <v>1.4300999999999999</v>
      </c>
      <c r="E1707">
        <v>2000</v>
      </c>
      <c r="H1707" t="s">
        <v>987</v>
      </c>
      <c r="N1707" s="3">
        <f>35/58.44</f>
        <v>0.59890485968514717</v>
      </c>
      <c r="O1707" s="3">
        <v>0</v>
      </c>
      <c r="P1707">
        <v>30</v>
      </c>
      <c r="Q1707">
        <v>6.5</v>
      </c>
      <c r="R1707" t="s">
        <v>102</v>
      </c>
      <c r="S1707">
        <v>0</v>
      </c>
      <c r="T1707" s="6">
        <f>10^-(14-Q1707)</f>
        <v>3.1622776601683699E-8</v>
      </c>
      <c r="U1707" s="6">
        <v>0</v>
      </c>
      <c r="V1707" s="6">
        <v>0</v>
      </c>
      <c r="W1707" s="6">
        <v>0</v>
      </c>
      <c r="X1707" s="6">
        <v>0</v>
      </c>
      <c r="Y1707" t="s">
        <v>171</v>
      </c>
      <c r="Z1707" s="5">
        <v>-236</v>
      </c>
      <c r="AD1707">
        <v>10</v>
      </c>
      <c r="AE1707">
        <v>305.10000000000002</v>
      </c>
      <c r="AF1707">
        <v>1</v>
      </c>
      <c r="AG1707" s="9">
        <v>0.06</v>
      </c>
      <c r="AH1707" s="9">
        <v>1.37</v>
      </c>
      <c r="AI1707" s="9">
        <v>0.98599999999999999</v>
      </c>
      <c r="AJ1707" s="9">
        <v>5.0000000000000001E-3</v>
      </c>
      <c r="AK1707" s="9">
        <v>5.0000000000000001E-3</v>
      </c>
      <c r="AL1707" s="9">
        <v>19.3</v>
      </c>
      <c r="AM1707" s="9">
        <v>9.6999999999999993</v>
      </c>
      <c r="AN1707" s="9">
        <v>0.122</v>
      </c>
    </row>
    <row r="1708" spans="1:41" x14ac:dyDescent="0.3">
      <c r="A1708" t="s">
        <v>594</v>
      </c>
      <c r="B1708" s="1" t="s">
        <v>1611</v>
      </c>
      <c r="C1708">
        <v>76</v>
      </c>
      <c r="D1708" s="8">
        <v>1.4300999999999999</v>
      </c>
      <c r="E1708">
        <v>2000</v>
      </c>
      <c r="H1708" t="s">
        <v>987</v>
      </c>
      <c r="N1708" s="3">
        <f>35/58.44</f>
        <v>0.59890485968514717</v>
      </c>
      <c r="O1708" s="3">
        <v>0</v>
      </c>
      <c r="P1708">
        <v>40</v>
      </c>
      <c r="Q1708">
        <v>6.5</v>
      </c>
      <c r="R1708" t="s">
        <v>102</v>
      </c>
      <c r="S1708">
        <v>0</v>
      </c>
      <c r="T1708" s="6">
        <f>10^-(14-Q1708)</f>
        <v>3.1622776601683699E-8</v>
      </c>
      <c r="U1708" s="6">
        <v>0</v>
      </c>
      <c r="V1708" s="6">
        <v>0</v>
      </c>
      <c r="W1708" s="6">
        <v>0</v>
      </c>
      <c r="X1708" s="6">
        <v>0</v>
      </c>
      <c r="Y1708" t="s">
        <v>171</v>
      </c>
      <c r="Z1708" s="5">
        <v>-257</v>
      </c>
      <c r="AD1708">
        <v>10</v>
      </c>
      <c r="AE1708">
        <v>216.4</v>
      </c>
      <c r="AF1708">
        <v>1</v>
      </c>
      <c r="AG1708" s="9">
        <v>0.06</v>
      </c>
      <c r="AH1708" s="9">
        <v>1.37</v>
      </c>
      <c r="AI1708" s="9">
        <v>0.98599999999999999</v>
      </c>
      <c r="AJ1708" s="9">
        <v>5.0000000000000001E-3</v>
      </c>
      <c r="AK1708" s="9">
        <v>5.0000000000000001E-3</v>
      </c>
      <c r="AL1708" s="9">
        <v>19.3</v>
      </c>
      <c r="AM1708" s="9">
        <v>9.6999999999999993</v>
      </c>
      <c r="AN1708" s="9">
        <v>0.122</v>
      </c>
    </row>
    <row r="1709" spans="1:41" x14ac:dyDescent="0.3">
      <c r="A1709" t="s">
        <v>595</v>
      </c>
      <c r="B1709" s="1" t="s">
        <v>1611</v>
      </c>
      <c r="C1709">
        <v>76</v>
      </c>
      <c r="D1709" s="8">
        <v>1.4300999999999999</v>
      </c>
      <c r="E1709">
        <v>2000</v>
      </c>
      <c r="H1709" t="s">
        <v>987</v>
      </c>
      <c r="N1709" s="3">
        <f>35/58.44</f>
        <v>0.59890485968514717</v>
      </c>
      <c r="O1709" s="3">
        <v>0</v>
      </c>
      <c r="P1709">
        <v>50</v>
      </c>
      <c r="Q1709">
        <v>6.5</v>
      </c>
      <c r="R1709" t="s">
        <v>102</v>
      </c>
      <c r="S1709">
        <v>0</v>
      </c>
      <c r="T1709" s="6">
        <f>10^-(14-Q1709)</f>
        <v>3.1622776601683699E-8</v>
      </c>
      <c r="U1709" s="6">
        <v>0</v>
      </c>
      <c r="V1709" s="6">
        <v>0</v>
      </c>
      <c r="W1709" s="6">
        <v>0</v>
      </c>
      <c r="X1709" s="6">
        <v>0</v>
      </c>
      <c r="Y1709" t="s">
        <v>171</v>
      </c>
      <c r="Z1709" s="5">
        <v>-253.3</v>
      </c>
      <c r="AD1709">
        <v>10</v>
      </c>
      <c r="AE1709">
        <v>94.3</v>
      </c>
      <c r="AF1709">
        <v>1</v>
      </c>
      <c r="AG1709" s="9">
        <v>0.06</v>
      </c>
      <c r="AH1709" s="9">
        <v>1.37</v>
      </c>
      <c r="AI1709" s="9">
        <v>0.98599999999999999</v>
      </c>
      <c r="AJ1709" s="9">
        <v>5.0000000000000001E-3</v>
      </c>
      <c r="AK1709" s="9">
        <v>5.0000000000000001E-3</v>
      </c>
      <c r="AL1709" s="9">
        <v>19.3</v>
      </c>
      <c r="AM1709" s="9">
        <v>9.6999999999999993</v>
      </c>
      <c r="AN1709" s="9">
        <v>0.122</v>
      </c>
    </row>
    <row r="1710" spans="1:41" x14ac:dyDescent="0.3">
      <c r="A1710" t="s">
        <v>801</v>
      </c>
      <c r="B1710" t="s">
        <v>1616</v>
      </c>
      <c r="C1710">
        <v>77</v>
      </c>
      <c r="D1710" s="8" t="s">
        <v>781</v>
      </c>
      <c r="H1710" t="s">
        <v>987</v>
      </c>
      <c r="K1710" s="4">
        <v>8.3333333333333329E-2</v>
      </c>
      <c r="N1710" s="3">
        <v>0.6</v>
      </c>
      <c r="O1710" s="3">
        <v>0</v>
      </c>
      <c r="P1710">
        <v>22.5</v>
      </c>
      <c r="Q1710">
        <v>6.5</v>
      </c>
      <c r="R1710" t="s">
        <v>778</v>
      </c>
      <c r="S1710">
        <v>1.2</v>
      </c>
      <c r="T1710" s="6">
        <f>10^-(14-Q1710)</f>
        <v>3.1622776601683699E-8</v>
      </c>
      <c r="U1710" s="6">
        <v>1.2</v>
      </c>
      <c r="V1710" s="6">
        <v>0</v>
      </c>
      <c r="W1710" s="6">
        <v>0</v>
      </c>
      <c r="X1710" s="6">
        <v>0</v>
      </c>
      <c r="Y1710" t="s">
        <v>171</v>
      </c>
      <c r="AD1710">
        <v>1</v>
      </c>
      <c r="AE1710">
        <v>270</v>
      </c>
      <c r="AF1710">
        <v>1</v>
      </c>
      <c r="AG1710" s="9">
        <v>2.9000000000000001E-2</v>
      </c>
      <c r="AH1710" s="9">
        <v>5.82</v>
      </c>
      <c r="AI1710" s="9">
        <v>0.32</v>
      </c>
      <c r="AJ1710" s="9">
        <v>3.5000000000000003E-2</v>
      </c>
      <c r="AK1710" s="9">
        <v>1E-3</v>
      </c>
      <c r="AL1710" s="9">
        <v>17.2</v>
      </c>
      <c r="AM1710" s="9">
        <v>4.6399999999999997</v>
      </c>
      <c r="AN1710" s="9">
        <v>2.3E-2</v>
      </c>
      <c r="AO1710" s="9">
        <v>6.1499999999999999E-2</v>
      </c>
    </row>
    <row r="1711" spans="1:41" x14ac:dyDescent="0.3">
      <c r="A1711" t="s">
        <v>802</v>
      </c>
      <c r="B1711" t="s">
        <v>1616</v>
      </c>
      <c r="C1711">
        <v>77</v>
      </c>
      <c r="D1711" s="8" t="s">
        <v>781</v>
      </c>
      <c r="H1711" t="s">
        <v>987</v>
      </c>
      <c r="K1711" s="4">
        <v>8.3333333333333329E-2</v>
      </c>
      <c r="N1711" s="3">
        <v>0.6</v>
      </c>
      <c r="O1711" s="3">
        <v>0</v>
      </c>
      <c r="P1711">
        <v>22.5</v>
      </c>
      <c r="Q1711">
        <v>6.5</v>
      </c>
      <c r="R1711" t="s">
        <v>778</v>
      </c>
      <c r="S1711">
        <v>1.2</v>
      </c>
      <c r="T1711" s="6">
        <f>10^-(14-Q1711)</f>
        <v>3.1622776601683699E-8</v>
      </c>
      <c r="U1711" s="6">
        <v>1.2</v>
      </c>
      <c r="V1711" s="6">
        <v>0</v>
      </c>
      <c r="W1711" s="6">
        <v>0</v>
      </c>
      <c r="X1711" s="6">
        <v>0</v>
      </c>
      <c r="Y1711" t="s">
        <v>171</v>
      </c>
      <c r="AD1711">
        <v>1</v>
      </c>
      <c r="AE1711">
        <v>270</v>
      </c>
      <c r="AF1711">
        <v>1</v>
      </c>
      <c r="AG1711" s="9">
        <v>2.9000000000000001E-2</v>
      </c>
      <c r="AH1711" s="9">
        <v>5.82</v>
      </c>
      <c r="AI1711" s="9">
        <v>0.32</v>
      </c>
      <c r="AJ1711" s="9">
        <v>3.5000000000000003E-2</v>
      </c>
      <c r="AK1711" s="9">
        <v>1E-3</v>
      </c>
      <c r="AL1711" s="9">
        <v>17.2</v>
      </c>
      <c r="AM1711" s="9">
        <v>4.6399999999999997</v>
      </c>
      <c r="AN1711" s="9">
        <v>2.3E-2</v>
      </c>
      <c r="AO1711" s="9">
        <v>6.1499999999999999E-2</v>
      </c>
    </row>
    <row r="1712" spans="1:41" x14ac:dyDescent="0.3">
      <c r="A1712" t="s">
        <v>803</v>
      </c>
      <c r="B1712" t="s">
        <v>1616</v>
      </c>
      <c r="C1712">
        <v>77</v>
      </c>
      <c r="D1712" s="8" t="s">
        <v>781</v>
      </c>
      <c r="H1712" t="s">
        <v>987</v>
      </c>
      <c r="K1712" s="4">
        <v>8.3333333333333329E-2</v>
      </c>
      <c r="N1712" s="3">
        <v>0.6</v>
      </c>
      <c r="O1712" s="3">
        <v>0</v>
      </c>
      <c r="P1712">
        <v>22.5</v>
      </c>
      <c r="Q1712">
        <v>6.5</v>
      </c>
      <c r="R1712" t="s">
        <v>778</v>
      </c>
      <c r="S1712">
        <v>1.2</v>
      </c>
      <c r="T1712" s="6">
        <f>10^-(14-Q1712)</f>
        <v>3.1622776601683699E-8</v>
      </c>
      <c r="U1712" s="6">
        <v>1.2</v>
      </c>
      <c r="V1712" s="6">
        <v>0</v>
      </c>
      <c r="W1712" s="6">
        <v>0</v>
      </c>
      <c r="X1712" s="6">
        <v>0</v>
      </c>
      <c r="Y1712" t="s">
        <v>171</v>
      </c>
      <c r="AD1712">
        <v>1</v>
      </c>
      <c r="AE1712">
        <v>350</v>
      </c>
      <c r="AF1712">
        <v>1</v>
      </c>
      <c r="AG1712" s="9">
        <v>2.9000000000000001E-2</v>
      </c>
      <c r="AH1712" s="9">
        <v>5.82</v>
      </c>
      <c r="AI1712" s="9">
        <v>0.32</v>
      </c>
      <c r="AJ1712" s="9">
        <v>3.5000000000000003E-2</v>
      </c>
      <c r="AK1712" s="9">
        <v>1E-3</v>
      </c>
      <c r="AL1712" s="9">
        <v>17.2</v>
      </c>
      <c r="AM1712" s="9">
        <v>4.6399999999999997</v>
      </c>
      <c r="AN1712" s="9">
        <v>2.3E-2</v>
      </c>
      <c r="AO1712" s="9">
        <v>6.1499999999999999E-2</v>
      </c>
    </row>
    <row r="1713" spans="1:41" x14ac:dyDescent="0.3">
      <c r="A1713" t="s">
        <v>804</v>
      </c>
      <c r="B1713" t="s">
        <v>1616</v>
      </c>
      <c r="C1713">
        <v>77</v>
      </c>
      <c r="D1713" s="8" t="s">
        <v>781</v>
      </c>
      <c r="H1713" t="s">
        <v>987</v>
      </c>
      <c r="K1713" s="4">
        <v>8.3333333333333329E-2</v>
      </c>
      <c r="N1713" s="3">
        <v>0.6</v>
      </c>
      <c r="O1713" s="3">
        <v>0</v>
      </c>
      <c r="P1713">
        <v>22.5</v>
      </c>
      <c r="Q1713">
        <v>6.5</v>
      </c>
      <c r="R1713" t="s">
        <v>778</v>
      </c>
      <c r="S1713">
        <v>1.2</v>
      </c>
      <c r="T1713" s="6">
        <f>10^-(14-Q1713)</f>
        <v>3.1622776601683699E-8</v>
      </c>
      <c r="U1713" s="6">
        <v>1.2</v>
      </c>
      <c r="V1713" s="6">
        <v>0</v>
      </c>
      <c r="W1713" s="6">
        <v>0</v>
      </c>
      <c r="X1713" s="6">
        <v>0</v>
      </c>
      <c r="Y1713" t="s">
        <v>171</v>
      </c>
      <c r="AD1713">
        <v>1</v>
      </c>
      <c r="AE1713">
        <v>450</v>
      </c>
      <c r="AF1713">
        <v>1</v>
      </c>
      <c r="AG1713" s="9">
        <v>2.9000000000000001E-2</v>
      </c>
      <c r="AH1713" s="9">
        <v>5.82</v>
      </c>
      <c r="AI1713" s="9">
        <v>0.32</v>
      </c>
      <c r="AJ1713" s="9">
        <v>3.5000000000000003E-2</v>
      </c>
      <c r="AK1713" s="9">
        <v>1E-3</v>
      </c>
      <c r="AL1713" s="9">
        <v>17.2</v>
      </c>
      <c r="AM1713" s="9">
        <v>4.6399999999999997</v>
      </c>
      <c r="AN1713" s="9">
        <v>2.3E-2</v>
      </c>
      <c r="AO1713" s="9">
        <v>6.1499999999999999E-2</v>
      </c>
    </row>
    <row r="1714" spans="1:41" x14ac:dyDescent="0.3">
      <c r="A1714" t="s">
        <v>805</v>
      </c>
      <c r="B1714" t="s">
        <v>1616</v>
      </c>
      <c r="C1714">
        <v>77</v>
      </c>
      <c r="D1714" s="8" t="s">
        <v>781</v>
      </c>
      <c r="H1714" t="s">
        <v>987</v>
      </c>
      <c r="K1714" s="4">
        <v>8.3333333333333329E-2</v>
      </c>
      <c r="N1714" s="3">
        <v>0.6</v>
      </c>
      <c r="O1714" s="3">
        <v>0</v>
      </c>
      <c r="P1714">
        <v>22.5</v>
      </c>
      <c r="Q1714">
        <v>6.5</v>
      </c>
      <c r="R1714" t="s">
        <v>778</v>
      </c>
      <c r="S1714">
        <v>1.2</v>
      </c>
      <c r="T1714" s="6">
        <f>10^-(14-Q1714)</f>
        <v>3.1622776601683699E-8</v>
      </c>
      <c r="U1714" s="6">
        <v>1.2</v>
      </c>
      <c r="V1714" s="6">
        <v>0</v>
      </c>
      <c r="W1714" s="6">
        <v>0</v>
      </c>
      <c r="X1714" s="6">
        <v>0</v>
      </c>
      <c r="Y1714" t="s">
        <v>171</v>
      </c>
      <c r="AD1714">
        <v>1</v>
      </c>
      <c r="AE1714">
        <v>450</v>
      </c>
      <c r="AF1714">
        <v>1</v>
      </c>
      <c r="AG1714" s="9">
        <v>2.9000000000000001E-2</v>
      </c>
      <c r="AH1714" s="9">
        <v>5.82</v>
      </c>
      <c r="AI1714" s="9">
        <v>0.32</v>
      </c>
      <c r="AJ1714" s="9">
        <v>3.5000000000000003E-2</v>
      </c>
      <c r="AK1714" s="9">
        <v>1E-3</v>
      </c>
      <c r="AL1714" s="9">
        <v>17.2</v>
      </c>
      <c r="AM1714" s="9">
        <v>4.6399999999999997</v>
      </c>
      <c r="AN1714" s="9">
        <v>2.3E-2</v>
      </c>
      <c r="AO1714" s="9">
        <v>6.1499999999999999E-2</v>
      </c>
    </row>
    <row r="1715" spans="1:41" x14ac:dyDescent="0.3">
      <c r="A1715" t="s">
        <v>806</v>
      </c>
      <c r="B1715" t="s">
        <v>1616</v>
      </c>
      <c r="C1715">
        <v>77</v>
      </c>
      <c r="D1715" s="8" t="s">
        <v>781</v>
      </c>
      <c r="H1715" t="s">
        <v>987</v>
      </c>
      <c r="K1715" s="4">
        <v>8.3333333333333329E-2</v>
      </c>
      <c r="N1715" s="3">
        <v>0.6</v>
      </c>
      <c r="O1715" s="3">
        <v>0</v>
      </c>
      <c r="P1715">
        <v>22.5</v>
      </c>
      <c r="Q1715">
        <v>6.5</v>
      </c>
      <c r="R1715" t="s">
        <v>780</v>
      </c>
      <c r="S1715">
        <v>0.3</v>
      </c>
      <c r="T1715" s="6">
        <f>10^-(14-Q1715)</f>
        <v>3.1622776601683699E-8</v>
      </c>
      <c r="U1715" s="6">
        <v>0.3</v>
      </c>
      <c r="V1715" s="6">
        <v>0</v>
      </c>
      <c r="W1715" s="6">
        <v>0</v>
      </c>
      <c r="X1715" s="6">
        <v>0</v>
      </c>
      <c r="Y1715" t="s">
        <v>171</v>
      </c>
      <c r="AD1715">
        <v>1</v>
      </c>
      <c r="AE1715">
        <v>170</v>
      </c>
      <c r="AF1715">
        <v>1</v>
      </c>
      <c r="AG1715" s="9">
        <v>2.9000000000000001E-2</v>
      </c>
      <c r="AH1715" s="9">
        <v>5.82</v>
      </c>
      <c r="AI1715" s="9">
        <v>0.32</v>
      </c>
      <c r="AJ1715" s="9">
        <v>3.5000000000000003E-2</v>
      </c>
      <c r="AK1715" s="9">
        <v>1E-3</v>
      </c>
      <c r="AL1715" s="9">
        <v>17.2</v>
      </c>
      <c r="AM1715" s="9">
        <v>4.6399999999999997</v>
      </c>
      <c r="AN1715" s="9">
        <v>2.3E-2</v>
      </c>
      <c r="AO1715" s="9">
        <v>6.1499999999999999E-2</v>
      </c>
    </row>
    <row r="1716" spans="1:41" x14ac:dyDescent="0.3">
      <c r="A1716" t="s">
        <v>807</v>
      </c>
      <c r="B1716" t="s">
        <v>1616</v>
      </c>
      <c r="C1716">
        <v>77</v>
      </c>
      <c r="D1716" s="8" t="s">
        <v>781</v>
      </c>
      <c r="H1716" t="s">
        <v>987</v>
      </c>
      <c r="K1716" s="4">
        <v>8.3333333333333329E-2</v>
      </c>
      <c r="N1716" s="3">
        <v>0.6</v>
      </c>
      <c r="O1716" s="3">
        <v>0</v>
      </c>
      <c r="P1716">
        <v>22.5</v>
      </c>
      <c r="Q1716">
        <v>6.5</v>
      </c>
      <c r="R1716" t="s">
        <v>780</v>
      </c>
      <c r="S1716">
        <v>0.3</v>
      </c>
      <c r="T1716" s="6">
        <f>10^-(14-Q1716)</f>
        <v>3.1622776601683699E-8</v>
      </c>
      <c r="U1716" s="6">
        <v>0.3</v>
      </c>
      <c r="V1716" s="6">
        <v>0</v>
      </c>
      <c r="W1716" s="6">
        <v>0</v>
      </c>
      <c r="X1716" s="6">
        <v>0</v>
      </c>
      <c r="Y1716" t="s">
        <v>171</v>
      </c>
      <c r="AD1716">
        <v>1</v>
      </c>
      <c r="AE1716">
        <v>230</v>
      </c>
      <c r="AF1716">
        <v>1</v>
      </c>
      <c r="AG1716" s="9">
        <v>2.9000000000000001E-2</v>
      </c>
      <c r="AH1716" s="9">
        <v>5.82</v>
      </c>
      <c r="AI1716" s="9">
        <v>0.32</v>
      </c>
      <c r="AJ1716" s="9">
        <v>3.5000000000000003E-2</v>
      </c>
      <c r="AK1716" s="9">
        <v>1E-3</v>
      </c>
      <c r="AL1716" s="9">
        <v>17.2</v>
      </c>
      <c r="AM1716" s="9">
        <v>4.6399999999999997</v>
      </c>
      <c r="AN1716" s="9">
        <v>2.3E-2</v>
      </c>
      <c r="AO1716" s="9">
        <v>6.1499999999999999E-2</v>
      </c>
    </row>
    <row r="1717" spans="1:41" x14ac:dyDescent="0.3">
      <c r="A1717" t="s">
        <v>808</v>
      </c>
      <c r="B1717" t="s">
        <v>1616</v>
      </c>
      <c r="C1717">
        <v>77</v>
      </c>
      <c r="D1717" s="8" t="s">
        <v>781</v>
      </c>
      <c r="H1717" t="s">
        <v>987</v>
      </c>
      <c r="K1717" s="4">
        <v>8.3333333333333329E-2</v>
      </c>
      <c r="N1717" s="3">
        <v>0.6</v>
      </c>
      <c r="O1717" s="3">
        <v>0</v>
      </c>
      <c r="P1717">
        <v>22.5</v>
      </c>
      <c r="Q1717">
        <v>6.5</v>
      </c>
      <c r="R1717" t="s">
        <v>780</v>
      </c>
      <c r="S1717">
        <v>0.3</v>
      </c>
      <c r="T1717" s="6">
        <f>10^-(14-Q1717)</f>
        <v>3.1622776601683699E-8</v>
      </c>
      <c r="U1717" s="6">
        <v>0.3</v>
      </c>
      <c r="V1717" s="6">
        <v>0</v>
      </c>
      <c r="W1717" s="6">
        <v>0</v>
      </c>
      <c r="X1717" s="6">
        <v>0</v>
      </c>
      <c r="Y1717" t="s">
        <v>171</v>
      </c>
      <c r="AD1717">
        <v>1</v>
      </c>
      <c r="AE1717">
        <v>170</v>
      </c>
      <c r="AF1717">
        <v>1</v>
      </c>
      <c r="AG1717" s="9">
        <v>2.9000000000000001E-2</v>
      </c>
      <c r="AH1717" s="9">
        <v>5.82</v>
      </c>
      <c r="AI1717" s="9">
        <v>0.32</v>
      </c>
      <c r="AJ1717" s="9">
        <v>3.5000000000000003E-2</v>
      </c>
      <c r="AK1717" s="9">
        <v>1E-3</v>
      </c>
      <c r="AL1717" s="9">
        <v>17.2</v>
      </c>
      <c r="AM1717" s="9">
        <v>4.6399999999999997</v>
      </c>
      <c r="AN1717" s="9">
        <v>2.3E-2</v>
      </c>
      <c r="AO1717" s="9">
        <v>6.1499999999999999E-2</v>
      </c>
    </row>
    <row r="1718" spans="1:41" x14ac:dyDescent="0.3">
      <c r="A1718" t="s">
        <v>809</v>
      </c>
      <c r="B1718" t="s">
        <v>1616</v>
      </c>
      <c r="C1718">
        <v>77</v>
      </c>
      <c r="D1718" s="8" t="s">
        <v>781</v>
      </c>
      <c r="H1718" t="s">
        <v>987</v>
      </c>
      <c r="K1718" s="4">
        <v>8.3333333333333329E-2</v>
      </c>
      <c r="N1718" s="3">
        <v>0.6</v>
      </c>
      <c r="O1718" s="3">
        <v>0</v>
      </c>
      <c r="P1718">
        <v>22.5</v>
      </c>
      <c r="Q1718">
        <v>6.5</v>
      </c>
      <c r="R1718" t="s">
        <v>780</v>
      </c>
      <c r="S1718">
        <v>0.3</v>
      </c>
      <c r="T1718" s="6">
        <f>10^-(14-Q1718)</f>
        <v>3.1622776601683699E-8</v>
      </c>
      <c r="U1718" s="6">
        <v>0.3</v>
      </c>
      <c r="V1718" s="6">
        <v>0</v>
      </c>
      <c r="W1718" s="6">
        <v>0</v>
      </c>
      <c r="X1718" s="6">
        <v>0</v>
      </c>
      <c r="Y1718" t="s">
        <v>171</v>
      </c>
      <c r="AD1718">
        <v>1</v>
      </c>
      <c r="AE1718">
        <v>250</v>
      </c>
      <c r="AF1718">
        <v>1</v>
      </c>
      <c r="AG1718" s="9">
        <v>2.9000000000000001E-2</v>
      </c>
      <c r="AH1718" s="9">
        <v>5.82</v>
      </c>
      <c r="AI1718" s="9">
        <v>0.32</v>
      </c>
      <c r="AJ1718" s="9">
        <v>3.5000000000000003E-2</v>
      </c>
      <c r="AK1718" s="9">
        <v>1E-3</v>
      </c>
      <c r="AL1718" s="9">
        <v>17.2</v>
      </c>
      <c r="AM1718" s="9">
        <v>4.6399999999999997</v>
      </c>
      <c r="AN1718" s="9">
        <v>2.3E-2</v>
      </c>
      <c r="AO1718" s="9">
        <v>6.1499999999999999E-2</v>
      </c>
    </row>
    <row r="1719" spans="1:41" x14ac:dyDescent="0.3">
      <c r="A1719" t="s">
        <v>810</v>
      </c>
      <c r="B1719" t="s">
        <v>1616</v>
      </c>
      <c r="C1719">
        <v>77</v>
      </c>
      <c r="D1719" s="8" t="s">
        <v>781</v>
      </c>
      <c r="H1719" t="s">
        <v>987</v>
      </c>
      <c r="K1719" s="4">
        <v>8.3333333333333329E-2</v>
      </c>
      <c r="N1719" s="3">
        <v>0.6</v>
      </c>
      <c r="O1719" s="3">
        <v>0</v>
      </c>
      <c r="P1719">
        <v>22.5</v>
      </c>
      <c r="Q1719">
        <v>6.5</v>
      </c>
      <c r="R1719" t="s">
        <v>780</v>
      </c>
      <c r="S1719">
        <v>0.3</v>
      </c>
      <c r="T1719" s="6">
        <f>10^-(14-Q1719)</f>
        <v>3.1622776601683699E-8</v>
      </c>
      <c r="U1719" s="6">
        <v>0.3</v>
      </c>
      <c r="V1719" s="6">
        <v>0</v>
      </c>
      <c r="W1719" s="6">
        <v>0</v>
      </c>
      <c r="X1719" s="6">
        <v>0</v>
      </c>
      <c r="Y1719" t="s">
        <v>171</v>
      </c>
      <c r="AD1719">
        <v>1</v>
      </c>
      <c r="AE1719">
        <v>230</v>
      </c>
      <c r="AF1719">
        <v>1</v>
      </c>
      <c r="AG1719" s="9">
        <v>2.9000000000000001E-2</v>
      </c>
      <c r="AH1719" s="9">
        <v>5.82</v>
      </c>
      <c r="AI1719" s="9">
        <v>0.32</v>
      </c>
      <c r="AJ1719" s="9">
        <v>3.5000000000000003E-2</v>
      </c>
      <c r="AK1719" s="9">
        <v>1E-3</v>
      </c>
      <c r="AL1719" s="9">
        <v>17.2</v>
      </c>
      <c r="AM1719" s="9">
        <v>4.6399999999999997</v>
      </c>
      <c r="AN1719" s="9">
        <v>2.3E-2</v>
      </c>
      <c r="AO1719" s="9">
        <v>6.1499999999999999E-2</v>
      </c>
    </row>
    <row r="1720" spans="1:41" x14ac:dyDescent="0.3">
      <c r="A1720" t="s">
        <v>811</v>
      </c>
      <c r="B1720" t="s">
        <v>1616</v>
      </c>
      <c r="C1720">
        <v>77</v>
      </c>
      <c r="D1720" s="8" t="s">
        <v>781</v>
      </c>
      <c r="H1720" t="s">
        <v>987</v>
      </c>
      <c r="K1720" s="4">
        <v>8.3333333333333329E-2</v>
      </c>
      <c r="N1720" s="3">
        <v>0.6</v>
      </c>
      <c r="O1720" s="3">
        <v>0</v>
      </c>
      <c r="P1720">
        <v>22.5</v>
      </c>
      <c r="Q1720">
        <v>6.5</v>
      </c>
      <c r="R1720" t="s">
        <v>779</v>
      </c>
      <c r="S1720">
        <v>0.12</v>
      </c>
      <c r="T1720" s="6">
        <f>10^-(14-Q1720)</f>
        <v>3.1622776601683699E-8</v>
      </c>
      <c r="U1720" s="6">
        <v>0.12</v>
      </c>
      <c r="V1720" s="6">
        <v>0</v>
      </c>
      <c r="W1720" s="6">
        <v>0</v>
      </c>
      <c r="X1720" s="6">
        <v>0</v>
      </c>
      <c r="Y1720" t="s">
        <v>171</v>
      </c>
      <c r="AD1720">
        <v>1</v>
      </c>
      <c r="AE1720">
        <v>130</v>
      </c>
      <c r="AF1720">
        <v>1</v>
      </c>
      <c r="AG1720" s="9">
        <v>2.9000000000000001E-2</v>
      </c>
      <c r="AH1720" s="9">
        <v>5.82</v>
      </c>
      <c r="AI1720" s="9">
        <v>0.32</v>
      </c>
      <c r="AJ1720" s="9">
        <v>3.5000000000000003E-2</v>
      </c>
      <c r="AK1720" s="9">
        <v>1E-3</v>
      </c>
      <c r="AL1720" s="9">
        <v>17.2</v>
      </c>
      <c r="AM1720" s="9">
        <v>4.6399999999999997</v>
      </c>
      <c r="AN1720" s="9">
        <v>2.3E-2</v>
      </c>
      <c r="AO1720" s="9">
        <v>6.1499999999999999E-2</v>
      </c>
    </row>
    <row r="1721" spans="1:41" x14ac:dyDescent="0.3">
      <c r="A1721" t="s">
        <v>812</v>
      </c>
      <c r="B1721" t="s">
        <v>1616</v>
      </c>
      <c r="C1721">
        <v>77</v>
      </c>
      <c r="D1721" s="8" t="s">
        <v>781</v>
      </c>
      <c r="H1721" t="s">
        <v>987</v>
      </c>
      <c r="K1721" s="4">
        <v>8.3333333333333329E-2</v>
      </c>
      <c r="N1721" s="3">
        <v>0.6</v>
      </c>
      <c r="O1721" s="3">
        <v>0</v>
      </c>
      <c r="P1721">
        <v>22.5</v>
      </c>
      <c r="Q1721">
        <v>6.5</v>
      </c>
      <c r="R1721" t="s">
        <v>779</v>
      </c>
      <c r="S1721">
        <v>0.12</v>
      </c>
      <c r="T1721" s="6">
        <f>10^-(14-Q1721)</f>
        <v>3.1622776601683699E-8</v>
      </c>
      <c r="U1721" s="6">
        <v>0.12</v>
      </c>
      <c r="V1721" s="6">
        <v>0</v>
      </c>
      <c r="W1721" s="6">
        <v>0</v>
      </c>
      <c r="X1721" s="6">
        <v>0</v>
      </c>
      <c r="Y1721" t="s">
        <v>171</v>
      </c>
      <c r="AD1721">
        <v>1</v>
      </c>
      <c r="AE1721">
        <v>130</v>
      </c>
      <c r="AF1721">
        <v>1</v>
      </c>
      <c r="AG1721" s="9">
        <v>2.9000000000000001E-2</v>
      </c>
      <c r="AH1721" s="9">
        <v>5.82</v>
      </c>
      <c r="AI1721" s="9">
        <v>0.32</v>
      </c>
      <c r="AJ1721" s="9">
        <v>3.5000000000000003E-2</v>
      </c>
      <c r="AK1721" s="9">
        <v>1E-3</v>
      </c>
      <c r="AL1721" s="9">
        <v>17.2</v>
      </c>
      <c r="AM1721" s="9">
        <v>4.6399999999999997</v>
      </c>
      <c r="AN1721" s="9">
        <v>2.3E-2</v>
      </c>
      <c r="AO1721" s="9">
        <v>6.1499999999999999E-2</v>
      </c>
    </row>
    <row r="1722" spans="1:41" x14ac:dyDescent="0.3">
      <c r="A1722" t="s">
        <v>813</v>
      </c>
      <c r="B1722" t="s">
        <v>1616</v>
      </c>
      <c r="C1722">
        <v>77</v>
      </c>
      <c r="D1722" s="8" t="s">
        <v>781</v>
      </c>
      <c r="H1722" t="s">
        <v>987</v>
      </c>
      <c r="K1722" s="4">
        <v>8.3333333333333329E-2</v>
      </c>
      <c r="N1722" s="3">
        <v>0.6</v>
      </c>
      <c r="O1722" s="3">
        <v>0</v>
      </c>
      <c r="P1722">
        <v>22.5</v>
      </c>
      <c r="Q1722">
        <v>6.5</v>
      </c>
      <c r="R1722" t="s">
        <v>779</v>
      </c>
      <c r="S1722">
        <v>0.12</v>
      </c>
      <c r="T1722" s="6">
        <f>10^-(14-Q1722)</f>
        <v>3.1622776601683699E-8</v>
      </c>
      <c r="U1722" s="6">
        <v>0.12</v>
      </c>
      <c r="V1722" s="6">
        <v>0</v>
      </c>
      <c r="W1722" s="6">
        <v>0</v>
      </c>
      <c r="X1722" s="6">
        <v>0</v>
      </c>
      <c r="Y1722" t="s">
        <v>171</v>
      </c>
      <c r="AD1722">
        <v>1</v>
      </c>
      <c r="AE1722">
        <v>70</v>
      </c>
      <c r="AF1722">
        <v>1</v>
      </c>
      <c r="AG1722" s="9">
        <v>2.9000000000000001E-2</v>
      </c>
      <c r="AH1722" s="9">
        <v>5.82</v>
      </c>
      <c r="AI1722" s="9">
        <v>0.32</v>
      </c>
      <c r="AJ1722" s="9">
        <v>3.5000000000000003E-2</v>
      </c>
      <c r="AK1722" s="9">
        <v>1E-3</v>
      </c>
      <c r="AL1722" s="9">
        <v>17.2</v>
      </c>
      <c r="AM1722" s="9">
        <v>4.6399999999999997</v>
      </c>
      <c r="AN1722" s="9">
        <v>2.3E-2</v>
      </c>
      <c r="AO1722" s="9">
        <v>6.1499999999999999E-2</v>
      </c>
    </row>
    <row r="1723" spans="1:41" x14ac:dyDescent="0.3">
      <c r="A1723" t="s">
        <v>814</v>
      </c>
      <c r="B1723" t="s">
        <v>1616</v>
      </c>
      <c r="C1723">
        <v>77</v>
      </c>
      <c r="D1723" s="8" t="s">
        <v>781</v>
      </c>
      <c r="H1723" t="s">
        <v>987</v>
      </c>
      <c r="K1723" s="4">
        <v>8.3333333333333329E-2</v>
      </c>
      <c r="N1723" s="3">
        <v>0.6</v>
      </c>
      <c r="O1723" s="3">
        <v>0</v>
      </c>
      <c r="P1723">
        <v>22.5</v>
      </c>
      <c r="Q1723">
        <v>6.5</v>
      </c>
      <c r="R1723" t="s">
        <v>779</v>
      </c>
      <c r="S1723">
        <v>0.12</v>
      </c>
      <c r="T1723" s="6">
        <f>10^-(14-Q1723)</f>
        <v>3.1622776601683699E-8</v>
      </c>
      <c r="U1723" s="6">
        <v>0.12</v>
      </c>
      <c r="V1723" s="6">
        <v>0</v>
      </c>
      <c r="W1723" s="6">
        <v>0</v>
      </c>
      <c r="X1723" s="6">
        <v>0</v>
      </c>
      <c r="Y1723" t="s">
        <v>171</v>
      </c>
      <c r="AD1723">
        <v>1</v>
      </c>
      <c r="AE1723">
        <v>140</v>
      </c>
      <c r="AF1723">
        <v>1</v>
      </c>
      <c r="AG1723" s="9">
        <v>2.9000000000000001E-2</v>
      </c>
      <c r="AH1723" s="9">
        <v>5.82</v>
      </c>
      <c r="AI1723" s="9">
        <v>0.32</v>
      </c>
      <c r="AJ1723" s="9">
        <v>3.5000000000000003E-2</v>
      </c>
      <c r="AK1723" s="9">
        <v>1E-3</v>
      </c>
      <c r="AL1723" s="9">
        <v>17.2</v>
      </c>
      <c r="AM1723" s="9">
        <v>4.6399999999999997</v>
      </c>
      <c r="AN1723" s="9">
        <v>2.3E-2</v>
      </c>
      <c r="AO1723" s="9">
        <v>6.1499999999999999E-2</v>
      </c>
    </row>
    <row r="1724" spans="1:41" x14ac:dyDescent="0.3">
      <c r="A1724" t="s">
        <v>815</v>
      </c>
      <c r="B1724" t="s">
        <v>1616</v>
      </c>
      <c r="C1724">
        <v>77</v>
      </c>
      <c r="D1724" s="8" t="s">
        <v>781</v>
      </c>
      <c r="H1724" t="s">
        <v>987</v>
      </c>
      <c r="K1724" s="4">
        <v>8.3333333333333329E-2</v>
      </c>
      <c r="N1724" s="3">
        <v>0.6</v>
      </c>
      <c r="O1724" s="3">
        <v>0</v>
      </c>
      <c r="P1724">
        <v>22.5</v>
      </c>
      <c r="Q1724">
        <v>6.5</v>
      </c>
      <c r="R1724" t="s">
        <v>779</v>
      </c>
      <c r="S1724">
        <v>0.12</v>
      </c>
      <c r="T1724" s="6">
        <f>10^-(14-Q1724)</f>
        <v>3.1622776601683699E-8</v>
      </c>
      <c r="U1724" s="6">
        <v>0.12</v>
      </c>
      <c r="V1724" s="6">
        <v>0</v>
      </c>
      <c r="W1724" s="6">
        <v>0</v>
      </c>
      <c r="X1724" s="6">
        <v>0</v>
      </c>
      <c r="Y1724" t="s">
        <v>171</v>
      </c>
      <c r="AD1724">
        <v>1</v>
      </c>
      <c r="AE1724">
        <v>160</v>
      </c>
      <c r="AF1724">
        <v>1</v>
      </c>
      <c r="AG1724" s="9">
        <v>2.9000000000000001E-2</v>
      </c>
      <c r="AH1724" s="9">
        <v>5.82</v>
      </c>
      <c r="AI1724" s="9">
        <v>0.32</v>
      </c>
      <c r="AJ1724" s="9">
        <v>3.5000000000000003E-2</v>
      </c>
      <c r="AK1724" s="9">
        <v>1E-3</v>
      </c>
      <c r="AL1724" s="9">
        <v>17.2</v>
      </c>
      <c r="AM1724" s="9">
        <v>4.6399999999999997</v>
      </c>
      <c r="AN1724" s="9">
        <v>2.3E-2</v>
      </c>
      <c r="AO1724" s="9">
        <v>6.1499999999999999E-2</v>
      </c>
    </row>
    <row r="1725" spans="1:41" x14ac:dyDescent="0.3">
      <c r="A1725" t="s">
        <v>816</v>
      </c>
      <c r="B1725" t="s">
        <v>1616</v>
      </c>
      <c r="C1725">
        <v>77</v>
      </c>
      <c r="D1725" s="8" t="s">
        <v>781</v>
      </c>
      <c r="H1725" t="s">
        <v>987</v>
      </c>
      <c r="K1725" s="4">
        <v>8.3333333333333329E-2</v>
      </c>
      <c r="N1725" s="3">
        <v>0.6</v>
      </c>
      <c r="O1725" s="3">
        <v>0</v>
      </c>
      <c r="P1725">
        <v>22.5</v>
      </c>
      <c r="Q1725">
        <v>6.5</v>
      </c>
      <c r="R1725" t="s">
        <v>102</v>
      </c>
      <c r="S1725">
        <v>0</v>
      </c>
      <c r="T1725" s="6">
        <f>10^-(14-Q1725)</f>
        <v>3.1622776601683699E-8</v>
      </c>
      <c r="U1725" s="6">
        <v>0</v>
      </c>
      <c r="V1725" s="6">
        <v>0</v>
      </c>
      <c r="W1725" s="6">
        <v>0</v>
      </c>
      <c r="X1725" s="6">
        <v>0</v>
      </c>
      <c r="Y1725" t="s">
        <v>171</v>
      </c>
      <c r="AD1725">
        <v>1</v>
      </c>
      <c r="AE1725">
        <v>100</v>
      </c>
      <c r="AF1725">
        <v>1</v>
      </c>
      <c r="AG1725" s="9">
        <v>2.9000000000000001E-2</v>
      </c>
      <c r="AH1725" s="9">
        <v>5.82</v>
      </c>
      <c r="AI1725" s="9">
        <v>0.32</v>
      </c>
      <c r="AJ1725" s="9">
        <v>3.5000000000000003E-2</v>
      </c>
      <c r="AK1725" s="9">
        <v>1E-3</v>
      </c>
      <c r="AL1725" s="9">
        <v>17.2</v>
      </c>
      <c r="AM1725" s="9">
        <v>4.6399999999999997</v>
      </c>
      <c r="AN1725" s="9">
        <v>2.3E-2</v>
      </c>
      <c r="AO1725" s="9">
        <v>6.1499999999999999E-2</v>
      </c>
    </row>
    <row r="1726" spans="1:41" x14ac:dyDescent="0.3">
      <c r="A1726" t="s">
        <v>817</v>
      </c>
      <c r="B1726" t="s">
        <v>1616</v>
      </c>
      <c r="C1726">
        <v>77</v>
      </c>
      <c r="D1726" s="8" t="s">
        <v>781</v>
      </c>
      <c r="H1726" t="s">
        <v>987</v>
      </c>
      <c r="K1726" s="4">
        <v>8.3333333333333329E-2</v>
      </c>
      <c r="N1726" s="3">
        <v>0.6</v>
      </c>
      <c r="O1726" s="3">
        <v>0</v>
      </c>
      <c r="P1726">
        <v>22.5</v>
      </c>
      <c r="Q1726">
        <v>6.5</v>
      </c>
      <c r="R1726" t="s">
        <v>102</v>
      </c>
      <c r="S1726">
        <v>0</v>
      </c>
      <c r="T1726" s="6">
        <f>10^-(14-Q1726)</f>
        <v>3.1622776601683699E-8</v>
      </c>
      <c r="U1726" s="6">
        <v>0</v>
      </c>
      <c r="V1726" s="6">
        <v>0</v>
      </c>
      <c r="W1726" s="6">
        <v>0</v>
      </c>
      <c r="X1726" s="6">
        <v>0</v>
      </c>
      <c r="Y1726" t="s">
        <v>171</v>
      </c>
      <c r="AD1726">
        <v>1</v>
      </c>
      <c r="AE1726">
        <v>40</v>
      </c>
      <c r="AF1726">
        <v>1</v>
      </c>
      <c r="AG1726" s="9">
        <v>2.9000000000000001E-2</v>
      </c>
      <c r="AH1726" s="9">
        <v>5.82</v>
      </c>
      <c r="AI1726" s="9">
        <v>0.32</v>
      </c>
      <c r="AJ1726" s="9">
        <v>3.5000000000000003E-2</v>
      </c>
      <c r="AK1726" s="9">
        <v>1E-3</v>
      </c>
      <c r="AL1726" s="9">
        <v>17.2</v>
      </c>
      <c r="AM1726" s="9">
        <v>4.6399999999999997</v>
      </c>
      <c r="AN1726" s="9">
        <v>2.3E-2</v>
      </c>
      <c r="AO1726" s="9">
        <v>6.1499999999999999E-2</v>
      </c>
    </row>
    <row r="1727" spans="1:41" x14ac:dyDescent="0.3">
      <c r="A1727" t="s">
        <v>818</v>
      </c>
      <c r="B1727" t="s">
        <v>1616</v>
      </c>
      <c r="C1727">
        <v>77</v>
      </c>
      <c r="D1727" s="8" t="s">
        <v>781</v>
      </c>
      <c r="H1727" t="s">
        <v>987</v>
      </c>
      <c r="K1727" s="4">
        <v>8.3333333333333329E-2</v>
      </c>
      <c r="N1727" s="3">
        <v>0.6</v>
      </c>
      <c r="O1727" s="3">
        <v>0</v>
      </c>
      <c r="P1727">
        <v>22.5</v>
      </c>
      <c r="Q1727">
        <v>6.5</v>
      </c>
      <c r="R1727" t="s">
        <v>102</v>
      </c>
      <c r="S1727">
        <v>0</v>
      </c>
      <c r="T1727" s="6">
        <f>10^-(14-Q1727)</f>
        <v>3.1622776601683699E-8</v>
      </c>
      <c r="U1727" s="6">
        <v>0</v>
      </c>
      <c r="V1727" s="6">
        <v>0</v>
      </c>
      <c r="W1727" s="6">
        <v>0</v>
      </c>
      <c r="X1727" s="6">
        <v>0</v>
      </c>
      <c r="Y1727" t="s">
        <v>171</v>
      </c>
      <c r="AD1727">
        <v>1</v>
      </c>
      <c r="AE1727">
        <v>40</v>
      </c>
      <c r="AF1727">
        <v>1</v>
      </c>
      <c r="AG1727" s="9">
        <v>2.9000000000000001E-2</v>
      </c>
      <c r="AH1727" s="9">
        <v>5.82</v>
      </c>
      <c r="AI1727" s="9">
        <v>0.32</v>
      </c>
      <c r="AJ1727" s="9">
        <v>3.5000000000000003E-2</v>
      </c>
      <c r="AK1727" s="9">
        <v>1E-3</v>
      </c>
      <c r="AL1727" s="9">
        <v>17.2</v>
      </c>
      <c r="AM1727" s="9">
        <v>4.6399999999999997</v>
      </c>
      <c r="AN1727" s="9">
        <v>2.3E-2</v>
      </c>
      <c r="AO1727" s="9">
        <v>6.1499999999999999E-2</v>
      </c>
    </row>
    <row r="1728" spans="1:41" x14ac:dyDescent="0.3">
      <c r="A1728" t="s">
        <v>819</v>
      </c>
      <c r="B1728" t="s">
        <v>1616</v>
      </c>
      <c r="C1728">
        <v>77</v>
      </c>
      <c r="D1728" s="8" t="s">
        <v>781</v>
      </c>
      <c r="H1728" t="s">
        <v>987</v>
      </c>
      <c r="K1728" s="4">
        <v>8.3333333333333329E-2</v>
      </c>
      <c r="N1728" s="3">
        <v>0.6</v>
      </c>
      <c r="O1728" s="3">
        <v>0</v>
      </c>
      <c r="P1728">
        <v>22.5</v>
      </c>
      <c r="Q1728">
        <v>6.5</v>
      </c>
      <c r="R1728" t="s">
        <v>102</v>
      </c>
      <c r="S1728">
        <v>0</v>
      </c>
      <c r="T1728" s="6">
        <f>10^-(14-Q1728)</f>
        <v>3.1622776601683699E-8</v>
      </c>
      <c r="U1728" s="6">
        <v>0</v>
      </c>
      <c r="V1728" s="6">
        <v>0</v>
      </c>
      <c r="W1728" s="6">
        <v>0</v>
      </c>
      <c r="X1728" s="6">
        <v>0</v>
      </c>
      <c r="Y1728" t="s">
        <v>171</v>
      </c>
      <c r="AD1728">
        <v>1</v>
      </c>
      <c r="AE1728">
        <v>30</v>
      </c>
      <c r="AF1728">
        <v>1</v>
      </c>
      <c r="AG1728" s="9">
        <v>2.9000000000000001E-2</v>
      </c>
      <c r="AH1728" s="9">
        <v>5.82</v>
      </c>
      <c r="AI1728" s="9">
        <v>0.32</v>
      </c>
      <c r="AJ1728" s="9">
        <v>3.5000000000000003E-2</v>
      </c>
      <c r="AK1728" s="9">
        <v>1E-3</v>
      </c>
      <c r="AL1728" s="9">
        <v>17.2</v>
      </c>
      <c r="AM1728" s="9">
        <v>4.6399999999999997</v>
      </c>
      <c r="AN1728" s="9">
        <v>2.3E-2</v>
      </c>
      <c r="AO1728" s="9">
        <v>6.1499999999999999E-2</v>
      </c>
    </row>
    <row r="1729" spans="1:41" x14ac:dyDescent="0.3">
      <c r="A1729" t="s">
        <v>820</v>
      </c>
      <c r="B1729" t="s">
        <v>1616</v>
      </c>
      <c r="C1729">
        <v>77</v>
      </c>
      <c r="D1729" s="8" t="s">
        <v>781</v>
      </c>
      <c r="H1729" t="s">
        <v>987</v>
      </c>
      <c r="K1729" s="4">
        <v>8.3333333333333329E-2</v>
      </c>
      <c r="N1729" s="3">
        <v>0.6</v>
      </c>
      <c r="O1729" s="3">
        <v>0</v>
      </c>
      <c r="P1729">
        <v>22.5</v>
      </c>
      <c r="Q1729">
        <v>6.5</v>
      </c>
      <c r="R1729" t="s">
        <v>102</v>
      </c>
      <c r="S1729">
        <v>0</v>
      </c>
      <c r="T1729" s="6">
        <f>10^-(14-Q1729)</f>
        <v>3.1622776601683699E-8</v>
      </c>
      <c r="U1729" s="6">
        <v>0</v>
      </c>
      <c r="V1729" s="6">
        <v>0</v>
      </c>
      <c r="W1729" s="6">
        <v>0</v>
      </c>
      <c r="X1729" s="6">
        <v>0</v>
      </c>
      <c r="Y1729" t="s">
        <v>171</v>
      </c>
      <c r="AD1729">
        <v>1</v>
      </c>
      <c r="AE1729">
        <v>40</v>
      </c>
      <c r="AF1729">
        <v>1</v>
      </c>
      <c r="AG1729" s="9">
        <v>2.9000000000000001E-2</v>
      </c>
      <c r="AH1729" s="9">
        <v>5.82</v>
      </c>
      <c r="AI1729" s="9">
        <v>0.32</v>
      </c>
      <c r="AJ1729" s="9">
        <v>3.5000000000000003E-2</v>
      </c>
      <c r="AK1729" s="9">
        <v>1E-3</v>
      </c>
      <c r="AL1729" s="9">
        <v>17.2</v>
      </c>
      <c r="AM1729" s="9">
        <v>4.6399999999999997</v>
      </c>
      <c r="AN1729" s="9">
        <v>2.3E-2</v>
      </c>
      <c r="AO1729" s="9">
        <v>6.1499999999999999E-2</v>
      </c>
    </row>
    <row r="1730" spans="1:41" x14ac:dyDescent="0.3">
      <c r="A1730" t="s">
        <v>841</v>
      </c>
      <c r="B1730" t="s">
        <v>1616</v>
      </c>
      <c r="C1730">
        <v>77</v>
      </c>
      <c r="D1730" s="8" t="s">
        <v>781</v>
      </c>
      <c r="H1730" t="s">
        <v>987</v>
      </c>
      <c r="K1730" s="4">
        <v>8.3333333333333329E-2</v>
      </c>
      <c r="N1730" s="3">
        <v>0.6</v>
      </c>
      <c r="O1730" s="3">
        <v>0</v>
      </c>
      <c r="P1730">
        <v>22.5</v>
      </c>
      <c r="Q1730">
        <v>6.5</v>
      </c>
      <c r="R1730" t="s">
        <v>778</v>
      </c>
      <c r="S1730">
        <v>1.2</v>
      </c>
      <c r="T1730" s="6">
        <f>10^-(14-Q1730)</f>
        <v>3.1622776601683699E-8</v>
      </c>
      <c r="U1730" s="6">
        <v>1.2</v>
      </c>
      <c r="V1730" s="6">
        <v>0</v>
      </c>
      <c r="W1730" s="6">
        <v>0</v>
      </c>
      <c r="X1730" s="6">
        <v>0</v>
      </c>
      <c r="Y1730" t="s">
        <v>171</v>
      </c>
      <c r="AD1730">
        <v>1</v>
      </c>
      <c r="AE1730">
        <v>345</v>
      </c>
      <c r="AF1730">
        <v>1</v>
      </c>
      <c r="AG1730" s="9">
        <v>2.9000000000000001E-2</v>
      </c>
      <c r="AH1730" s="9">
        <v>5.82</v>
      </c>
      <c r="AI1730" s="9">
        <v>0.32</v>
      </c>
      <c r="AJ1730" s="9">
        <v>3.5000000000000003E-2</v>
      </c>
      <c r="AK1730" s="9">
        <v>1E-3</v>
      </c>
      <c r="AL1730" s="9">
        <v>17.2</v>
      </c>
      <c r="AM1730" s="9">
        <v>4.6399999999999997</v>
      </c>
      <c r="AN1730" s="9">
        <v>2.3E-2</v>
      </c>
      <c r="AO1730" s="9">
        <v>6.1499999999999999E-2</v>
      </c>
    </row>
    <row r="1731" spans="1:41" x14ac:dyDescent="0.3">
      <c r="A1731" t="s">
        <v>842</v>
      </c>
      <c r="B1731" t="s">
        <v>1616</v>
      </c>
      <c r="C1731">
        <v>77</v>
      </c>
      <c r="D1731" s="8" t="s">
        <v>781</v>
      </c>
      <c r="H1731" t="s">
        <v>987</v>
      </c>
      <c r="K1731" s="4">
        <v>8.3333333333333329E-2</v>
      </c>
      <c r="N1731" s="3">
        <v>0.6</v>
      </c>
      <c r="O1731" s="3">
        <v>0</v>
      </c>
      <c r="P1731">
        <v>22.5</v>
      </c>
      <c r="Q1731">
        <v>6.5</v>
      </c>
      <c r="R1731" t="s">
        <v>778</v>
      </c>
      <c r="S1731">
        <v>1.2</v>
      </c>
      <c r="T1731" s="6">
        <f>10^-(14-Q1731)</f>
        <v>3.1622776601683699E-8</v>
      </c>
      <c r="U1731" s="6">
        <v>1.2</v>
      </c>
      <c r="V1731" s="6">
        <v>0</v>
      </c>
      <c r="W1731" s="6">
        <v>0</v>
      </c>
      <c r="X1731" s="6">
        <v>0</v>
      </c>
      <c r="Y1731" t="s">
        <v>171</v>
      </c>
      <c r="AD1731">
        <v>1</v>
      </c>
      <c r="AE1731">
        <v>345</v>
      </c>
      <c r="AF1731">
        <v>1</v>
      </c>
      <c r="AG1731" s="9">
        <v>2.9000000000000001E-2</v>
      </c>
      <c r="AH1731" s="9">
        <v>5.82</v>
      </c>
      <c r="AI1731" s="9">
        <v>0.32</v>
      </c>
      <c r="AJ1731" s="9">
        <v>3.5000000000000003E-2</v>
      </c>
      <c r="AK1731" s="9">
        <v>1E-3</v>
      </c>
      <c r="AL1731" s="9">
        <v>17.2</v>
      </c>
      <c r="AM1731" s="9">
        <v>4.6399999999999997</v>
      </c>
      <c r="AN1731" s="9">
        <v>2.3E-2</v>
      </c>
      <c r="AO1731" s="9">
        <v>6.1499999999999999E-2</v>
      </c>
    </row>
    <row r="1732" spans="1:41" x14ac:dyDescent="0.3">
      <c r="A1732" t="s">
        <v>843</v>
      </c>
      <c r="B1732" t="s">
        <v>1616</v>
      </c>
      <c r="C1732">
        <v>77</v>
      </c>
      <c r="D1732" s="8" t="s">
        <v>781</v>
      </c>
      <c r="H1732" t="s">
        <v>987</v>
      </c>
      <c r="K1732" s="4">
        <v>8.3333333333333329E-2</v>
      </c>
      <c r="N1732" s="3">
        <v>0.6</v>
      </c>
      <c r="O1732" s="3">
        <v>0</v>
      </c>
      <c r="P1732">
        <v>22.5</v>
      </c>
      <c r="Q1732">
        <v>6.5</v>
      </c>
      <c r="R1732" t="s">
        <v>778</v>
      </c>
      <c r="S1732">
        <v>1.2</v>
      </c>
      <c r="T1732" s="6">
        <f>10^-(14-Q1732)</f>
        <v>3.1622776601683699E-8</v>
      </c>
      <c r="U1732" s="6">
        <v>1.2</v>
      </c>
      <c r="V1732" s="6">
        <v>0</v>
      </c>
      <c r="W1732" s="6">
        <v>0</v>
      </c>
      <c r="X1732" s="6">
        <v>0</v>
      </c>
      <c r="Y1732" t="s">
        <v>171</v>
      </c>
      <c r="AD1732">
        <v>1</v>
      </c>
      <c r="AE1732">
        <v>425</v>
      </c>
      <c r="AF1732">
        <v>1</v>
      </c>
      <c r="AG1732" s="9">
        <v>2.9000000000000001E-2</v>
      </c>
      <c r="AH1732" s="9">
        <v>5.82</v>
      </c>
      <c r="AI1732" s="9">
        <v>0.32</v>
      </c>
      <c r="AJ1732" s="9">
        <v>3.5000000000000003E-2</v>
      </c>
      <c r="AK1732" s="9">
        <v>1E-3</v>
      </c>
      <c r="AL1732" s="9">
        <v>17.2</v>
      </c>
      <c r="AM1732" s="9">
        <v>4.6399999999999997</v>
      </c>
      <c r="AN1732" s="9">
        <v>2.3E-2</v>
      </c>
      <c r="AO1732" s="9">
        <v>6.1499999999999999E-2</v>
      </c>
    </row>
    <row r="1733" spans="1:41" x14ac:dyDescent="0.3">
      <c r="A1733" t="s">
        <v>844</v>
      </c>
      <c r="B1733" t="s">
        <v>1616</v>
      </c>
      <c r="C1733">
        <v>77</v>
      </c>
      <c r="D1733" s="8" t="s">
        <v>781</v>
      </c>
      <c r="H1733" t="s">
        <v>987</v>
      </c>
      <c r="K1733" s="4">
        <v>8.3333333333333329E-2</v>
      </c>
      <c r="N1733" s="3">
        <v>0.6</v>
      </c>
      <c r="O1733" s="3">
        <v>0</v>
      </c>
      <c r="P1733">
        <v>22.5</v>
      </c>
      <c r="Q1733">
        <v>6.5</v>
      </c>
      <c r="R1733" t="s">
        <v>778</v>
      </c>
      <c r="S1733">
        <v>1.2</v>
      </c>
      <c r="T1733" s="6">
        <f>10^-(14-Q1733)</f>
        <v>3.1622776601683699E-8</v>
      </c>
      <c r="U1733" s="6">
        <v>1.2</v>
      </c>
      <c r="V1733" s="6">
        <v>0</v>
      </c>
      <c r="W1733" s="6">
        <v>0</v>
      </c>
      <c r="X1733" s="6">
        <v>0</v>
      </c>
      <c r="Y1733" t="s">
        <v>171</v>
      </c>
      <c r="AD1733">
        <v>1</v>
      </c>
      <c r="AE1733">
        <v>525</v>
      </c>
      <c r="AF1733">
        <v>1</v>
      </c>
      <c r="AG1733" s="9">
        <v>2.9000000000000001E-2</v>
      </c>
      <c r="AH1733" s="9">
        <v>5.82</v>
      </c>
      <c r="AI1733" s="9">
        <v>0.32</v>
      </c>
      <c r="AJ1733" s="9">
        <v>3.5000000000000003E-2</v>
      </c>
      <c r="AK1733" s="9">
        <v>1E-3</v>
      </c>
      <c r="AL1733" s="9">
        <v>17.2</v>
      </c>
      <c r="AM1733" s="9">
        <v>4.6399999999999997</v>
      </c>
      <c r="AN1733" s="9">
        <v>2.3E-2</v>
      </c>
      <c r="AO1733" s="9">
        <v>6.1499999999999999E-2</v>
      </c>
    </row>
    <row r="1734" spans="1:41" x14ac:dyDescent="0.3">
      <c r="A1734" t="s">
        <v>845</v>
      </c>
      <c r="B1734" t="s">
        <v>1616</v>
      </c>
      <c r="C1734">
        <v>77</v>
      </c>
      <c r="D1734" s="8" t="s">
        <v>781</v>
      </c>
      <c r="H1734" t="s">
        <v>987</v>
      </c>
      <c r="K1734" s="4">
        <v>8.3333333333333329E-2</v>
      </c>
      <c r="N1734" s="3">
        <v>0.6</v>
      </c>
      <c r="O1734" s="3">
        <v>0</v>
      </c>
      <c r="P1734">
        <v>22.5</v>
      </c>
      <c r="Q1734">
        <v>6.5</v>
      </c>
      <c r="R1734" t="s">
        <v>778</v>
      </c>
      <c r="S1734">
        <v>1.2</v>
      </c>
      <c r="T1734" s="6">
        <f>10^-(14-Q1734)</f>
        <v>3.1622776601683699E-8</v>
      </c>
      <c r="U1734" s="6">
        <v>1.2</v>
      </c>
      <c r="V1734" s="6">
        <v>0</v>
      </c>
      <c r="W1734" s="6">
        <v>0</v>
      </c>
      <c r="X1734" s="6">
        <v>0</v>
      </c>
      <c r="Y1734" t="s">
        <v>171</v>
      </c>
      <c r="AD1734">
        <v>1</v>
      </c>
      <c r="AE1734">
        <v>525</v>
      </c>
      <c r="AF1734">
        <v>1</v>
      </c>
      <c r="AG1734" s="9">
        <v>2.9000000000000001E-2</v>
      </c>
      <c r="AH1734" s="9">
        <v>5.82</v>
      </c>
      <c r="AI1734" s="9">
        <v>0.32</v>
      </c>
      <c r="AJ1734" s="9">
        <v>3.5000000000000003E-2</v>
      </c>
      <c r="AK1734" s="9">
        <v>1E-3</v>
      </c>
      <c r="AL1734" s="9">
        <v>17.2</v>
      </c>
      <c r="AM1734" s="9">
        <v>4.6399999999999997</v>
      </c>
      <c r="AN1734" s="9">
        <v>2.3E-2</v>
      </c>
      <c r="AO1734" s="9">
        <v>6.1499999999999999E-2</v>
      </c>
    </row>
    <row r="1735" spans="1:41" x14ac:dyDescent="0.3">
      <c r="A1735" t="s">
        <v>846</v>
      </c>
      <c r="B1735" t="s">
        <v>1616</v>
      </c>
      <c r="C1735">
        <v>77</v>
      </c>
      <c r="D1735" s="8" t="s">
        <v>781</v>
      </c>
      <c r="H1735" t="s">
        <v>987</v>
      </c>
      <c r="K1735" s="4">
        <v>8.3333333333333329E-2</v>
      </c>
      <c r="N1735" s="3">
        <v>0.6</v>
      </c>
      <c r="O1735" s="3">
        <v>0</v>
      </c>
      <c r="P1735">
        <v>22.5</v>
      </c>
      <c r="Q1735">
        <v>6.5</v>
      </c>
      <c r="R1735" t="s">
        <v>780</v>
      </c>
      <c r="S1735">
        <v>0.3</v>
      </c>
      <c r="T1735" s="6">
        <f>10^-(14-Q1735)</f>
        <v>3.1622776601683699E-8</v>
      </c>
      <c r="U1735" s="6">
        <v>0.3</v>
      </c>
      <c r="V1735" s="6">
        <v>0</v>
      </c>
      <c r="W1735" s="6">
        <v>0</v>
      </c>
      <c r="X1735" s="6">
        <v>0</v>
      </c>
      <c r="Y1735" t="s">
        <v>171</v>
      </c>
      <c r="AD1735">
        <v>1</v>
      </c>
      <c r="AE1735">
        <v>245</v>
      </c>
      <c r="AF1735">
        <v>1</v>
      </c>
      <c r="AG1735" s="9">
        <v>2.9000000000000001E-2</v>
      </c>
      <c r="AH1735" s="9">
        <v>5.82</v>
      </c>
      <c r="AI1735" s="9">
        <v>0.32</v>
      </c>
      <c r="AJ1735" s="9">
        <v>3.5000000000000003E-2</v>
      </c>
      <c r="AK1735" s="9">
        <v>1E-3</v>
      </c>
      <c r="AL1735" s="9">
        <v>17.2</v>
      </c>
      <c r="AM1735" s="9">
        <v>4.6399999999999997</v>
      </c>
      <c r="AN1735" s="9">
        <v>2.3E-2</v>
      </c>
      <c r="AO1735" s="9">
        <v>6.1499999999999999E-2</v>
      </c>
    </row>
    <row r="1736" spans="1:41" x14ac:dyDescent="0.3">
      <c r="A1736" t="s">
        <v>847</v>
      </c>
      <c r="B1736" t="s">
        <v>1616</v>
      </c>
      <c r="C1736">
        <v>77</v>
      </c>
      <c r="D1736" s="8" t="s">
        <v>781</v>
      </c>
      <c r="H1736" t="s">
        <v>987</v>
      </c>
      <c r="K1736" s="4">
        <v>8.3333333333333329E-2</v>
      </c>
      <c r="N1736" s="3">
        <v>0.6</v>
      </c>
      <c r="O1736" s="3">
        <v>0</v>
      </c>
      <c r="P1736">
        <v>22.5</v>
      </c>
      <c r="Q1736">
        <v>6.5</v>
      </c>
      <c r="R1736" t="s">
        <v>780</v>
      </c>
      <c r="S1736">
        <v>0.3</v>
      </c>
      <c r="T1736" s="6">
        <f>10^-(14-Q1736)</f>
        <v>3.1622776601683699E-8</v>
      </c>
      <c r="U1736" s="6">
        <v>0.3</v>
      </c>
      <c r="V1736" s="6">
        <v>0</v>
      </c>
      <c r="W1736" s="6">
        <v>0</v>
      </c>
      <c r="X1736" s="6">
        <v>0</v>
      </c>
      <c r="Y1736" t="s">
        <v>171</v>
      </c>
      <c r="AD1736">
        <v>1</v>
      </c>
      <c r="AE1736">
        <v>305</v>
      </c>
      <c r="AF1736">
        <v>1</v>
      </c>
      <c r="AG1736" s="9">
        <v>2.9000000000000001E-2</v>
      </c>
      <c r="AH1736" s="9">
        <v>5.82</v>
      </c>
      <c r="AI1736" s="9">
        <v>0.32</v>
      </c>
      <c r="AJ1736" s="9">
        <v>3.5000000000000003E-2</v>
      </c>
      <c r="AK1736" s="9">
        <v>1E-3</v>
      </c>
      <c r="AL1736" s="9">
        <v>17.2</v>
      </c>
      <c r="AM1736" s="9">
        <v>4.6399999999999997</v>
      </c>
      <c r="AN1736" s="9">
        <v>2.3E-2</v>
      </c>
      <c r="AO1736" s="9">
        <v>6.1499999999999999E-2</v>
      </c>
    </row>
    <row r="1737" spans="1:41" x14ac:dyDescent="0.3">
      <c r="A1737" t="s">
        <v>848</v>
      </c>
      <c r="B1737" t="s">
        <v>1616</v>
      </c>
      <c r="C1737">
        <v>77</v>
      </c>
      <c r="D1737" s="8" t="s">
        <v>781</v>
      </c>
      <c r="H1737" t="s">
        <v>987</v>
      </c>
      <c r="K1737" s="4">
        <v>8.3333333333333329E-2</v>
      </c>
      <c r="N1737" s="3">
        <v>0.6</v>
      </c>
      <c r="O1737" s="3">
        <v>0</v>
      </c>
      <c r="P1737">
        <v>22.5</v>
      </c>
      <c r="Q1737">
        <v>6.5</v>
      </c>
      <c r="R1737" t="s">
        <v>780</v>
      </c>
      <c r="S1737">
        <v>0.3</v>
      </c>
      <c r="T1737" s="6">
        <f>10^-(14-Q1737)</f>
        <v>3.1622776601683699E-8</v>
      </c>
      <c r="U1737" s="6">
        <v>0.3</v>
      </c>
      <c r="V1737" s="6">
        <v>0</v>
      </c>
      <c r="W1737" s="6">
        <v>0</v>
      </c>
      <c r="X1737" s="6">
        <v>0</v>
      </c>
      <c r="Y1737" t="s">
        <v>171</v>
      </c>
      <c r="AD1737">
        <v>1</v>
      </c>
      <c r="AE1737">
        <v>245</v>
      </c>
      <c r="AF1737">
        <v>1</v>
      </c>
      <c r="AG1737" s="9">
        <v>2.9000000000000001E-2</v>
      </c>
      <c r="AH1737" s="9">
        <v>5.82</v>
      </c>
      <c r="AI1737" s="9">
        <v>0.32</v>
      </c>
      <c r="AJ1737" s="9">
        <v>3.5000000000000003E-2</v>
      </c>
      <c r="AK1737" s="9">
        <v>1E-3</v>
      </c>
      <c r="AL1737" s="9">
        <v>17.2</v>
      </c>
      <c r="AM1737" s="9">
        <v>4.6399999999999997</v>
      </c>
      <c r="AN1737" s="9">
        <v>2.3E-2</v>
      </c>
      <c r="AO1737" s="9">
        <v>6.1499999999999999E-2</v>
      </c>
    </row>
    <row r="1738" spans="1:41" x14ac:dyDescent="0.3">
      <c r="A1738" t="s">
        <v>849</v>
      </c>
      <c r="B1738" t="s">
        <v>1616</v>
      </c>
      <c r="C1738">
        <v>77</v>
      </c>
      <c r="D1738" s="8" t="s">
        <v>781</v>
      </c>
      <c r="H1738" t="s">
        <v>987</v>
      </c>
      <c r="K1738" s="4">
        <v>8.3333333333333329E-2</v>
      </c>
      <c r="N1738" s="3">
        <v>0.6</v>
      </c>
      <c r="O1738" s="3">
        <v>0</v>
      </c>
      <c r="P1738">
        <v>22.5</v>
      </c>
      <c r="Q1738">
        <v>6.5</v>
      </c>
      <c r="R1738" t="s">
        <v>780</v>
      </c>
      <c r="S1738">
        <v>0.3</v>
      </c>
      <c r="T1738" s="6">
        <f>10^-(14-Q1738)</f>
        <v>3.1622776601683699E-8</v>
      </c>
      <c r="U1738" s="6">
        <v>0.3</v>
      </c>
      <c r="V1738" s="6">
        <v>0</v>
      </c>
      <c r="W1738" s="6">
        <v>0</v>
      </c>
      <c r="X1738" s="6">
        <v>0</v>
      </c>
      <c r="Y1738" t="s">
        <v>171</v>
      </c>
      <c r="AD1738">
        <v>1</v>
      </c>
      <c r="AE1738">
        <v>325</v>
      </c>
      <c r="AF1738">
        <v>1</v>
      </c>
      <c r="AG1738" s="9">
        <v>2.9000000000000001E-2</v>
      </c>
      <c r="AH1738" s="9">
        <v>5.82</v>
      </c>
      <c r="AI1738" s="9">
        <v>0.32</v>
      </c>
      <c r="AJ1738" s="9">
        <v>3.5000000000000003E-2</v>
      </c>
      <c r="AK1738" s="9">
        <v>1E-3</v>
      </c>
      <c r="AL1738" s="9">
        <v>17.2</v>
      </c>
      <c r="AM1738" s="9">
        <v>4.6399999999999997</v>
      </c>
      <c r="AN1738" s="9">
        <v>2.3E-2</v>
      </c>
      <c r="AO1738" s="9">
        <v>6.1499999999999999E-2</v>
      </c>
    </row>
    <row r="1739" spans="1:41" x14ac:dyDescent="0.3">
      <c r="A1739" t="s">
        <v>850</v>
      </c>
      <c r="B1739" t="s">
        <v>1616</v>
      </c>
      <c r="C1739">
        <v>77</v>
      </c>
      <c r="D1739" s="8" t="s">
        <v>781</v>
      </c>
      <c r="H1739" t="s">
        <v>987</v>
      </c>
      <c r="K1739" s="4">
        <v>8.3333333333333329E-2</v>
      </c>
      <c r="N1739" s="3">
        <v>0.6</v>
      </c>
      <c r="O1739" s="3">
        <v>0</v>
      </c>
      <c r="P1739">
        <v>22.5</v>
      </c>
      <c r="Q1739">
        <v>6.5</v>
      </c>
      <c r="R1739" t="s">
        <v>780</v>
      </c>
      <c r="S1739">
        <v>0.3</v>
      </c>
      <c r="T1739" s="6">
        <f>10^-(14-Q1739)</f>
        <v>3.1622776601683699E-8</v>
      </c>
      <c r="U1739" s="6">
        <v>0.3</v>
      </c>
      <c r="V1739" s="6">
        <v>0</v>
      </c>
      <c r="W1739" s="6">
        <v>0</v>
      </c>
      <c r="X1739" s="6">
        <v>0</v>
      </c>
      <c r="Y1739" t="s">
        <v>171</v>
      </c>
      <c r="AD1739">
        <v>1</v>
      </c>
      <c r="AE1739">
        <v>305</v>
      </c>
      <c r="AF1739">
        <v>1</v>
      </c>
      <c r="AG1739" s="9">
        <v>2.9000000000000001E-2</v>
      </c>
      <c r="AH1739" s="9">
        <v>5.82</v>
      </c>
      <c r="AI1739" s="9">
        <v>0.32</v>
      </c>
      <c r="AJ1739" s="9">
        <v>3.5000000000000003E-2</v>
      </c>
      <c r="AK1739" s="9">
        <v>1E-3</v>
      </c>
      <c r="AL1739" s="9">
        <v>17.2</v>
      </c>
      <c r="AM1739" s="9">
        <v>4.6399999999999997</v>
      </c>
      <c r="AN1739" s="9">
        <v>2.3E-2</v>
      </c>
      <c r="AO1739" s="9">
        <v>6.1499999999999999E-2</v>
      </c>
    </row>
    <row r="1740" spans="1:41" x14ac:dyDescent="0.3">
      <c r="A1740" t="s">
        <v>851</v>
      </c>
      <c r="B1740" t="s">
        <v>1616</v>
      </c>
      <c r="C1740">
        <v>77</v>
      </c>
      <c r="D1740" s="8" t="s">
        <v>781</v>
      </c>
      <c r="H1740" t="s">
        <v>987</v>
      </c>
      <c r="K1740" s="4">
        <v>8.3333333333333329E-2</v>
      </c>
      <c r="N1740" s="3">
        <v>0.6</v>
      </c>
      <c r="O1740" s="3">
        <v>0</v>
      </c>
      <c r="P1740">
        <v>22.5</v>
      </c>
      <c r="Q1740">
        <v>6.5</v>
      </c>
      <c r="R1740" t="s">
        <v>779</v>
      </c>
      <c r="S1740">
        <v>0.12</v>
      </c>
      <c r="T1740" s="6">
        <f>10^-(14-Q1740)</f>
        <v>3.1622776601683699E-8</v>
      </c>
      <c r="U1740" s="6">
        <v>0.12</v>
      </c>
      <c r="V1740" s="6">
        <v>0</v>
      </c>
      <c r="W1740" s="6">
        <v>0</v>
      </c>
      <c r="X1740" s="6">
        <v>0</v>
      </c>
      <c r="Y1740" t="s">
        <v>171</v>
      </c>
      <c r="AD1740">
        <v>1</v>
      </c>
      <c r="AE1740">
        <v>205</v>
      </c>
      <c r="AF1740">
        <v>1</v>
      </c>
      <c r="AG1740" s="9">
        <v>2.9000000000000001E-2</v>
      </c>
      <c r="AH1740" s="9">
        <v>5.82</v>
      </c>
      <c r="AI1740" s="9">
        <v>0.32</v>
      </c>
      <c r="AJ1740" s="9">
        <v>3.5000000000000003E-2</v>
      </c>
      <c r="AK1740" s="9">
        <v>1E-3</v>
      </c>
      <c r="AL1740" s="9">
        <v>17.2</v>
      </c>
      <c r="AM1740" s="9">
        <v>4.6399999999999997</v>
      </c>
      <c r="AN1740" s="9">
        <v>2.3E-2</v>
      </c>
      <c r="AO1740" s="9">
        <v>6.1499999999999999E-2</v>
      </c>
    </row>
    <row r="1741" spans="1:41" x14ac:dyDescent="0.3">
      <c r="A1741" t="s">
        <v>852</v>
      </c>
      <c r="B1741" t="s">
        <v>1616</v>
      </c>
      <c r="C1741">
        <v>77</v>
      </c>
      <c r="D1741" s="8" t="s">
        <v>781</v>
      </c>
      <c r="H1741" t="s">
        <v>987</v>
      </c>
      <c r="K1741" s="4">
        <v>8.3333333333333329E-2</v>
      </c>
      <c r="N1741" s="3">
        <v>0.6</v>
      </c>
      <c r="O1741" s="3">
        <v>0</v>
      </c>
      <c r="P1741">
        <v>22.5</v>
      </c>
      <c r="Q1741">
        <v>6.5</v>
      </c>
      <c r="R1741" t="s">
        <v>779</v>
      </c>
      <c r="S1741">
        <v>0.12</v>
      </c>
      <c r="T1741" s="6">
        <f>10^-(14-Q1741)</f>
        <v>3.1622776601683699E-8</v>
      </c>
      <c r="U1741" s="6">
        <v>0.12</v>
      </c>
      <c r="V1741" s="6">
        <v>0</v>
      </c>
      <c r="W1741" s="6">
        <v>0</v>
      </c>
      <c r="X1741" s="6">
        <v>0</v>
      </c>
      <c r="Y1741" t="s">
        <v>171</v>
      </c>
      <c r="AD1741">
        <v>1</v>
      </c>
      <c r="AE1741">
        <v>205</v>
      </c>
      <c r="AF1741">
        <v>1</v>
      </c>
      <c r="AG1741" s="9">
        <v>2.9000000000000001E-2</v>
      </c>
      <c r="AH1741" s="9">
        <v>5.82</v>
      </c>
      <c r="AI1741" s="9">
        <v>0.32</v>
      </c>
      <c r="AJ1741" s="9">
        <v>3.5000000000000003E-2</v>
      </c>
      <c r="AK1741" s="9">
        <v>1E-3</v>
      </c>
      <c r="AL1741" s="9">
        <v>17.2</v>
      </c>
      <c r="AM1741" s="9">
        <v>4.6399999999999997</v>
      </c>
      <c r="AN1741" s="9">
        <v>2.3E-2</v>
      </c>
      <c r="AO1741" s="9">
        <v>6.1499999999999999E-2</v>
      </c>
    </row>
    <row r="1742" spans="1:41" x14ac:dyDescent="0.3">
      <c r="A1742" t="s">
        <v>853</v>
      </c>
      <c r="B1742" t="s">
        <v>1616</v>
      </c>
      <c r="C1742">
        <v>77</v>
      </c>
      <c r="D1742" s="8" t="s">
        <v>781</v>
      </c>
      <c r="H1742" t="s">
        <v>987</v>
      </c>
      <c r="K1742" s="4">
        <v>8.3333333333333329E-2</v>
      </c>
      <c r="N1742" s="3">
        <v>0.6</v>
      </c>
      <c r="O1742" s="3">
        <v>0</v>
      </c>
      <c r="P1742">
        <v>22.5</v>
      </c>
      <c r="Q1742">
        <v>6.5</v>
      </c>
      <c r="R1742" t="s">
        <v>779</v>
      </c>
      <c r="S1742">
        <v>0.12</v>
      </c>
      <c r="T1742" s="6">
        <f>10^-(14-Q1742)</f>
        <v>3.1622776601683699E-8</v>
      </c>
      <c r="U1742" s="6">
        <v>0.12</v>
      </c>
      <c r="V1742" s="6">
        <v>0</v>
      </c>
      <c r="W1742" s="6">
        <v>0</v>
      </c>
      <c r="X1742" s="6">
        <v>0</v>
      </c>
      <c r="Y1742" t="s">
        <v>171</v>
      </c>
      <c r="AD1742">
        <v>1</v>
      </c>
      <c r="AE1742">
        <v>145</v>
      </c>
      <c r="AF1742">
        <v>1</v>
      </c>
      <c r="AG1742" s="9">
        <v>2.9000000000000001E-2</v>
      </c>
      <c r="AH1742" s="9">
        <v>5.82</v>
      </c>
      <c r="AI1742" s="9">
        <v>0.32</v>
      </c>
      <c r="AJ1742" s="9">
        <v>3.5000000000000003E-2</v>
      </c>
      <c r="AK1742" s="9">
        <v>1E-3</v>
      </c>
      <c r="AL1742" s="9">
        <v>17.2</v>
      </c>
      <c r="AM1742" s="9">
        <v>4.6399999999999997</v>
      </c>
      <c r="AN1742" s="9">
        <v>2.3E-2</v>
      </c>
      <c r="AO1742" s="9">
        <v>6.1499999999999999E-2</v>
      </c>
    </row>
    <row r="1743" spans="1:41" x14ac:dyDescent="0.3">
      <c r="A1743" t="s">
        <v>854</v>
      </c>
      <c r="B1743" t="s">
        <v>1616</v>
      </c>
      <c r="C1743">
        <v>77</v>
      </c>
      <c r="D1743" s="8" t="s">
        <v>781</v>
      </c>
      <c r="H1743" t="s">
        <v>987</v>
      </c>
      <c r="K1743" s="4">
        <v>8.3333333333333329E-2</v>
      </c>
      <c r="N1743" s="3">
        <v>0.6</v>
      </c>
      <c r="O1743" s="3">
        <v>0</v>
      </c>
      <c r="P1743">
        <v>22.5</v>
      </c>
      <c r="Q1743">
        <v>6.5</v>
      </c>
      <c r="R1743" t="s">
        <v>779</v>
      </c>
      <c r="S1743">
        <v>0.12</v>
      </c>
      <c r="T1743" s="6">
        <f>10^-(14-Q1743)</f>
        <v>3.1622776601683699E-8</v>
      </c>
      <c r="U1743" s="6">
        <v>0.12</v>
      </c>
      <c r="V1743" s="6">
        <v>0</v>
      </c>
      <c r="W1743" s="6">
        <v>0</v>
      </c>
      <c r="X1743" s="6">
        <v>0</v>
      </c>
      <c r="Y1743" t="s">
        <v>171</v>
      </c>
      <c r="AD1743">
        <v>1</v>
      </c>
      <c r="AE1743">
        <v>215</v>
      </c>
      <c r="AF1743">
        <v>1</v>
      </c>
      <c r="AG1743" s="9">
        <v>2.9000000000000001E-2</v>
      </c>
      <c r="AH1743" s="9">
        <v>5.82</v>
      </c>
      <c r="AI1743" s="9">
        <v>0.32</v>
      </c>
      <c r="AJ1743" s="9">
        <v>3.5000000000000003E-2</v>
      </c>
      <c r="AK1743" s="9">
        <v>1E-3</v>
      </c>
      <c r="AL1743" s="9">
        <v>17.2</v>
      </c>
      <c r="AM1743" s="9">
        <v>4.6399999999999997</v>
      </c>
      <c r="AN1743" s="9">
        <v>2.3E-2</v>
      </c>
      <c r="AO1743" s="9">
        <v>6.1499999999999999E-2</v>
      </c>
    </row>
    <row r="1744" spans="1:41" x14ac:dyDescent="0.3">
      <c r="A1744" t="s">
        <v>855</v>
      </c>
      <c r="B1744" t="s">
        <v>1616</v>
      </c>
      <c r="C1744">
        <v>77</v>
      </c>
      <c r="D1744" s="8" t="s">
        <v>781</v>
      </c>
      <c r="H1744" t="s">
        <v>987</v>
      </c>
      <c r="K1744" s="4">
        <v>8.3333333333333329E-2</v>
      </c>
      <c r="N1744" s="3">
        <v>0.6</v>
      </c>
      <c r="O1744" s="3">
        <v>0</v>
      </c>
      <c r="P1744">
        <v>22.5</v>
      </c>
      <c r="Q1744">
        <v>6.5</v>
      </c>
      <c r="R1744" t="s">
        <v>779</v>
      </c>
      <c r="S1744">
        <v>0.12</v>
      </c>
      <c r="T1744" s="6">
        <f>10^-(14-Q1744)</f>
        <v>3.1622776601683699E-8</v>
      </c>
      <c r="U1744" s="6">
        <v>0.12</v>
      </c>
      <c r="V1744" s="6">
        <v>0</v>
      </c>
      <c r="W1744" s="6">
        <v>0</v>
      </c>
      <c r="X1744" s="6">
        <v>0</v>
      </c>
      <c r="Y1744" t="s">
        <v>171</v>
      </c>
      <c r="AD1744">
        <v>1</v>
      </c>
      <c r="AE1744">
        <v>235</v>
      </c>
      <c r="AF1744">
        <v>1</v>
      </c>
      <c r="AG1744" s="9">
        <v>2.9000000000000001E-2</v>
      </c>
      <c r="AH1744" s="9">
        <v>5.82</v>
      </c>
      <c r="AI1744" s="9">
        <v>0.32</v>
      </c>
      <c r="AJ1744" s="9">
        <v>3.5000000000000003E-2</v>
      </c>
      <c r="AK1744" s="9">
        <v>1E-3</v>
      </c>
      <c r="AL1744" s="9">
        <v>17.2</v>
      </c>
      <c r="AM1744" s="9">
        <v>4.6399999999999997</v>
      </c>
      <c r="AN1744" s="9">
        <v>2.3E-2</v>
      </c>
      <c r="AO1744" s="9">
        <v>6.1499999999999999E-2</v>
      </c>
    </row>
    <row r="1745" spans="1:41" x14ac:dyDescent="0.3">
      <c r="A1745" t="s">
        <v>856</v>
      </c>
      <c r="B1745" t="s">
        <v>1616</v>
      </c>
      <c r="C1745">
        <v>77</v>
      </c>
      <c r="D1745" s="8" t="s">
        <v>781</v>
      </c>
      <c r="H1745" t="s">
        <v>987</v>
      </c>
      <c r="K1745" s="4">
        <v>8.3333333333333329E-2</v>
      </c>
      <c r="N1745" s="3">
        <v>0.6</v>
      </c>
      <c r="O1745" s="3">
        <v>0</v>
      </c>
      <c r="P1745">
        <v>22.5</v>
      </c>
      <c r="Q1745">
        <v>6.5</v>
      </c>
      <c r="R1745" t="s">
        <v>102</v>
      </c>
      <c r="S1745">
        <v>0</v>
      </c>
      <c r="T1745" s="6">
        <f>10^-(14-Q1745)</f>
        <v>3.1622776601683699E-8</v>
      </c>
      <c r="U1745" s="6">
        <v>0</v>
      </c>
      <c r="V1745" s="6">
        <v>0</v>
      </c>
      <c r="W1745" s="6">
        <v>0</v>
      </c>
      <c r="X1745" s="6">
        <v>0</v>
      </c>
      <c r="Y1745" t="s">
        <v>171</v>
      </c>
      <c r="AD1745">
        <v>1</v>
      </c>
      <c r="AE1745">
        <v>125</v>
      </c>
      <c r="AF1745">
        <v>1</v>
      </c>
      <c r="AG1745" s="9">
        <v>2.9000000000000001E-2</v>
      </c>
      <c r="AH1745" s="9">
        <v>5.82</v>
      </c>
      <c r="AI1745" s="9">
        <v>0.32</v>
      </c>
      <c r="AJ1745" s="9">
        <v>3.5000000000000003E-2</v>
      </c>
      <c r="AK1745" s="9">
        <v>1E-3</v>
      </c>
      <c r="AL1745" s="9">
        <v>17.2</v>
      </c>
      <c r="AM1745" s="9">
        <v>4.6399999999999997</v>
      </c>
      <c r="AN1745" s="9">
        <v>2.3E-2</v>
      </c>
      <c r="AO1745" s="9">
        <v>6.1499999999999999E-2</v>
      </c>
    </row>
    <row r="1746" spans="1:41" x14ac:dyDescent="0.3">
      <c r="A1746" t="s">
        <v>857</v>
      </c>
      <c r="B1746" t="s">
        <v>1616</v>
      </c>
      <c r="C1746">
        <v>77</v>
      </c>
      <c r="D1746" s="8" t="s">
        <v>781</v>
      </c>
      <c r="H1746" t="s">
        <v>987</v>
      </c>
      <c r="K1746" s="4">
        <v>8.3333333333333329E-2</v>
      </c>
      <c r="N1746" s="3">
        <v>0.6</v>
      </c>
      <c r="O1746" s="3">
        <v>0</v>
      </c>
      <c r="P1746">
        <v>22.5</v>
      </c>
      <c r="Q1746">
        <v>6.5</v>
      </c>
      <c r="R1746" t="s">
        <v>102</v>
      </c>
      <c r="S1746">
        <v>0</v>
      </c>
      <c r="T1746" s="6">
        <f>10^-(14-Q1746)</f>
        <v>3.1622776601683699E-8</v>
      </c>
      <c r="U1746" s="6">
        <v>0</v>
      </c>
      <c r="V1746" s="6">
        <v>0</v>
      </c>
      <c r="W1746" s="6">
        <v>0</v>
      </c>
      <c r="X1746" s="6">
        <v>0</v>
      </c>
      <c r="Y1746" t="s">
        <v>171</v>
      </c>
      <c r="AD1746">
        <v>1</v>
      </c>
      <c r="AE1746">
        <v>65</v>
      </c>
      <c r="AF1746">
        <v>1</v>
      </c>
      <c r="AG1746" s="9">
        <v>2.9000000000000001E-2</v>
      </c>
      <c r="AH1746" s="9">
        <v>5.82</v>
      </c>
      <c r="AI1746" s="9">
        <v>0.32</v>
      </c>
      <c r="AJ1746" s="9">
        <v>3.5000000000000003E-2</v>
      </c>
      <c r="AK1746" s="9">
        <v>1E-3</v>
      </c>
      <c r="AL1746" s="9">
        <v>17.2</v>
      </c>
      <c r="AM1746" s="9">
        <v>4.6399999999999997</v>
      </c>
      <c r="AN1746" s="9">
        <v>2.3E-2</v>
      </c>
      <c r="AO1746" s="9">
        <v>6.1499999999999999E-2</v>
      </c>
    </row>
    <row r="1747" spans="1:41" x14ac:dyDescent="0.3">
      <c r="A1747" t="s">
        <v>858</v>
      </c>
      <c r="B1747" t="s">
        <v>1616</v>
      </c>
      <c r="C1747">
        <v>77</v>
      </c>
      <c r="D1747" s="8" t="s">
        <v>781</v>
      </c>
      <c r="H1747" t="s">
        <v>987</v>
      </c>
      <c r="K1747" s="4">
        <v>8.3333333333333329E-2</v>
      </c>
      <c r="N1747" s="3">
        <v>0.6</v>
      </c>
      <c r="O1747" s="3">
        <v>0</v>
      </c>
      <c r="P1747">
        <v>22.5</v>
      </c>
      <c r="Q1747">
        <v>6.5</v>
      </c>
      <c r="R1747" t="s">
        <v>102</v>
      </c>
      <c r="S1747">
        <v>0</v>
      </c>
      <c r="T1747" s="6">
        <f>10^-(14-Q1747)</f>
        <v>3.1622776601683699E-8</v>
      </c>
      <c r="U1747" s="6">
        <v>0</v>
      </c>
      <c r="V1747" s="6">
        <v>0</v>
      </c>
      <c r="W1747" s="6">
        <v>0</v>
      </c>
      <c r="X1747" s="6">
        <v>0</v>
      </c>
      <c r="Y1747" t="s">
        <v>171</v>
      </c>
      <c r="AD1747">
        <v>1</v>
      </c>
      <c r="AE1747">
        <v>65</v>
      </c>
      <c r="AF1747">
        <v>1</v>
      </c>
      <c r="AG1747" s="9">
        <v>2.9000000000000001E-2</v>
      </c>
      <c r="AH1747" s="9">
        <v>5.82</v>
      </c>
      <c r="AI1747" s="9">
        <v>0.32</v>
      </c>
      <c r="AJ1747" s="9">
        <v>3.5000000000000003E-2</v>
      </c>
      <c r="AK1747" s="9">
        <v>1E-3</v>
      </c>
      <c r="AL1747" s="9">
        <v>17.2</v>
      </c>
      <c r="AM1747" s="9">
        <v>4.6399999999999997</v>
      </c>
      <c r="AN1747" s="9">
        <v>2.3E-2</v>
      </c>
      <c r="AO1747" s="9">
        <v>6.1499999999999999E-2</v>
      </c>
    </row>
    <row r="1748" spans="1:41" x14ac:dyDescent="0.3">
      <c r="A1748" t="s">
        <v>859</v>
      </c>
      <c r="B1748" t="s">
        <v>1616</v>
      </c>
      <c r="C1748">
        <v>77</v>
      </c>
      <c r="D1748" s="8" t="s">
        <v>781</v>
      </c>
      <c r="H1748" t="s">
        <v>987</v>
      </c>
      <c r="K1748" s="4">
        <v>8.3333333333333329E-2</v>
      </c>
      <c r="N1748" s="3">
        <v>0.6</v>
      </c>
      <c r="O1748" s="3">
        <v>0</v>
      </c>
      <c r="P1748">
        <v>22.5</v>
      </c>
      <c r="Q1748">
        <v>6.5</v>
      </c>
      <c r="R1748" t="s">
        <v>102</v>
      </c>
      <c r="S1748">
        <v>0</v>
      </c>
      <c r="T1748" s="6">
        <f>10^-(14-Q1748)</f>
        <v>3.1622776601683699E-8</v>
      </c>
      <c r="U1748" s="6">
        <v>0</v>
      </c>
      <c r="V1748" s="6">
        <v>0</v>
      </c>
      <c r="W1748" s="6">
        <v>0</v>
      </c>
      <c r="X1748" s="6">
        <v>0</v>
      </c>
      <c r="Y1748" t="s">
        <v>171</v>
      </c>
      <c r="AD1748">
        <v>1</v>
      </c>
      <c r="AE1748">
        <v>55</v>
      </c>
      <c r="AF1748">
        <v>1</v>
      </c>
      <c r="AG1748" s="9">
        <v>2.9000000000000001E-2</v>
      </c>
      <c r="AH1748" s="9">
        <v>5.82</v>
      </c>
      <c r="AI1748" s="9">
        <v>0.32</v>
      </c>
      <c r="AJ1748" s="9">
        <v>3.5000000000000003E-2</v>
      </c>
      <c r="AK1748" s="9">
        <v>1E-3</v>
      </c>
      <c r="AL1748" s="9">
        <v>17.2</v>
      </c>
      <c r="AM1748" s="9">
        <v>4.6399999999999997</v>
      </c>
      <c r="AN1748" s="9">
        <v>2.3E-2</v>
      </c>
      <c r="AO1748" s="9">
        <v>6.1499999999999999E-2</v>
      </c>
    </row>
    <row r="1749" spans="1:41" x14ac:dyDescent="0.3">
      <c r="A1749" t="s">
        <v>860</v>
      </c>
      <c r="B1749" t="s">
        <v>1616</v>
      </c>
      <c r="C1749">
        <v>77</v>
      </c>
      <c r="D1749" s="8" t="s">
        <v>781</v>
      </c>
      <c r="H1749" t="s">
        <v>987</v>
      </c>
      <c r="K1749" s="4">
        <v>8.3333333333333329E-2</v>
      </c>
      <c r="N1749" s="3">
        <v>0.6</v>
      </c>
      <c r="O1749" s="3">
        <v>0</v>
      </c>
      <c r="P1749">
        <v>22.5</v>
      </c>
      <c r="Q1749">
        <v>6.5</v>
      </c>
      <c r="R1749" t="s">
        <v>102</v>
      </c>
      <c r="S1749">
        <v>0</v>
      </c>
      <c r="T1749" s="6">
        <f>10^-(14-Q1749)</f>
        <v>3.1622776601683699E-8</v>
      </c>
      <c r="U1749" s="6">
        <v>0</v>
      </c>
      <c r="V1749" s="6">
        <v>0</v>
      </c>
      <c r="W1749" s="6">
        <v>0</v>
      </c>
      <c r="X1749" s="6">
        <v>0</v>
      </c>
      <c r="Y1749" t="s">
        <v>171</v>
      </c>
      <c r="AD1749">
        <v>1</v>
      </c>
      <c r="AE1749">
        <v>65</v>
      </c>
      <c r="AF1749">
        <v>1</v>
      </c>
      <c r="AG1749" s="9">
        <v>2.9000000000000001E-2</v>
      </c>
      <c r="AH1749" s="9">
        <v>5.82</v>
      </c>
      <c r="AI1749" s="9">
        <v>0.32</v>
      </c>
      <c r="AJ1749" s="9">
        <v>3.5000000000000003E-2</v>
      </c>
      <c r="AK1749" s="9">
        <v>1E-3</v>
      </c>
      <c r="AL1749" s="9">
        <v>17.2</v>
      </c>
      <c r="AM1749" s="9">
        <v>4.6399999999999997</v>
      </c>
      <c r="AN1749" s="9">
        <v>2.3E-2</v>
      </c>
      <c r="AO1749" s="9">
        <v>6.1499999999999999E-2</v>
      </c>
    </row>
    <row r="1750" spans="1:41" x14ac:dyDescent="0.3">
      <c r="A1750" t="s">
        <v>881</v>
      </c>
      <c r="B1750" t="s">
        <v>1616</v>
      </c>
      <c r="C1750">
        <v>77</v>
      </c>
      <c r="D1750" s="8" t="s">
        <v>781</v>
      </c>
      <c r="H1750" t="s">
        <v>987</v>
      </c>
      <c r="K1750" s="4">
        <v>8.3333333333333329E-2</v>
      </c>
      <c r="N1750" s="3">
        <v>0.6</v>
      </c>
      <c r="O1750" s="3">
        <v>0</v>
      </c>
      <c r="P1750">
        <v>22.5</v>
      </c>
      <c r="Q1750">
        <v>6.5</v>
      </c>
      <c r="R1750" t="s">
        <v>778</v>
      </c>
      <c r="S1750">
        <v>1.2</v>
      </c>
      <c r="T1750" s="6">
        <f>10^-(14-Q1750)</f>
        <v>3.1622776601683699E-8</v>
      </c>
      <c r="U1750" s="6">
        <v>1.2</v>
      </c>
      <c r="V1750" s="6">
        <v>0</v>
      </c>
      <c r="W1750" s="6">
        <v>0</v>
      </c>
      <c r="X1750" s="6">
        <v>0</v>
      </c>
      <c r="Y1750" t="s">
        <v>171</v>
      </c>
      <c r="AD1750">
        <v>1</v>
      </c>
      <c r="AE1750">
        <v>195</v>
      </c>
      <c r="AF1750">
        <v>1</v>
      </c>
      <c r="AG1750" s="9">
        <v>2.9000000000000001E-2</v>
      </c>
      <c r="AH1750" s="9">
        <v>5.82</v>
      </c>
      <c r="AI1750" s="9">
        <v>0.32</v>
      </c>
      <c r="AJ1750" s="9">
        <v>3.5000000000000003E-2</v>
      </c>
      <c r="AK1750" s="9">
        <v>1E-3</v>
      </c>
      <c r="AL1750" s="9">
        <v>17.2</v>
      </c>
      <c r="AM1750" s="9">
        <v>4.6399999999999997</v>
      </c>
      <c r="AN1750" s="9">
        <v>2.3E-2</v>
      </c>
      <c r="AO1750" s="9">
        <v>6.1499999999999999E-2</v>
      </c>
    </row>
    <row r="1751" spans="1:41" x14ac:dyDescent="0.3">
      <c r="A1751" t="s">
        <v>882</v>
      </c>
      <c r="B1751" t="s">
        <v>1616</v>
      </c>
      <c r="C1751">
        <v>77</v>
      </c>
      <c r="D1751" s="8" t="s">
        <v>781</v>
      </c>
      <c r="H1751" t="s">
        <v>987</v>
      </c>
      <c r="K1751" s="4">
        <v>8.3333333333333329E-2</v>
      </c>
      <c r="N1751" s="3">
        <v>0.6</v>
      </c>
      <c r="O1751" s="3">
        <v>0</v>
      </c>
      <c r="P1751">
        <v>22.5</v>
      </c>
      <c r="Q1751">
        <v>6.5</v>
      </c>
      <c r="R1751" t="s">
        <v>778</v>
      </c>
      <c r="S1751">
        <v>1.2</v>
      </c>
      <c r="T1751" s="6">
        <f>10^-(14-Q1751)</f>
        <v>3.1622776601683699E-8</v>
      </c>
      <c r="U1751" s="6">
        <v>1.2</v>
      </c>
      <c r="V1751" s="6">
        <v>0</v>
      </c>
      <c r="W1751" s="6">
        <v>0</v>
      </c>
      <c r="X1751" s="6">
        <v>0</v>
      </c>
      <c r="Y1751" t="s">
        <v>171</v>
      </c>
      <c r="AD1751">
        <v>1</v>
      </c>
      <c r="AE1751">
        <v>195</v>
      </c>
      <c r="AF1751">
        <v>1</v>
      </c>
      <c r="AG1751" s="9">
        <v>2.9000000000000001E-2</v>
      </c>
      <c r="AH1751" s="9">
        <v>5.82</v>
      </c>
      <c r="AI1751" s="9">
        <v>0.32</v>
      </c>
      <c r="AJ1751" s="9">
        <v>3.5000000000000003E-2</v>
      </c>
      <c r="AK1751" s="9">
        <v>1E-3</v>
      </c>
      <c r="AL1751" s="9">
        <v>17.2</v>
      </c>
      <c r="AM1751" s="9">
        <v>4.6399999999999997</v>
      </c>
      <c r="AN1751" s="9">
        <v>2.3E-2</v>
      </c>
      <c r="AO1751" s="9">
        <v>6.1499999999999999E-2</v>
      </c>
    </row>
    <row r="1752" spans="1:41" x14ac:dyDescent="0.3">
      <c r="A1752" t="s">
        <v>883</v>
      </c>
      <c r="B1752" t="s">
        <v>1616</v>
      </c>
      <c r="C1752">
        <v>77</v>
      </c>
      <c r="D1752" s="8" t="s">
        <v>781</v>
      </c>
      <c r="H1752" t="s">
        <v>987</v>
      </c>
      <c r="K1752" s="4">
        <v>8.3333333333333329E-2</v>
      </c>
      <c r="N1752" s="3">
        <v>0.6</v>
      </c>
      <c r="O1752" s="3">
        <v>0</v>
      </c>
      <c r="P1752">
        <v>22.5</v>
      </c>
      <c r="Q1752">
        <v>6.5</v>
      </c>
      <c r="R1752" t="s">
        <v>778</v>
      </c>
      <c r="S1752">
        <v>1.2</v>
      </c>
      <c r="T1752" s="6">
        <f>10^-(14-Q1752)</f>
        <v>3.1622776601683699E-8</v>
      </c>
      <c r="U1752" s="6">
        <v>1.2</v>
      </c>
      <c r="V1752" s="6">
        <v>0</v>
      </c>
      <c r="W1752" s="6">
        <v>0</v>
      </c>
      <c r="X1752" s="6">
        <v>0</v>
      </c>
      <c r="Y1752" t="s">
        <v>171</v>
      </c>
      <c r="AD1752">
        <v>1</v>
      </c>
      <c r="AE1752">
        <v>275</v>
      </c>
      <c r="AF1752">
        <v>1</v>
      </c>
      <c r="AG1752" s="9">
        <v>2.9000000000000001E-2</v>
      </c>
      <c r="AH1752" s="9">
        <v>5.82</v>
      </c>
      <c r="AI1752" s="9">
        <v>0.32</v>
      </c>
      <c r="AJ1752" s="9">
        <v>3.5000000000000003E-2</v>
      </c>
      <c r="AK1752" s="9">
        <v>1E-3</v>
      </c>
      <c r="AL1752" s="9">
        <v>17.2</v>
      </c>
      <c r="AM1752" s="9">
        <v>4.6399999999999997</v>
      </c>
      <c r="AN1752" s="9">
        <v>2.3E-2</v>
      </c>
      <c r="AO1752" s="9">
        <v>6.1499999999999999E-2</v>
      </c>
    </row>
    <row r="1753" spans="1:41" x14ac:dyDescent="0.3">
      <c r="A1753" t="s">
        <v>884</v>
      </c>
      <c r="B1753" t="s">
        <v>1616</v>
      </c>
      <c r="C1753">
        <v>77</v>
      </c>
      <c r="D1753" s="8" t="s">
        <v>781</v>
      </c>
      <c r="H1753" t="s">
        <v>987</v>
      </c>
      <c r="K1753" s="4">
        <v>8.3333333333333329E-2</v>
      </c>
      <c r="N1753" s="3">
        <v>0.6</v>
      </c>
      <c r="O1753" s="3">
        <v>0</v>
      </c>
      <c r="P1753">
        <v>22.5</v>
      </c>
      <c r="Q1753">
        <v>6.5</v>
      </c>
      <c r="R1753" t="s">
        <v>778</v>
      </c>
      <c r="S1753">
        <v>1.2</v>
      </c>
      <c r="T1753" s="6">
        <f>10^-(14-Q1753)</f>
        <v>3.1622776601683699E-8</v>
      </c>
      <c r="U1753" s="6">
        <v>1.2</v>
      </c>
      <c r="V1753" s="6">
        <v>0</v>
      </c>
      <c r="W1753" s="6">
        <v>0</v>
      </c>
      <c r="X1753" s="6">
        <v>0</v>
      </c>
      <c r="Y1753" t="s">
        <v>171</v>
      </c>
      <c r="AD1753">
        <v>1</v>
      </c>
      <c r="AE1753">
        <v>375</v>
      </c>
      <c r="AF1753">
        <v>1</v>
      </c>
      <c r="AG1753" s="9">
        <v>2.9000000000000001E-2</v>
      </c>
      <c r="AH1753" s="9">
        <v>5.82</v>
      </c>
      <c r="AI1753" s="9">
        <v>0.32</v>
      </c>
      <c r="AJ1753" s="9">
        <v>3.5000000000000003E-2</v>
      </c>
      <c r="AK1753" s="9">
        <v>1E-3</v>
      </c>
      <c r="AL1753" s="9">
        <v>17.2</v>
      </c>
      <c r="AM1753" s="9">
        <v>4.6399999999999997</v>
      </c>
      <c r="AN1753" s="9">
        <v>2.3E-2</v>
      </c>
      <c r="AO1753" s="9">
        <v>6.1499999999999999E-2</v>
      </c>
    </row>
    <row r="1754" spans="1:41" x14ac:dyDescent="0.3">
      <c r="A1754" t="s">
        <v>885</v>
      </c>
      <c r="B1754" t="s">
        <v>1616</v>
      </c>
      <c r="C1754">
        <v>77</v>
      </c>
      <c r="D1754" s="8" t="s">
        <v>781</v>
      </c>
      <c r="H1754" t="s">
        <v>987</v>
      </c>
      <c r="K1754" s="4">
        <v>8.3333333333333329E-2</v>
      </c>
      <c r="N1754" s="3">
        <v>0.6</v>
      </c>
      <c r="O1754" s="3">
        <v>0</v>
      </c>
      <c r="P1754">
        <v>22.5</v>
      </c>
      <c r="Q1754">
        <v>6.5</v>
      </c>
      <c r="R1754" t="s">
        <v>778</v>
      </c>
      <c r="S1754">
        <v>1.2</v>
      </c>
      <c r="T1754" s="6">
        <f>10^-(14-Q1754)</f>
        <v>3.1622776601683699E-8</v>
      </c>
      <c r="U1754" s="6">
        <v>1.2</v>
      </c>
      <c r="V1754" s="6">
        <v>0</v>
      </c>
      <c r="W1754" s="6">
        <v>0</v>
      </c>
      <c r="X1754" s="6">
        <v>0</v>
      </c>
      <c r="Y1754" t="s">
        <v>171</v>
      </c>
      <c r="AD1754">
        <v>1</v>
      </c>
      <c r="AE1754">
        <v>375</v>
      </c>
      <c r="AF1754">
        <v>1</v>
      </c>
      <c r="AG1754" s="9">
        <v>2.9000000000000001E-2</v>
      </c>
      <c r="AH1754" s="9">
        <v>5.82</v>
      </c>
      <c r="AI1754" s="9">
        <v>0.32</v>
      </c>
      <c r="AJ1754" s="9">
        <v>3.5000000000000003E-2</v>
      </c>
      <c r="AK1754" s="9">
        <v>1E-3</v>
      </c>
      <c r="AL1754" s="9">
        <v>17.2</v>
      </c>
      <c r="AM1754" s="9">
        <v>4.6399999999999997</v>
      </c>
      <c r="AN1754" s="9">
        <v>2.3E-2</v>
      </c>
      <c r="AO1754" s="9">
        <v>6.1499999999999999E-2</v>
      </c>
    </row>
    <row r="1755" spans="1:41" x14ac:dyDescent="0.3">
      <c r="A1755" t="s">
        <v>886</v>
      </c>
      <c r="B1755" t="s">
        <v>1616</v>
      </c>
      <c r="C1755">
        <v>77</v>
      </c>
      <c r="D1755" s="8" t="s">
        <v>781</v>
      </c>
      <c r="H1755" t="s">
        <v>987</v>
      </c>
      <c r="K1755" s="4">
        <v>8.3333333333333329E-2</v>
      </c>
      <c r="N1755" s="3">
        <v>0.6</v>
      </c>
      <c r="O1755" s="3">
        <v>0</v>
      </c>
      <c r="P1755">
        <v>22.5</v>
      </c>
      <c r="Q1755">
        <v>6.5</v>
      </c>
      <c r="R1755" t="s">
        <v>780</v>
      </c>
      <c r="S1755">
        <v>0.3</v>
      </c>
      <c r="T1755" s="6">
        <f>10^-(14-Q1755)</f>
        <v>3.1622776601683699E-8</v>
      </c>
      <c r="U1755" s="6">
        <v>0.3</v>
      </c>
      <c r="V1755" s="6">
        <v>0</v>
      </c>
      <c r="W1755" s="6">
        <v>0</v>
      </c>
      <c r="X1755" s="6">
        <v>0</v>
      </c>
      <c r="Y1755" t="s">
        <v>171</v>
      </c>
      <c r="AD1755">
        <v>1</v>
      </c>
      <c r="AE1755">
        <v>95</v>
      </c>
      <c r="AF1755">
        <v>1</v>
      </c>
      <c r="AG1755" s="9">
        <v>2.9000000000000001E-2</v>
      </c>
      <c r="AH1755" s="9">
        <v>5.82</v>
      </c>
      <c r="AI1755" s="9">
        <v>0.32</v>
      </c>
      <c r="AJ1755" s="9">
        <v>3.5000000000000003E-2</v>
      </c>
      <c r="AK1755" s="9">
        <v>1E-3</v>
      </c>
      <c r="AL1755" s="9">
        <v>17.2</v>
      </c>
      <c r="AM1755" s="9">
        <v>4.6399999999999997</v>
      </c>
      <c r="AN1755" s="9">
        <v>2.3E-2</v>
      </c>
      <c r="AO1755" s="9">
        <v>6.1499999999999999E-2</v>
      </c>
    </row>
    <row r="1756" spans="1:41" x14ac:dyDescent="0.3">
      <c r="A1756" t="s">
        <v>887</v>
      </c>
      <c r="B1756" t="s">
        <v>1616</v>
      </c>
      <c r="C1756">
        <v>77</v>
      </c>
      <c r="D1756" s="8" t="s">
        <v>781</v>
      </c>
      <c r="H1756" t="s">
        <v>987</v>
      </c>
      <c r="K1756" s="4">
        <v>8.3333333333333329E-2</v>
      </c>
      <c r="N1756" s="3">
        <v>0.6</v>
      </c>
      <c r="O1756" s="3">
        <v>0</v>
      </c>
      <c r="P1756">
        <v>22.5</v>
      </c>
      <c r="Q1756">
        <v>6.5</v>
      </c>
      <c r="R1756" t="s">
        <v>780</v>
      </c>
      <c r="S1756">
        <v>0.3</v>
      </c>
      <c r="T1756" s="6">
        <f>10^-(14-Q1756)</f>
        <v>3.1622776601683699E-8</v>
      </c>
      <c r="U1756" s="6">
        <v>0.3</v>
      </c>
      <c r="V1756" s="6">
        <v>0</v>
      </c>
      <c r="W1756" s="6">
        <v>0</v>
      </c>
      <c r="X1756" s="6">
        <v>0</v>
      </c>
      <c r="Y1756" t="s">
        <v>171</v>
      </c>
      <c r="AD1756">
        <v>1</v>
      </c>
      <c r="AE1756">
        <v>155</v>
      </c>
      <c r="AF1756">
        <v>1</v>
      </c>
      <c r="AG1756" s="9">
        <v>2.9000000000000001E-2</v>
      </c>
      <c r="AH1756" s="9">
        <v>5.82</v>
      </c>
      <c r="AI1756" s="9">
        <v>0.32</v>
      </c>
      <c r="AJ1756" s="9">
        <v>3.5000000000000003E-2</v>
      </c>
      <c r="AK1756" s="9">
        <v>1E-3</v>
      </c>
      <c r="AL1756" s="9">
        <v>17.2</v>
      </c>
      <c r="AM1756" s="9">
        <v>4.6399999999999997</v>
      </c>
      <c r="AN1756" s="9">
        <v>2.3E-2</v>
      </c>
      <c r="AO1756" s="9">
        <v>6.1499999999999999E-2</v>
      </c>
    </row>
    <row r="1757" spans="1:41" x14ac:dyDescent="0.3">
      <c r="A1757" t="s">
        <v>888</v>
      </c>
      <c r="B1757" t="s">
        <v>1616</v>
      </c>
      <c r="C1757">
        <v>77</v>
      </c>
      <c r="D1757" s="8" t="s">
        <v>781</v>
      </c>
      <c r="H1757" t="s">
        <v>987</v>
      </c>
      <c r="K1757" s="4">
        <v>8.3333333333333329E-2</v>
      </c>
      <c r="N1757" s="3">
        <v>0.6</v>
      </c>
      <c r="O1757" s="3">
        <v>0</v>
      </c>
      <c r="P1757">
        <v>22.5</v>
      </c>
      <c r="Q1757">
        <v>6.5</v>
      </c>
      <c r="R1757" t="s">
        <v>780</v>
      </c>
      <c r="S1757">
        <v>0.3</v>
      </c>
      <c r="T1757" s="6">
        <f>10^-(14-Q1757)</f>
        <v>3.1622776601683699E-8</v>
      </c>
      <c r="U1757" s="6">
        <v>0.3</v>
      </c>
      <c r="V1757" s="6">
        <v>0</v>
      </c>
      <c r="W1757" s="6">
        <v>0</v>
      </c>
      <c r="X1757" s="6">
        <v>0</v>
      </c>
      <c r="Y1757" t="s">
        <v>171</v>
      </c>
      <c r="AD1757">
        <v>1</v>
      </c>
      <c r="AE1757">
        <v>95</v>
      </c>
      <c r="AF1757">
        <v>1</v>
      </c>
      <c r="AG1757" s="9">
        <v>2.9000000000000001E-2</v>
      </c>
      <c r="AH1757" s="9">
        <v>5.82</v>
      </c>
      <c r="AI1757" s="9">
        <v>0.32</v>
      </c>
      <c r="AJ1757" s="9">
        <v>3.5000000000000003E-2</v>
      </c>
      <c r="AK1757" s="9">
        <v>1E-3</v>
      </c>
      <c r="AL1757" s="9">
        <v>17.2</v>
      </c>
      <c r="AM1757" s="9">
        <v>4.6399999999999997</v>
      </c>
      <c r="AN1757" s="9">
        <v>2.3E-2</v>
      </c>
      <c r="AO1757" s="9">
        <v>6.1499999999999999E-2</v>
      </c>
    </row>
    <row r="1758" spans="1:41" x14ac:dyDescent="0.3">
      <c r="A1758" t="s">
        <v>889</v>
      </c>
      <c r="B1758" t="s">
        <v>1616</v>
      </c>
      <c r="C1758">
        <v>77</v>
      </c>
      <c r="D1758" s="8" t="s">
        <v>781</v>
      </c>
      <c r="H1758" t="s">
        <v>987</v>
      </c>
      <c r="K1758" s="4">
        <v>8.3333333333333329E-2</v>
      </c>
      <c r="N1758" s="3">
        <v>0.6</v>
      </c>
      <c r="O1758" s="3">
        <v>0</v>
      </c>
      <c r="P1758">
        <v>22.5</v>
      </c>
      <c r="Q1758">
        <v>6.5</v>
      </c>
      <c r="R1758" t="s">
        <v>780</v>
      </c>
      <c r="S1758">
        <v>0.3</v>
      </c>
      <c r="T1758" s="6">
        <f>10^-(14-Q1758)</f>
        <v>3.1622776601683699E-8</v>
      </c>
      <c r="U1758" s="6">
        <v>0.3</v>
      </c>
      <c r="V1758" s="6">
        <v>0</v>
      </c>
      <c r="W1758" s="6">
        <v>0</v>
      </c>
      <c r="X1758" s="6">
        <v>0</v>
      </c>
      <c r="Y1758" t="s">
        <v>171</v>
      </c>
      <c r="AD1758">
        <v>1</v>
      </c>
      <c r="AE1758">
        <v>175</v>
      </c>
      <c r="AF1758">
        <v>1</v>
      </c>
      <c r="AG1758" s="9">
        <v>2.9000000000000001E-2</v>
      </c>
      <c r="AH1758" s="9">
        <v>5.82</v>
      </c>
      <c r="AI1758" s="9">
        <v>0.32</v>
      </c>
      <c r="AJ1758" s="9">
        <v>3.5000000000000003E-2</v>
      </c>
      <c r="AK1758" s="9">
        <v>1E-3</v>
      </c>
      <c r="AL1758" s="9">
        <v>17.2</v>
      </c>
      <c r="AM1758" s="9">
        <v>4.6399999999999997</v>
      </c>
      <c r="AN1758" s="9">
        <v>2.3E-2</v>
      </c>
      <c r="AO1758" s="9">
        <v>6.1499999999999999E-2</v>
      </c>
    </row>
    <row r="1759" spans="1:41" x14ac:dyDescent="0.3">
      <c r="A1759" t="s">
        <v>890</v>
      </c>
      <c r="B1759" t="s">
        <v>1616</v>
      </c>
      <c r="C1759">
        <v>77</v>
      </c>
      <c r="D1759" s="8" t="s">
        <v>781</v>
      </c>
      <c r="H1759" t="s">
        <v>987</v>
      </c>
      <c r="K1759" s="4">
        <v>8.3333333333333329E-2</v>
      </c>
      <c r="N1759" s="3">
        <v>0.6</v>
      </c>
      <c r="O1759" s="3">
        <v>0</v>
      </c>
      <c r="P1759">
        <v>22.5</v>
      </c>
      <c r="Q1759">
        <v>6.5</v>
      </c>
      <c r="R1759" t="s">
        <v>780</v>
      </c>
      <c r="S1759">
        <v>0.3</v>
      </c>
      <c r="T1759" s="6">
        <f>10^-(14-Q1759)</f>
        <v>3.1622776601683699E-8</v>
      </c>
      <c r="U1759" s="6">
        <v>0.3</v>
      </c>
      <c r="V1759" s="6">
        <v>0</v>
      </c>
      <c r="W1759" s="6">
        <v>0</v>
      </c>
      <c r="X1759" s="6">
        <v>0</v>
      </c>
      <c r="Y1759" t="s">
        <v>171</v>
      </c>
      <c r="AD1759">
        <v>1</v>
      </c>
      <c r="AE1759">
        <v>155</v>
      </c>
      <c r="AF1759">
        <v>1</v>
      </c>
      <c r="AG1759" s="9">
        <v>2.9000000000000001E-2</v>
      </c>
      <c r="AH1759" s="9">
        <v>5.82</v>
      </c>
      <c r="AI1759" s="9">
        <v>0.32</v>
      </c>
      <c r="AJ1759" s="9">
        <v>3.5000000000000003E-2</v>
      </c>
      <c r="AK1759" s="9">
        <v>1E-3</v>
      </c>
      <c r="AL1759" s="9">
        <v>17.2</v>
      </c>
      <c r="AM1759" s="9">
        <v>4.6399999999999997</v>
      </c>
      <c r="AN1759" s="9">
        <v>2.3E-2</v>
      </c>
      <c r="AO1759" s="9">
        <v>6.1499999999999999E-2</v>
      </c>
    </row>
    <row r="1760" spans="1:41" x14ac:dyDescent="0.3">
      <c r="A1760" t="s">
        <v>891</v>
      </c>
      <c r="B1760" t="s">
        <v>1616</v>
      </c>
      <c r="C1760">
        <v>77</v>
      </c>
      <c r="D1760" s="8" t="s">
        <v>781</v>
      </c>
      <c r="H1760" t="s">
        <v>987</v>
      </c>
      <c r="K1760" s="4">
        <v>8.3333333333333329E-2</v>
      </c>
      <c r="N1760" s="3">
        <v>0.6</v>
      </c>
      <c r="O1760" s="3">
        <v>0</v>
      </c>
      <c r="P1760">
        <v>22.5</v>
      </c>
      <c r="Q1760">
        <v>6.5</v>
      </c>
      <c r="R1760" t="s">
        <v>779</v>
      </c>
      <c r="S1760">
        <v>0.12</v>
      </c>
      <c r="T1760" s="6">
        <f>10^-(14-Q1760)</f>
        <v>3.1622776601683699E-8</v>
      </c>
      <c r="U1760" s="6">
        <v>0.12</v>
      </c>
      <c r="V1760" s="6">
        <v>0</v>
      </c>
      <c r="W1760" s="6">
        <v>0</v>
      </c>
      <c r="X1760" s="6">
        <v>0</v>
      </c>
      <c r="Y1760" t="s">
        <v>171</v>
      </c>
      <c r="AD1760">
        <v>1</v>
      </c>
      <c r="AE1760">
        <v>55</v>
      </c>
      <c r="AF1760">
        <v>1</v>
      </c>
      <c r="AG1760" s="9">
        <v>2.9000000000000001E-2</v>
      </c>
      <c r="AH1760" s="9">
        <v>5.82</v>
      </c>
      <c r="AI1760" s="9">
        <v>0.32</v>
      </c>
      <c r="AJ1760" s="9">
        <v>3.5000000000000003E-2</v>
      </c>
      <c r="AK1760" s="9">
        <v>1E-3</v>
      </c>
      <c r="AL1760" s="9">
        <v>17.2</v>
      </c>
      <c r="AM1760" s="9">
        <v>4.6399999999999997</v>
      </c>
      <c r="AN1760" s="9">
        <v>2.3E-2</v>
      </c>
      <c r="AO1760" s="9">
        <v>6.1499999999999999E-2</v>
      </c>
    </row>
    <row r="1761" spans="1:41" x14ac:dyDescent="0.3">
      <c r="A1761" t="s">
        <v>892</v>
      </c>
      <c r="B1761" t="s">
        <v>1616</v>
      </c>
      <c r="C1761">
        <v>77</v>
      </c>
      <c r="D1761" s="8" t="s">
        <v>781</v>
      </c>
      <c r="H1761" t="s">
        <v>987</v>
      </c>
      <c r="K1761" s="4">
        <v>8.3333333333333329E-2</v>
      </c>
      <c r="N1761" s="3">
        <v>0.6</v>
      </c>
      <c r="O1761" s="3">
        <v>0</v>
      </c>
      <c r="P1761">
        <v>22.5</v>
      </c>
      <c r="Q1761">
        <v>6.5</v>
      </c>
      <c r="R1761" t="s">
        <v>779</v>
      </c>
      <c r="S1761">
        <v>0.12</v>
      </c>
      <c r="T1761" s="6">
        <f>10^-(14-Q1761)</f>
        <v>3.1622776601683699E-8</v>
      </c>
      <c r="U1761" s="6">
        <v>0.12</v>
      </c>
      <c r="V1761" s="6">
        <v>0</v>
      </c>
      <c r="W1761" s="6">
        <v>0</v>
      </c>
      <c r="X1761" s="6">
        <v>0</v>
      </c>
      <c r="Y1761" t="s">
        <v>171</v>
      </c>
      <c r="AD1761">
        <v>1</v>
      </c>
      <c r="AE1761">
        <v>55</v>
      </c>
      <c r="AF1761">
        <v>1</v>
      </c>
      <c r="AG1761" s="9">
        <v>2.9000000000000001E-2</v>
      </c>
      <c r="AH1761" s="9">
        <v>5.82</v>
      </c>
      <c r="AI1761" s="9">
        <v>0.32</v>
      </c>
      <c r="AJ1761" s="9">
        <v>3.5000000000000003E-2</v>
      </c>
      <c r="AK1761" s="9">
        <v>1E-3</v>
      </c>
      <c r="AL1761" s="9">
        <v>17.2</v>
      </c>
      <c r="AM1761" s="9">
        <v>4.6399999999999997</v>
      </c>
      <c r="AN1761" s="9">
        <v>2.3E-2</v>
      </c>
      <c r="AO1761" s="9">
        <v>6.1499999999999999E-2</v>
      </c>
    </row>
    <row r="1762" spans="1:41" x14ac:dyDescent="0.3">
      <c r="A1762" t="s">
        <v>893</v>
      </c>
      <c r="B1762" t="s">
        <v>1616</v>
      </c>
      <c r="C1762">
        <v>77</v>
      </c>
      <c r="D1762" s="8" t="s">
        <v>781</v>
      </c>
      <c r="H1762" t="s">
        <v>987</v>
      </c>
      <c r="K1762" s="4">
        <v>8.3333333333333329E-2</v>
      </c>
      <c r="N1762" s="3">
        <v>0.6</v>
      </c>
      <c r="O1762" s="3">
        <v>0</v>
      </c>
      <c r="P1762">
        <v>22.5</v>
      </c>
      <c r="Q1762">
        <v>6.5</v>
      </c>
      <c r="R1762" t="s">
        <v>779</v>
      </c>
      <c r="S1762">
        <v>0.12</v>
      </c>
      <c r="T1762" s="6">
        <f>10^-(14-Q1762)</f>
        <v>3.1622776601683699E-8</v>
      </c>
      <c r="U1762" s="6">
        <v>0.12</v>
      </c>
      <c r="V1762" s="6">
        <v>0</v>
      </c>
      <c r="W1762" s="6">
        <v>0</v>
      </c>
      <c r="X1762" s="6">
        <v>0</v>
      </c>
      <c r="Y1762" t="s">
        <v>171</v>
      </c>
      <c r="AD1762">
        <v>1</v>
      </c>
      <c r="AE1762">
        <v>-5</v>
      </c>
      <c r="AF1762">
        <v>1</v>
      </c>
      <c r="AG1762" s="9">
        <v>2.9000000000000001E-2</v>
      </c>
      <c r="AH1762" s="9">
        <v>5.82</v>
      </c>
      <c r="AI1762" s="9">
        <v>0.32</v>
      </c>
      <c r="AJ1762" s="9">
        <v>3.5000000000000003E-2</v>
      </c>
      <c r="AK1762" s="9">
        <v>1E-3</v>
      </c>
      <c r="AL1762" s="9">
        <v>17.2</v>
      </c>
      <c r="AM1762" s="9">
        <v>4.6399999999999997</v>
      </c>
      <c r="AN1762" s="9">
        <v>2.3E-2</v>
      </c>
      <c r="AO1762" s="9">
        <v>6.1499999999999999E-2</v>
      </c>
    </row>
    <row r="1763" spans="1:41" x14ac:dyDescent="0.3">
      <c r="A1763" t="s">
        <v>894</v>
      </c>
      <c r="B1763" t="s">
        <v>1616</v>
      </c>
      <c r="C1763">
        <v>77</v>
      </c>
      <c r="D1763" s="8" t="s">
        <v>781</v>
      </c>
      <c r="H1763" t="s">
        <v>987</v>
      </c>
      <c r="K1763" s="4">
        <v>8.3333333333333329E-2</v>
      </c>
      <c r="N1763" s="3">
        <v>0.6</v>
      </c>
      <c r="O1763" s="3">
        <v>0</v>
      </c>
      <c r="P1763">
        <v>22.5</v>
      </c>
      <c r="Q1763">
        <v>6.5</v>
      </c>
      <c r="R1763" t="s">
        <v>779</v>
      </c>
      <c r="S1763">
        <v>0.12</v>
      </c>
      <c r="T1763" s="6">
        <f>10^-(14-Q1763)</f>
        <v>3.1622776601683699E-8</v>
      </c>
      <c r="U1763" s="6">
        <v>0.12</v>
      </c>
      <c r="V1763" s="6">
        <v>0</v>
      </c>
      <c r="W1763" s="6">
        <v>0</v>
      </c>
      <c r="X1763" s="6">
        <v>0</v>
      </c>
      <c r="Y1763" t="s">
        <v>171</v>
      </c>
      <c r="AD1763">
        <v>1</v>
      </c>
      <c r="AE1763">
        <v>65</v>
      </c>
      <c r="AF1763">
        <v>1</v>
      </c>
      <c r="AG1763" s="9">
        <v>2.9000000000000001E-2</v>
      </c>
      <c r="AH1763" s="9">
        <v>5.82</v>
      </c>
      <c r="AI1763" s="9">
        <v>0.32</v>
      </c>
      <c r="AJ1763" s="9">
        <v>3.5000000000000003E-2</v>
      </c>
      <c r="AK1763" s="9">
        <v>1E-3</v>
      </c>
      <c r="AL1763" s="9">
        <v>17.2</v>
      </c>
      <c r="AM1763" s="9">
        <v>4.6399999999999997</v>
      </c>
      <c r="AN1763" s="9">
        <v>2.3E-2</v>
      </c>
      <c r="AO1763" s="9">
        <v>6.1499999999999999E-2</v>
      </c>
    </row>
    <row r="1764" spans="1:41" x14ac:dyDescent="0.3">
      <c r="A1764" t="s">
        <v>895</v>
      </c>
      <c r="B1764" t="s">
        <v>1616</v>
      </c>
      <c r="C1764">
        <v>77</v>
      </c>
      <c r="D1764" s="8" t="s">
        <v>781</v>
      </c>
      <c r="H1764" t="s">
        <v>987</v>
      </c>
      <c r="K1764" s="4">
        <v>8.3333333333333329E-2</v>
      </c>
      <c r="N1764" s="3">
        <v>0.6</v>
      </c>
      <c r="O1764" s="3">
        <v>0</v>
      </c>
      <c r="P1764">
        <v>22.5</v>
      </c>
      <c r="Q1764">
        <v>6.5</v>
      </c>
      <c r="R1764" t="s">
        <v>779</v>
      </c>
      <c r="S1764">
        <v>0.12</v>
      </c>
      <c r="T1764" s="6">
        <f>10^-(14-Q1764)</f>
        <v>3.1622776601683699E-8</v>
      </c>
      <c r="U1764" s="6">
        <v>0.12</v>
      </c>
      <c r="V1764" s="6">
        <v>0</v>
      </c>
      <c r="W1764" s="6">
        <v>0</v>
      </c>
      <c r="X1764" s="6">
        <v>0</v>
      </c>
      <c r="Y1764" t="s">
        <v>171</v>
      </c>
      <c r="AD1764">
        <v>1</v>
      </c>
      <c r="AE1764">
        <v>85</v>
      </c>
      <c r="AF1764">
        <v>1</v>
      </c>
      <c r="AG1764" s="9">
        <v>2.9000000000000001E-2</v>
      </c>
      <c r="AH1764" s="9">
        <v>5.82</v>
      </c>
      <c r="AI1764" s="9">
        <v>0.32</v>
      </c>
      <c r="AJ1764" s="9">
        <v>3.5000000000000003E-2</v>
      </c>
      <c r="AK1764" s="9">
        <v>1E-3</v>
      </c>
      <c r="AL1764" s="9">
        <v>17.2</v>
      </c>
      <c r="AM1764" s="9">
        <v>4.6399999999999997</v>
      </c>
      <c r="AN1764" s="9">
        <v>2.3E-2</v>
      </c>
      <c r="AO1764" s="9">
        <v>6.1499999999999999E-2</v>
      </c>
    </row>
    <row r="1765" spans="1:41" x14ac:dyDescent="0.3">
      <c r="A1765" t="s">
        <v>896</v>
      </c>
      <c r="B1765" t="s">
        <v>1616</v>
      </c>
      <c r="C1765">
        <v>77</v>
      </c>
      <c r="D1765" s="8" t="s">
        <v>781</v>
      </c>
      <c r="H1765" t="s">
        <v>987</v>
      </c>
      <c r="K1765" s="4">
        <v>8.3333333333333329E-2</v>
      </c>
      <c r="N1765" s="3">
        <v>0.6</v>
      </c>
      <c r="O1765" s="3">
        <v>0</v>
      </c>
      <c r="P1765">
        <v>22.5</v>
      </c>
      <c r="Q1765">
        <v>6.5</v>
      </c>
      <c r="R1765" t="s">
        <v>102</v>
      </c>
      <c r="S1765">
        <v>0</v>
      </c>
      <c r="T1765" s="6">
        <f>10^-(14-Q1765)</f>
        <v>3.1622776601683699E-8</v>
      </c>
      <c r="U1765" s="6">
        <v>0</v>
      </c>
      <c r="V1765" s="6">
        <v>0</v>
      </c>
      <c r="W1765" s="6">
        <v>0</v>
      </c>
      <c r="X1765" s="6">
        <v>0</v>
      </c>
      <c r="Y1765" t="s">
        <v>171</v>
      </c>
      <c r="AD1765">
        <v>1</v>
      </c>
      <c r="AE1765">
        <v>75</v>
      </c>
      <c r="AF1765">
        <v>1</v>
      </c>
      <c r="AG1765" s="9">
        <v>2.9000000000000001E-2</v>
      </c>
      <c r="AH1765" s="9">
        <v>5.82</v>
      </c>
      <c r="AI1765" s="9">
        <v>0.32</v>
      </c>
      <c r="AJ1765" s="9">
        <v>3.5000000000000003E-2</v>
      </c>
      <c r="AK1765" s="9">
        <v>1E-3</v>
      </c>
      <c r="AL1765" s="9">
        <v>17.2</v>
      </c>
      <c r="AM1765" s="9">
        <v>4.6399999999999997</v>
      </c>
      <c r="AN1765" s="9">
        <v>2.3E-2</v>
      </c>
      <c r="AO1765" s="9">
        <v>6.1499999999999999E-2</v>
      </c>
    </row>
    <row r="1766" spans="1:41" x14ac:dyDescent="0.3">
      <c r="A1766" t="s">
        <v>897</v>
      </c>
      <c r="B1766" t="s">
        <v>1616</v>
      </c>
      <c r="C1766">
        <v>77</v>
      </c>
      <c r="D1766" s="8" t="s">
        <v>781</v>
      </c>
      <c r="H1766" t="s">
        <v>987</v>
      </c>
      <c r="K1766" s="4">
        <v>8.3333333333333329E-2</v>
      </c>
      <c r="N1766" s="3">
        <v>0.6</v>
      </c>
      <c r="O1766" s="3">
        <v>0</v>
      </c>
      <c r="P1766">
        <v>22.5</v>
      </c>
      <c r="Q1766">
        <v>6.5</v>
      </c>
      <c r="R1766" t="s">
        <v>102</v>
      </c>
      <c r="S1766">
        <v>0</v>
      </c>
      <c r="T1766" s="6">
        <f>10^-(14-Q1766)</f>
        <v>3.1622776601683699E-8</v>
      </c>
      <c r="U1766" s="6">
        <v>0</v>
      </c>
      <c r="V1766" s="6">
        <v>0</v>
      </c>
      <c r="W1766" s="6">
        <v>0</v>
      </c>
      <c r="X1766" s="6">
        <v>0</v>
      </c>
      <c r="Y1766" t="s">
        <v>171</v>
      </c>
      <c r="AD1766">
        <v>1</v>
      </c>
      <c r="AE1766">
        <v>15</v>
      </c>
      <c r="AF1766">
        <v>1</v>
      </c>
      <c r="AG1766" s="9">
        <v>2.9000000000000001E-2</v>
      </c>
      <c r="AH1766" s="9">
        <v>5.82</v>
      </c>
      <c r="AI1766" s="9">
        <v>0.32</v>
      </c>
      <c r="AJ1766" s="9">
        <v>3.5000000000000003E-2</v>
      </c>
      <c r="AK1766" s="9">
        <v>1E-3</v>
      </c>
      <c r="AL1766" s="9">
        <v>17.2</v>
      </c>
      <c r="AM1766" s="9">
        <v>4.6399999999999997</v>
      </c>
      <c r="AN1766" s="9">
        <v>2.3E-2</v>
      </c>
      <c r="AO1766" s="9">
        <v>6.1499999999999999E-2</v>
      </c>
    </row>
    <row r="1767" spans="1:41" x14ac:dyDescent="0.3">
      <c r="A1767" t="s">
        <v>898</v>
      </c>
      <c r="B1767" t="s">
        <v>1616</v>
      </c>
      <c r="C1767">
        <v>77</v>
      </c>
      <c r="D1767" s="8" t="s">
        <v>781</v>
      </c>
      <c r="H1767" t="s">
        <v>987</v>
      </c>
      <c r="K1767" s="4">
        <v>8.3333333333333329E-2</v>
      </c>
      <c r="N1767" s="3">
        <v>0.6</v>
      </c>
      <c r="O1767" s="3">
        <v>0</v>
      </c>
      <c r="P1767">
        <v>22.5</v>
      </c>
      <c r="Q1767">
        <v>6.5</v>
      </c>
      <c r="R1767" t="s">
        <v>102</v>
      </c>
      <c r="S1767">
        <v>0</v>
      </c>
      <c r="T1767" s="6">
        <f>10^-(14-Q1767)</f>
        <v>3.1622776601683699E-8</v>
      </c>
      <c r="U1767" s="6">
        <v>0</v>
      </c>
      <c r="V1767" s="6">
        <v>0</v>
      </c>
      <c r="W1767" s="6">
        <v>0</v>
      </c>
      <c r="X1767" s="6">
        <v>0</v>
      </c>
      <c r="Y1767" t="s">
        <v>171</v>
      </c>
      <c r="AD1767">
        <v>1</v>
      </c>
      <c r="AE1767">
        <v>15</v>
      </c>
      <c r="AF1767">
        <v>1</v>
      </c>
      <c r="AG1767" s="9">
        <v>2.9000000000000001E-2</v>
      </c>
      <c r="AH1767" s="9">
        <v>5.82</v>
      </c>
      <c r="AI1767" s="9">
        <v>0.32</v>
      </c>
      <c r="AJ1767" s="9">
        <v>3.5000000000000003E-2</v>
      </c>
      <c r="AK1767" s="9">
        <v>1E-3</v>
      </c>
      <c r="AL1767" s="9">
        <v>17.2</v>
      </c>
      <c r="AM1767" s="9">
        <v>4.6399999999999997</v>
      </c>
      <c r="AN1767" s="9">
        <v>2.3E-2</v>
      </c>
      <c r="AO1767" s="9">
        <v>6.1499999999999999E-2</v>
      </c>
    </row>
    <row r="1768" spans="1:41" x14ac:dyDescent="0.3">
      <c r="A1768" t="s">
        <v>899</v>
      </c>
      <c r="B1768" t="s">
        <v>1616</v>
      </c>
      <c r="C1768">
        <v>77</v>
      </c>
      <c r="D1768" s="8" t="s">
        <v>781</v>
      </c>
      <c r="H1768" t="s">
        <v>987</v>
      </c>
      <c r="K1768" s="4">
        <v>8.3333333333333329E-2</v>
      </c>
      <c r="N1768" s="3">
        <v>0.6</v>
      </c>
      <c r="O1768" s="3">
        <v>0</v>
      </c>
      <c r="P1768">
        <v>22.5</v>
      </c>
      <c r="Q1768">
        <v>6.5</v>
      </c>
      <c r="R1768" t="s">
        <v>102</v>
      </c>
      <c r="S1768">
        <v>0</v>
      </c>
      <c r="T1768" s="6">
        <f>10^-(14-Q1768)</f>
        <v>3.1622776601683699E-8</v>
      </c>
      <c r="U1768" s="6">
        <v>0</v>
      </c>
      <c r="V1768" s="6">
        <v>0</v>
      </c>
      <c r="W1768" s="6">
        <v>0</v>
      </c>
      <c r="X1768" s="6">
        <v>0</v>
      </c>
      <c r="Y1768" t="s">
        <v>171</v>
      </c>
      <c r="AD1768">
        <v>1</v>
      </c>
      <c r="AE1768">
        <v>5</v>
      </c>
      <c r="AF1768">
        <v>1</v>
      </c>
      <c r="AG1768" s="9">
        <v>2.9000000000000001E-2</v>
      </c>
      <c r="AH1768" s="9">
        <v>5.82</v>
      </c>
      <c r="AI1768" s="9">
        <v>0.32</v>
      </c>
      <c r="AJ1768" s="9">
        <v>3.5000000000000003E-2</v>
      </c>
      <c r="AK1768" s="9">
        <v>1E-3</v>
      </c>
      <c r="AL1768" s="9">
        <v>17.2</v>
      </c>
      <c r="AM1768" s="9">
        <v>4.6399999999999997</v>
      </c>
      <c r="AN1768" s="9">
        <v>2.3E-2</v>
      </c>
      <c r="AO1768" s="9">
        <v>6.1499999999999999E-2</v>
      </c>
    </row>
    <row r="1769" spans="1:41" x14ac:dyDescent="0.3">
      <c r="A1769" t="s">
        <v>900</v>
      </c>
      <c r="B1769" t="s">
        <v>1616</v>
      </c>
      <c r="C1769">
        <v>77</v>
      </c>
      <c r="D1769" s="8" t="s">
        <v>781</v>
      </c>
      <c r="H1769" t="s">
        <v>987</v>
      </c>
      <c r="K1769" s="4">
        <v>8.3333333333333329E-2</v>
      </c>
      <c r="N1769" s="3">
        <v>0.6</v>
      </c>
      <c r="O1769" s="3">
        <v>0</v>
      </c>
      <c r="P1769">
        <v>22.5</v>
      </c>
      <c r="Q1769">
        <v>6.5</v>
      </c>
      <c r="R1769" t="s">
        <v>102</v>
      </c>
      <c r="S1769">
        <v>0</v>
      </c>
      <c r="T1769" s="6">
        <f>10^-(14-Q1769)</f>
        <v>3.1622776601683699E-8</v>
      </c>
      <c r="U1769" s="6">
        <v>0</v>
      </c>
      <c r="V1769" s="6">
        <v>0</v>
      </c>
      <c r="W1769" s="6">
        <v>0</v>
      </c>
      <c r="X1769" s="6">
        <v>0</v>
      </c>
      <c r="Y1769" t="s">
        <v>171</v>
      </c>
      <c r="AD1769">
        <v>1</v>
      </c>
      <c r="AE1769">
        <v>15</v>
      </c>
      <c r="AF1769">
        <v>1</v>
      </c>
      <c r="AG1769" s="9">
        <v>2.9000000000000001E-2</v>
      </c>
      <c r="AH1769" s="9">
        <v>5.82</v>
      </c>
      <c r="AI1769" s="9">
        <v>0.32</v>
      </c>
      <c r="AJ1769" s="9">
        <v>3.5000000000000003E-2</v>
      </c>
      <c r="AK1769" s="9">
        <v>1E-3</v>
      </c>
      <c r="AL1769" s="9">
        <v>17.2</v>
      </c>
      <c r="AM1769" s="9">
        <v>4.6399999999999997</v>
      </c>
      <c r="AN1769" s="9">
        <v>2.3E-2</v>
      </c>
      <c r="AO1769" s="9">
        <v>6.1499999999999999E-2</v>
      </c>
    </row>
    <row r="1770" spans="1:41" x14ac:dyDescent="0.3">
      <c r="A1770" t="s">
        <v>771</v>
      </c>
      <c r="B1770" t="s">
        <v>1616</v>
      </c>
      <c r="C1770">
        <v>77</v>
      </c>
      <c r="D1770" s="8" t="s">
        <v>1631</v>
      </c>
      <c r="H1770" t="s">
        <v>987</v>
      </c>
      <c r="K1770" s="4">
        <v>8.3333333333333329E-2</v>
      </c>
      <c r="N1770" s="3">
        <v>0.6</v>
      </c>
      <c r="O1770" s="3">
        <v>0</v>
      </c>
      <c r="P1770">
        <v>22.5</v>
      </c>
      <c r="Q1770">
        <v>6.5</v>
      </c>
      <c r="R1770" t="s">
        <v>778</v>
      </c>
      <c r="S1770">
        <v>1.2</v>
      </c>
      <c r="T1770" s="6">
        <f>10^-(14-Q1770)</f>
        <v>3.1622776601683699E-8</v>
      </c>
      <c r="U1770" s="6">
        <v>1.2</v>
      </c>
      <c r="V1770" s="6">
        <v>0</v>
      </c>
      <c r="W1770" s="6">
        <v>0</v>
      </c>
      <c r="X1770" s="6">
        <v>0</v>
      </c>
      <c r="Y1770" t="s">
        <v>171</v>
      </c>
      <c r="AD1770">
        <v>1</v>
      </c>
      <c r="AE1770">
        <v>370</v>
      </c>
      <c r="AF1770">
        <v>1</v>
      </c>
      <c r="AG1770" s="9">
        <v>1.7000000000000001E-2</v>
      </c>
      <c r="AH1770" s="9">
        <v>1.54</v>
      </c>
      <c r="AI1770" s="9">
        <v>0.44</v>
      </c>
      <c r="AJ1770" s="9">
        <v>3.5000000000000003E-2</v>
      </c>
      <c r="AK1770" s="9">
        <v>2E-3</v>
      </c>
      <c r="AL1770" s="9">
        <v>18.5</v>
      </c>
      <c r="AM1770" s="9">
        <v>8.0299999999999994</v>
      </c>
      <c r="AN1770" s="9">
        <v>4.7E-2</v>
      </c>
      <c r="AO1770" s="9">
        <v>4.8300000000000003E-2</v>
      </c>
    </row>
    <row r="1771" spans="1:41" x14ac:dyDescent="0.3">
      <c r="A1771" t="s">
        <v>782</v>
      </c>
      <c r="B1771" t="s">
        <v>1616</v>
      </c>
      <c r="C1771">
        <v>77</v>
      </c>
      <c r="D1771" s="8" t="s">
        <v>1631</v>
      </c>
      <c r="H1771" t="s">
        <v>987</v>
      </c>
      <c r="K1771" s="4">
        <v>8.3333333333333329E-2</v>
      </c>
      <c r="N1771" s="3">
        <v>0.6</v>
      </c>
      <c r="O1771" s="3">
        <v>0</v>
      </c>
      <c r="P1771">
        <v>22.5</v>
      </c>
      <c r="Q1771">
        <v>6.5</v>
      </c>
      <c r="R1771" t="s">
        <v>778</v>
      </c>
      <c r="S1771">
        <v>1.2</v>
      </c>
      <c r="T1771" s="6">
        <f>10^-(14-Q1771)</f>
        <v>3.1622776601683699E-8</v>
      </c>
      <c r="U1771" s="6">
        <v>1.2</v>
      </c>
      <c r="V1771" s="6">
        <v>0</v>
      </c>
      <c r="W1771" s="6">
        <v>0</v>
      </c>
      <c r="X1771" s="6">
        <v>0</v>
      </c>
      <c r="Y1771" t="s">
        <v>171</v>
      </c>
      <c r="AD1771">
        <v>1</v>
      </c>
      <c r="AE1771">
        <v>350</v>
      </c>
      <c r="AF1771">
        <v>1</v>
      </c>
      <c r="AG1771" s="9">
        <v>1.7000000000000001E-2</v>
      </c>
      <c r="AH1771" s="9">
        <v>1.54</v>
      </c>
      <c r="AI1771" s="9">
        <v>0.44</v>
      </c>
      <c r="AJ1771" s="9">
        <v>3.5000000000000003E-2</v>
      </c>
      <c r="AK1771" s="9">
        <v>2E-3</v>
      </c>
      <c r="AL1771" s="9">
        <v>18.5</v>
      </c>
      <c r="AM1771" s="9">
        <v>8.0299999999999994</v>
      </c>
      <c r="AN1771" s="9">
        <v>4.7E-2</v>
      </c>
      <c r="AO1771" s="9">
        <v>4.8300000000000003E-2</v>
      </c>
    </row>
    <row r="1772" spans="1:41" x14ac:dyDescent="0.3">
      <c r="A1772" t="s">
        <v>783</v>
      </c>
      <c r="B1772" t="s">
        <v>1616</v>
      </c>
      <c r="C1772">
        <v>77</v>
      </c>
      <c r="D1772" s="8" t="s">
        <v>1631</v>
      </c>
      <c r="H1772" t="s">
        <v>987</v>
      </c>
      <c r="K1772" s="4">
        <v>8.3333333333333329E-2</v>
      </c>
      <c r="N1772" s="3">
        <v>0.6</v>
      </c>
      <c r="O1772" s="3">
        <v>0</v>
      </c>
      <c r="P1772">
        <v>22.5</v>
      </c>
      <c r="Q1772">
        <v>6.5</v>
      </c>
      <c r="R1772" t="s">
        <v>778</v>
      </c>
      <c r="S1772">
        <v>1.2</v>
      </c>
      <c r="T1772" s="6">
        <f>10^-(14-Q1772)</f>
        <v>3.1622776601683699E-8</v>
      </c>
      <c r="U1772" s="6">
        <v>1.2</v>
      </c>
      <c r="V1772" s="6">
        <v>0</v>
      </c>
      <c r="W1772" s="6">
        <v>0</v>
      </c>
      <c r="X1772" s="6">
        <v>0</v>
      </c>
      <c r="Y1772" t="s">
        <v>171</v>
      </c>
      <c r="AD1772">
        <v>1</v>
      </c>
      <c r="AE1772">
        <v>360</v>
      </c>
      <c r="AF1772">
        <v>1</v>
      </c>
      <c r="AG1772" s="9">
        <v>1.7000000000000001E-2</v>
      </c>
      <c r="AH1772" s="9">
        <v>1.54</v>
      </c>
      <c r="AI1772" s="9">
        <v>0.44</v>
      </c>
      <c r="AJ1772" s="9">
        <v>3.5000000000000003E-2</v>
      </c>
      <c r="AK1772" s="9">
        <v>2E-3</v>
      </c>
      <c r="AL1772" s="9">
        <v>18.5</v>
      </c>
      <c r="AM1772" s="9">
        <v>8.0299999999999994</v>
      </c>
      <c r="AN1772" s="9">
        <v>4.7E-2</v>
      </c>
      <c r="AO1772" s="9">
        <v>4.8300000000000003E-2</v>
      </c>
    </row>
    <row r="1773" spans="1:41" x14ac:dyDescent="0.3">
      <c r="A1773" t="s">
        <v>784</v>
      </c>
      <c r="B1773" t="s">
        <v>1616</v>
      </c>
      <c r="C1773">
        <v>77</v>
      </c>
      <c r="D1773" s="8" t="s">
        <v>1631</v>
      </c>
      <c r="H1773" t="s">
        <v>987</v>
      </c>
      <c r="K1773" s="4">
        <v>8.3333333333333329E-2</v>
      </c>
      <c r="N1773" s="3">
        <v>0.6</v>
      </c>
      <c r="O1773" s="3">
        <v>0</v>
      </c>
      <c r="P1773">
        <v>22.5</v>
      </c>
      <c r="Q1773">
        <v>6.5</v>
      </c>
      <c r="R1773" t="s">
        <v>778</v>
      </c>
      <c r="S1773">
        <v>1.2</v>
      </c>
      <c r="T1773" s="6">
        <f>10^-(14-Q1773)</f>
        <v>3.1622776601683699E-8</v>
      </c>
      <c r="U1773" s="6">
        <v>1.2</v>
      </c>
      <c r="V1773" s="6">
        <v>0</v>
      </c>
      <c r="W1773" s="6">
        <v>0</v>
      </c>
      <c r="X1773" s="6">
        <v>0</v>
      </c>
      <c r="Y1773" t="s">
        <v>171</v>
      </c>
      <c r="AD1773">
        <v>1</v>
      </c>
      <c r="AE1773">
        <v>350</v>
      </c>
      <c r="AF1773">
        <v>1</v>
      </c>
      <c r="AG1773" s="9">
        <v>1.7000000000000001E-2</v>
      </c>
      <c r="AH1773" s="9">
        <v>1.54</v>
      </c>
      <c r="AI1773" s="9">
        <v>0.44</v>
      </c>
      <c r="AJ1773" s="9">
        <v>3.5000000000000003E-2</v>
      </c>
      <c r="AK1773" s="9">
        <v>2E-3</v>
      </c>
      <c r="AL1773" s="9">
        <v>18.5</v>
      </c>
      <c r="AM1773" s="9">
        <v>8.0299999999999994</v>
      </c>
      <c r="AN1773" s="9">
        <v>4.7E-2</v>
      </c>
      <c r="AO1773" s="9">
        <v>4.8300000000000003E-2</v>
      </c>
    </row>
    <row r="1774" spans="1:41" x14ac:dyDescent="0.3">
      <c r="A1774" t="s">
        <v>785</v>
      </c>
      <c r="B1774" t="s">
        <v>1616</v>
      </c>
      <c r="C1774">
        <v>77</v>
      </c>
      <c r="D1774" s="8" t="s">
        <v>1631</v>
      </c>
      <c r="H1774" t="s">
        <v>987</v>
      </c>
      <c r="K1774" s="4">
        <v>8.3333333333333329E-2</v>
      </c>
      <c r="N1774" s="3">
        <v>0.6</v>
      </c>
      <c r="O1774" s="3">
        <v>0</v>
      </c>
      <c r="P1774">
        <v>22.5</v>
      </c>
      <c r="Q1774">
        <v>6.5</v>
      </c>
      <c r="R1774" t="s">
        <v>778</v>
      </c>
      <c r="S1774">
        <v>1.2</v>
      </c>
      <c r="T1774" s="6">
        <f>10^-(14-Q1774)</f>
        <v>3.1622776601683699E-8</v>
      </c>
      <c r="U1774" s="6">
        <v>1.2</v>
      </c>
      <c r="V1774" s="6">
        <v>0</v>
      </c>
      <c r="W1774" s="6">
        <v>0</v>
      </c>
      <c r="X1774" s="6">
        <v>0</v>
      </c>
      <c r="Y1774" t="s">
        <v>171</v>
      </c>
      <c r="AD1774">
        <v>1</v>
      </c>
      <c r="AE1774">
        <v>360</v>
      </c>
      <c r="AF1774">
        <v>1</v>
      </c>
      <c r="AG1774" s="9">
        <v>1.7000000000000001E-2</v>
      </c>
      <c r="AH1774" s="9">
        <v>1.54</v>
      </c>
      <c r="AI1774" s="9">
        <v>0.44</v>
      </c>
      <c r="AJ1774" s="9">
        <v>3.5000000000000003E-2</v>
      </c>
      <c r="AK1774" s="9">
        <v>2E-3</v>
      </c>
      <c r="AL1774" s="9">
        <v>18.5</v>
      </c>
      <c r="AM1774" s="9">
        <v>8.0299999999999994</v>
      </c>
      <c r="AN1774" s="9">
        <v>4.7E-2</v>
      </c>
      <c r="AO1774" s="9">
        <v>4.8300000000000003E-2</v>
      </c>
    </row>
    <row r="1775" spans="1:41" x14ac:dyDescent="0.3">
      <c r="A1775" t="s">
        <v>786</v>
      </c>
      <c r="B1775" t="s">
        <v>1616</v>
      </c>
      <c r="C1775">
        <v>77</v>
      </c>
      <c r="D1775" s="8" t="s">
        <v>1631</v>
      </c>
      <c r="H1775" t="s">
        <v>987</v>
      </c>
      <c r="K1775" s="4">
        <v>8.3333333333333329E-2</v>
      </c>
      <c r="N1775" s="3">
        <v>0.6</v>
      </c>
      <c r="O1775" s="3">
        <v>0</v>
      </c>
      <c r="P1775">
        <v>22.5</v>
      </c>
      <c r="Q1775">
        <v>6.5</v>
      </c>
      <c r="R1775" t="s">
        <v>780</v>
      </c>
      <c r="S1775">
        <v>0.3</v>
      </c>
      <c r="T1775" s="6">
        <f>10^-(14-Q1775)</f>
        <v>3.1622776601683699E-8</v>
      </c>
      <c r="U1775" s="6">
        <v>0.3</v>
      </c>
      <c r="V1775" s="6">
        <v>0</v>
      </c>
      <c r="W1775" s="6">
        <v>0</v>
      </c>
      <c r="X1775" s="6">
        <v>0</v>
      </c>
      <c r="Y1775" t="s">
        <v>171</v>
      </c>
      <c r="AD1775">
        <v>1</v>
      </c>
      <c r="AE1775">
        <v>330</v>
      </c>
      <c r="AF1775">
        <v>1</v>
      </c>
      <c r="AG1775" s="9">
        <v>1.7000000000000001E-2</v>
      </c>
      <c r="AH1775" s="9">
        <v>1.54</v>
      </c>
      <c r="AI1775" s="9">
        <v>0.44</v>
      </c>
      <c r="AJ1775" s="9">
        <v>3.5000000000000003E-2</v>
      </c>
      <c r="AK1775" s="9">
        <v>2E-3</v>
      </c>
      <c r="AL1775" s="9">
        <v>18.5</v>
      </c>
      <c r="AM1775" s="9">
        <v>8.0299999999999994</v>
      </c>
      <c r="AN1775" s="9">
        <v>4.7E-2</v>
      </c>
      <c r="AO1775" s="9">
        <v>4.8300000000000003E-2</v>
      </c>
    </row>
    <row r="1776" spans="1:41" x14ac:dyDescent="0.3">
      <c r="A1776" t="s">
        <v>787</v>
      </c>
      <c r="B1776" t="s">
        <v>1616</v>
      </c>
      <c r="C1776">
        <v>77</v>
      </c>
      <c r="D1776" s="8" t="s">
        <v>1631</v>
      </c>
      <c r="H1776" t="s">
        <v>987</v>
      </c>
      <c r="K1776" s="4">
        <v>8.3333333333333329E-2</v>
      </c>
      <c r="N1776" s="3">
        <v>0.6</v>
      </c>
      <c r="O1776" s="3">
        <v>0</v>
      </c>
      <c r="P1776">
        <v>22.5</v>
      </c>
      <c r="Q1776">
        <v>6.5</v>
      </c>
      <c r="R1776" t="s">
        <v>780</v>
      </c>
      <c r="S1776">
        <v>0.3</v>
      </c>
      <c r="T1776" s="6">
        <f>10^-(14-Q1776)</f>
        <v>3.1622776601683699E-8</v>
      </c>
      <c r="U1776" s="6">
        <v>0.3</v>
      </c>
      <c r="V1776" s="6">
        <v>0</v>
      </c>
      <c r="W1776" s="6">
        <v>0</v>
      </c>
      <c r="X1776" s="6">
        <v>0</v>
      </c>
      <c r="Y1776" t="s">
        <v>171</v>
      </c>
      <c r="AD1776">
        <v>1</v>
      </c>
      <c r="AE1776">
        <v>330</v>
      </c>
      <c r="AF1776">
        <v>1</v>
      </c>
      <c r="AG1776" s="9">
        <v>1.7000000000000001E-2</v>
      </c>
      <c r="AH1776" s="9">
        <v>1.54</v>
      </c>
      <c r="AI1776" s="9">
        <v>0.44</v>
      </c>
      <c r="AJ1776" s="9">
        <v>3.5000000000000003E-2</v>
      </c>
      <c r="AK1776" s="9">
        <v>2E-3</v>
      </c>
      <c r="AL1776" s="9">
        <v>18.5</v>
      </c>
      <c r="AM1776" s="9">
        <v>8.0299999999999994</v>
      </c>
      <c r="AN1776" s="9">
        <v>4.7E-2</v>
      </c>
      <c r="AO1776" s="9">
        <v>4.8300000000000003E-2</v>
      </c>
    </row>
    <row r="1777" spans="1:42" x14ac:dyDescent="0.3">
      <c r="A1777" t="s">
        <v>788</v>
      </c>
      <c r="B1777" t="s">
        <v>1616</v>
      </c>
      <c r="C1777">
        <v>77</v>
      </c>
      <c r="D1777" s="8" t="s">
        <v>1631</v>
      </c>
      <c r="H1777" t="s">
        <v>987</v>
      </c>
      <c r="K1777" s="4">
        <v>8.3333333333333329E-2</v>
      </c>
      <c r="N1777" s="3">
        <v>0.6</v>
      </c>
      <c r="O1777" s="3">
        <v>0</v>
      </c>
      <c r="P1777">
        <v>22.5</v>
      </c>
      <c r="Q1777">
        <v>6.5</v>
      </c>
      <c r="R1777" t="s">
        <v>780</v>
      </c>
      <c r="S1777">
        <v>0.3</v>
      </c>
      <c r="T1777" s="6">
        <f>10^-(14-Q1777)</f>
        <v>3.1622776601683699E-8</v>
      </c>
      <c r="U1777" s="6">
        <v>0.3</v>
      </c>
      <c r="V1777" s="6">
        <v>0</v>
      </c>
      <c r="W1777" s="6">
        <v>0</v>
      </c>
      <c r="X1777" s="6">
        <v>0</v>
      </c>
      <c r="Y1777" t="s">
        <v>171</v>
      </c>
      <c r="AD1777">
        <v>1</v>
      </c>
      <c r="AE1777">
        <v>330</v>
      </c>
      <c r="AF1777">
        <v>1</v>
      </c>
      <c r="AG1777" s="9">
        <v>1.7000000000000001E-2</v>
      </c>
      <c r="AH1777" s="9">
        <v>1.54</v>
      </c>
      <c r="AI1777" s="9">
        <v>0.44</v>
      </c>
      <c r="AJ1777" s="9">
        <v>3.5000000000000003E-2</v>
      </c>
      <c r="AK1777" s="9">
        <v>2E-3</v>
      </c>
      <c r="AL1777" s="9">
        <v>18.5</v>
      </c>
      <c r="AM1777" s="9">
        <v>8.0299999999999994</v>
      </c>
      <c r="AN1777" s="9">
        <v>4.7E-2</v>
      </c>
      <c r="AO1777" s="9">
        <v>4.8300000000000003E-2</v>
      </c>
    </row>
    <row r="1778" spans="1:42" x14ac:dyDescent="0.3">
      <c r="A1778" t="s">
        <v>789</v>
      </c>
      <c r="B1778" t="s">
        <v>1616</v>
      </c>
      <c r="C1778">
        <v>77</v>
      </c>
      <c r="D1778" s="8" t="s">
        <v>1631</v>
      </c>
      <c r="H1778" t="s">
        <v>987</v>
      </c>
      <c r="K1778" s="4">
        <v>8.3333333333333329E-2</v>
      </c>
      <c r="N1778" s="3">
        <v>0.6</v>
      </c>
      <c r="O1778" s="3">
        <v>0</v>
      </c>
      <c r="P1778">
        <v>22.5</v>
      </c>
      <c r="Q1778">
        <v>6.5</v>
      </c>
      <c r="R1778" t="s">
        <v>780</v>
      </c>
      <c r="S1778">
        <v>0.3</v>
      </c>
      <c r="T1778" s="6">
        <f>10^-(14-Q1778)</f>
        <v>3.1622776601683699E-8</v>
      </c>
      <c r="U1778" s="6">
        <v>0.3</v>
      </c>
      <c r="V1778" s="6">
        <v>0</v>
      </c>
      <c r="W1778" s="6">
        <v>0</v>
      </c>
      <c r="X1778" s="6">
        <v>0</v>
      </c>
      <c r="Y1778" t="s">
        <v>171</v>
      </c>
      <c r="AD1778">
        <v>1</v>
      </c>
      <c r="AE1778">
        <v>340</v>
      </c>
      <c r="AF1778">
        <v>1</v>
      </c>
      <c r="AG1778" s="9">
        <v>1.7000000000000001E-2</v>
      </c>
      <c r="AH1778" s="9">
        <v>1.54</v>
      </c>
      <c r="AI1778" s="9">
        <v>0.44</v>
      </c>
      <c r="AJ1778" s="9">
        <v>3.5000000000000003E-2</v>
      </c>
      <c r="AK1778" s="9">
        <v>2E-3</v>
      </c>
      <c r="AL1778" s="9">
        <v>18.5</v>
      </c>
      <c r="AM1778" s="9">
        <v>8.0299999999999994</v>
      </c>
      <c r="AN1778" s="9">
        <v>4.7E-2</v>
      </c>
      <c r="AO1778" s="9">
        <v>4.8300000000000003E-2</v>
      </c>
    </row>
    <row r="1779" spans="1:42" x14ac:dyDescent="0.3">
      <c r="A1779" t="s">
        <v>790</v>
      </c>
      <c r="B1779" t="s">
        <v>1616</v>
      </c>
      <c r="C1779">
        <v>77</v>
      </c>
      <c r="D1779" s="8" t="s">
        <v>1631</v>
      </c>
      <c r="H1779" t="s">
        <v>987</v>
      </c>
      <c r="K1779" s="4">
        <v>8.3333333333333329E-2</v>
      </c>
      <c r="N1779" s="3">
        <v>0.6</v>
      </c>
      <c r="O1779" s="3">
        <v>0</v>
      </c>
      <c r="P1779">
        <v>22.5</v>
      </c>
      <c r="Q1779">
        <v>6.5</v>
      </c>
      <c r="R1779" t="s">
        <v>780</v>
      </c>
      <c r="S1779">
        <v>0.3</v>
      </c>
      <c r="T1779" s="6">
        <f>10^-(14-Q1779)</f>
        <v>3.1622776601683699E-8</v>
      </c>
      <c r="U1779" s="6">
        <v>0.3</v>
      </c>
      <c r="V1779" s="6">
        <v>0</v>
      </c>
      <c r="W1779" s="6">
        <v>0</v>
      </c>
      <c r="X1779" s="6">
        <v>0</v>
      </c>
      <c r="Y1779" t="s">
        <v>171</v>
      </c>
      <c r="AD1779">
        <v>1</v>
      </c>
      <c r="AE1779">
        <v>320</v>
      </c>
      <c r="AF1779">
        <v>1</v>
      </c>
      <c r="AG1779" s="9">
        <v>1.7000000000000001E-2</v>
      </c>
      <c r="AH1779" s="9">
        <v>1.54</v>
      </c>
      <c r="AI1779" s="9">
        <v>0.44</v>
      </c>
      <c r="AJ1779" s="9">
        <v>3.5000000000000003E-2</v>
      </c>
      <c r="AK1779" s="9">
        <v>2E-3</v>
      </c>
      <c r="AL1779" s="9">
        <v>18.5</v>
      </c>
      <c r="AM1779" s="9">
        <v>8.0299999999999994</v>
      </c>
      <c r="AN1779" s="9">
        <v>4.7E-2</v>
      </c>
      <c r="AO1779" s="9">
        <v>4.8300000000000003E-2</v>
      </c>
      <c r="AP1779"/>
    </row>
    <row r="1780" spans="1:42" x14ac:dyDescent="0.3">
      <c r="A1780" t="s">
        <v>791</v>
      </c>
      <c r="B1780" t="s">
        <v>1616</v>
      </c>
      <c r="C1780">
        <v>77</v>
      </c>
      <c r="D1780" s="8" t="s">
        <v>1631</v>
      </c>
      <c r="H1780" t="s">
        <v>987</v>
      </c>
      <c r="K1780" s="4">
        <v>8.3333333333333329E-2</v>
      </c>
      <c r="N1780" s="3">
        <v>0.6</v>
      </c>
      <c r="O1780" s="3">
        <v>0</v>
      </c>
      <c r="P1780">
        <v>22.5</v>
      </c>
      <c r="Q1780">
        <v>6.5</v>
      </c>
      <c r="R1780" t="s">
        <v>779</v>
      </c>
      <c r="S1780">
        <v>0.12</v>
      </c>
      <c r="T1780" s="6">
        <f>10^-(14-Q1780)</f>
        <v>3.1622776601683699E-8</v>
      </c>
      <c r="U1780" s="6">
        <v>0.12</v>
      </c>
      <c r="V1780" s="6">
        <v>0</v>
      </c>
      <c r="W1780" s="6">
        <v>0</v>
      </c>
      <c r="X1780" s="6">
        <v>0</v>
      </c>
      <c r="Y1780" t="s">
        <v>171</v>
      </c>
      <c r="AD1780">
        <v>1</v>
      </c>
      <c r="AE1780">
        <v>280</v>
      </c>
      <c r="AF1780">
        <v>1</v>
      </c>
      <c r="AG1780" s="9">
        <v>1.7000000000000001E-2</v>
      </c>
      <c r="AH1780" s="9">
        <v>1.54</v>
      </c>
      <c r="AI1780" s="9">
        <v>0.44</v>
      </c>
      <c r="AJ1780" s="9">
        <v>3.5000000000000003E-2</v>
      </c>
      <c r="AK1780" s="9">
        <v>2E-3</v>
      </c>
      <c r="AL1780" s="9">
        <v>18.5</v>
      </c>
      <c r="AM1780" s="9">
        <v>8.0299999999999994</v>
      </c>
      <c r="AN1780" s="9">
        <v>4.7E-2</v>
      </c>
      <c r="AO1780" s="9">
        <v>4.8300000000000003E-2</v>
      </c>
      <c r="AP1780"/>
    </row>
    <row r="1781" spans="1:42" x14ac:dyDescent="0.3">
      <c r="A1781" t="s">
        <v>792</v>
      </c>
      <c r="B1781" t="s">
        <v>1616</v>
      </c>
      <c r="C1781">
        <v>77</v>
      </c>
      <c r="D1781" s="8" t="s">
        <v>1631</v>
      </c>
      <c r="H1781" t="s">
        <v>987</v>
      </c>
      <c r="K1781" s="4">
        <v>8.3333333333333329E-2</v>
      </c>
      <c r="N1781" s="3">
        <v>0.6</v>
      </c>
      <c r="O1781" s="3">
        <v>0</v>
      </c>
      <c r="P1781">
        <v>22.5</v>
      </c>
      <c r="Q1781">
        <v>6.5</v>
      </c>
      <c r="R1781" t="s">
        <v>779</v>
      </c>
      <c r="S1781">
        <v>0.12</v>
      </c>
      <c r="T1781" s="6">
        <f>10^-(14-Q1781)</f>
        <v>3.1622776601683699E-8</v>
      </c>
      <c r="U1781" s="6">
        <v>0.12</v>
      </c>
      <c r="V1781" s="6">
        <v>0</v>
      </c>
      <c r="W1781" s="6">
        <v>0</v>
      </c>
      <c r="X1781" s="6">
        <v>0</v>
      </c>
      <c r="Y1781" t="s">
        <v>171</v>
      </c>
      <c r="AD1781">
        <v>1</v>
      </c>
      <c r="AE1781">
        <v>290</v>
      </c>
      <c r="AF1781">
        <v>1</v>
      </c>
      <c r="AG1781" s="9">
        <v>1.7000000000000001E-2</v>
      </c>
      <c r="AH1781" s="9">
        <v>1.54</v>
      </c>
      <c r="AI1781" s="9">
        <v>0.44</v>
      </c>
      <c r="AJ1781" s="9">
        <v>3.5000000000000003E-2</v>
      </c>
      <c r="AK1781" s="9">
        <v>2E-3</v>
      </c>
      <c r="AL1781" s="9">
        <v>18.5</v>
      </c>
      <c r="AM1781" s="9">
        <v>8.0299999999999994</v>
      </c>
      <c r="AN1781" s="9">
        <v>4.7E-2</v>
      </c>
      <c r="AO1781" s="9">
        <v>4.8300000000000003E-2</v>
      </c>
      <c r="AP1781"/>
    </row>
    <row r="1782" spans="1:42" x14ac:dyDescent="0.3">
      <c r="A1782" t="s">
        <v>793</v>
      </c>
      <c r="B1782" t="s">
        <v>1616</v>
      </c>
      <c r="C1782">
        <v>77</v>
      </c>
      <c r="D1782" s="8" t="s">
        <v>1631</v>
      </c>
      <c r="H1782" t="s">
        <v>987</v>
      </c>
      <c r="K1782" s="4">
        <v>8.3333333333333329E-2</v>
      </c>
      <c r="N1782" s="3">
        <v>0.6</v>
      </c>
      <c r="O1782" s="3">
        <v>0</v>
      </c>
      <c r="P1782">
        <v>22.5</v>
      </c>
      <c r="Q1782">
        <v>6.5</v>
      </c>
      <c r="R1782" t="s">
        <v>779</v>
      </c>
      <c r="S1782">
        <v>0.12</v>
      </c>
      <c r="T1782" s="6">
        <f>10^-(14-Q1782)</f>
        <v>3.1622776601683699E-8</v>
      </c>
      <c r="U1782" s="6">
        <v>0.12</v>
      </c>
      <c r="V1782" s="6">
        <v>0</v>
      </c>
      <c r="W1782" s="6">
        <v>0</v>
      </c>
      <c r="X1782" s="6">
        <v>0</v>
      </c>
      <c r="Y1782" t="s">
        <v>171</v>
      </c>
      <c r="AD1782">
        <v>1</v>
      </c>
      <c r="AE1782">
        <v>270</v>
      </c>
      <c r="AF1782">
        <v>1</v>
      </c>
      <c r="AG1782" s="9">
        <v>1.7000000000000001E-2</v>
      </c>
      <c r="AH1782" s="9">
        <v>1.54</v>
      </c>
      <c r="AI1782" s="9">
        <v>0.44</v>
      </c>
      <c r="AJ1782" s="9">
        <v>3.5000000000000003E-2</v>
      </c>
      <c r="AK1782" s="9">
        <v>2E-3</v>
      </c>
      <c r="AL1782" s="9">
        <v>18.5</v>
      </c>
      <c r="AM1782" s="9">
        <v>8.0299999999999994</v>
      </c>
      <c r="AN1782" s="9">
        <v>4.7E-2</v>
      </c>
      <c r="AO1782" s="9">
        <v>4.8300000000000003E-2</v>
      </c>
      <c r="AP1782"/>
    </row>
    <row r="1783" spans="1:42" x14ac:dyDescent="0.3">
      <c r="A1783" t="s">
        <v>794</v>
      </c>
      <c r="B1783" t="s">
        <v>1616</v>
      </c>
      <c r="C1783">
        <v>77</v>
      </c>
      <c r="D1783" s="8" t="s">
        <v>1631</v>
      </c>
      <c r="H1783" t="s">
        <v>987</v>
      </c>
      <c r="K1783" s="4">
        <v>8.3333333333333329E-2</v>
      </c>
      <c r="N1783" s="3">
        <v>0.6</v>
      </c>
      <c r="O1783" s="3">
        <v>0</v>
      </c>
      <c r="P1783">
        <v>22.5</v>
      </c>
      <c r="Q1783">
        <v>6.5</v>
      </c>
      <c r="R1783" t="s">
        <v>779</v>
      </c>
      <c r="S1783">
        <v>0.12</v>
      </c>
      <c r="T1783" s="6">
        <f>10^-(14-Q1783)</f>
        <v>3.1622776601683699E-8</v>
      </c>
      <c r="U1783" s="6">
        <v>0.12</v>
      </c>
      <c r="V1783" s="6">
        <v>0</v>
      </c>
      <c r="W1783" s="6">
        <v>0</v>
      </c>
      <c r="X1783" s="6">
        <v>0</v>
      </c>
      <c r="Y1783" t="s">
        <v>171</v>
      </c>
      <c r="AD1783">
        <v>1</v>
      </c>
      <c r="AE1783">
        <v>250</v>
      </c>
      <c r="AF1783">
        <v>1</v>
      </c>
      <c r="AG1783" s="9">
        <v>1.7000000000000001E-2</v>
      </c>
      <c r="AH1783" s="9">
        <v>1.54</v>
      </c>
      <c r="AI1783" s="9">
        <v>0.44</v>
      </c>
      <c r="AJ1783" s="9">
        <v>3.5000000000000003E-2</v>
      </c>
      <c r="AK1783" s="9">
        <v>2E-3</v>
      </c>
      <c r="AL1783" s="9">
        <v>18.5</v>
      </c>
      <c r="AM1783" s="9">
        <v>8.0299999999999994</v>
      </c>
      <c r="AN1783" s="9">
        <v>4.7E-2</v>
      </c>
      <c r="AO1783" s="9">
        <v>4.8300000000000003E-2</v>
      </c>
      <c r="AP1783"/>
    </row>
    <row r="1784" spans="1:42" x14ac:dyDescent="0.3">
      <c r="A1784" t="s">
        <v>795</v>
      </c>
      <c r="B1784" t="s">
        <v>1616</v>
      </c>
      <c r="C1784">
        <v>77</v>
      </c>
      <c r="D1784" s="8" t="s">
        <v>1631</v>
      </c>
      <c r="H1784" t="s">
        <v>987</v>
      </c>
      <c r="K1784" s="4">
        <v>8.3333333333333329E-2</v>
      </c>
      <c r="N1784" s="3">
        <v>0.6</v>
      </c>
      <c r="O1784" s="3">
        <v>0</v>
      </c>
      <c r="P1784">
        <v>22.5</v>
      </c>
      <c r="Q1784">
        <v>6.5</v>
      </c>
      <c r="R1784" t="s">
        <v>779</v>
      </c>
      <c r="S1784">
        <v>0.12</v>
      </c>
      <c r="T1784" s="6">
        <f>10^-(14-Q1784)</f>
        <v>3.1622776601683699E-8</v>
      </c>
      <c r="U1784" s="6">
        <v>0.12</v>
      </c>
      <c r="V1784" s="6">
        <v>0</v>
      </c>
      <c r="W1784" s="6">
        <v>0</v>
      </c>
      <c r="X1784" s="6">
        <v>0</v>
      </c>
      <c r="Y1784" t="s">
        <v>171</v>
      </c>
      <c r="AD1784">
        <v>1</v>
      </c>
      <c r="AE1784">
        <v>270</v>
      </c>
      <c r="AF1784">
        <v>1</v>
      </c>
      <c r="AG1784" s="9">
        <v>1.7000000000000001E-2</v>
      </c>
      <c r="AH1784" s="9">
        <v>1.54</v>
      </c>
      <c r="AI1784" s="9">
        <v>0.44</v>
      </c>
      <c r="AJ1784" s="9">
        <v>3.5000000000000003E-2</v>
      </c>
      <c r="AK1784" s="9">
        <v>2E-3</v>
      </c>
      <c r="AL1784" s="9">
        <v>18.5</v>
      </c>
      <c r="AM1784" s="9">
        <v>8.0299999999999994</v>
      </c>
      <c r="AN1784" s="9">
        <v>4.7E-2</v>
      </c>
      <c r="AO1784" s="9">
        <v>4.8300000000000003E-2</v>
      </c>
      <c r="AP1784"/>
    </row>
    <row r="1785" spans="1:42" x14ac:dyDescent="0.3">
      <c r="A1785" t="s">
        <v>796</v>
      </c>
      <c r="B1785" t="s">
        <v>1616</v>
      </c>
      <c r="C1785">
        <v>77</v>
      </c>
      <c r="D1785" s="8" t="s">
        <v>1631</v>
      </c>
      <c r="H1785" t="s">
        <v>987</v>
      </c>
      <c r="K1785" s="4">
        <v>8.3333333333333329E-2</v>
      </c>
      <c r="N1785" s="3">
        <v>0.6</v>
      </c>
      <c r="O1785" s="3">
        <v>0</v>
      </c>
      <c r="P1785">
        <v>22.5</v>
      </c>
      <c r="Q1785">
        <v>6.5</v>
      </c>
      <c r="R1785" t="s">
        <v>102</v>
      </c>
      <c r="S1785">
        <v>0</v>
      </c>
      <c r="T1785" s="6">
        <f>10^-(14-Q1785)</f>
        <v>3.1622776601683699E-8</v>
      </c>
      <c r="U1785" s="6">
        <v>0</v>
      </c>
      <c r="V1785" s="6">
        <v>0</v>
      </c>
      <c r="W1785" s="6">
        <v>0</v>
      </c>
      <c r="X1785" s="6">
        <v>0</v>
      </c>
      <c r="Y1785" t="s">
        <v>171</v>
      </c>
      <c r="AD1785">
        <v>1</v>
      </c>
      <c r="AE1785">
        <v>250</v>
      </c>
      <c r="AF1785">
        <v>1</v>
      </c>
      <c r="AG1785" s="9">
        <v>1.7000000000000001E-2</v>
      </c>
      <c r="AH1785" s="9">
        <v>1.54</v>
      </c>
      <c r="AI1785" s="9">
        <v>0.44</v>
      </c>
      <c r="AJ1785" s="9">
        <v>3.5000000000000003E-2</v>
      </c>
      <c r="AK1785" s="9">
        <v>2E-3</v>
      </c>
      <c r="AL1785" s="9">
        <v>18.5</v>
      </c>
      <c r="AM1785" s="9">
        <v>8.0299999999999994</v>
      </c>
      <c r="AN1785" s="9">
        <v>4.7E-2</v>
      </c>
      <c r="AO1785" s="9">
        <v>4.8300000000000003E-2</v>
      </c>
      <c r="AP1785"/>
    </row>
    <row r="1786" spans="1:42" x14ac:dyDescent="0.3">
      <c r="A1786" t="s">
        <v>797</v>
      </c>
      <c r="B1786" t="s">
        <v>1616</v>
      </c>
      <c r="C1786">
        <v>77</v>
      </c>
      <c r="D1786" s="8" t="s">
        <v>1631</v>
      </c>
      <c r="H1786" t="s">
        <v>987</v>
      </c>
      <c r="K1786" s="4">
        <v>8.3333333333333329E-2</v>
      </c>
      <c r="N1786" s="3">
        <v>0.6</v>
      </c>
      <c r="O1786" s="3">
        <v>0</v>
      </c>
      <c r="P1786">
        <v>22.5</v>
      </c>
      <c r="Q1786">
        <v>6.5</v>
      </c>
      <c r="R1786" t="s">
        <v>102</v>
      </c>
      <c r="S1786">
        <v>0</v>
      </c>
      <c r="T1786" s="6">
        <f>10^-(14-Q1786)</f>
        <v>3.1622776601683699E-8</v>
      </c>
      <c r="U1786" s="6">
        <v>0</v>
      </c>
      <c r="V1786" s="6">
        <v>0</v>
      </c>
      <c r="W1786" s="6">
        <v>0</v>
      </c>
      <c r="X1786" s="6">
        <v>0</v>
      </c>
      <c r="Y1786" t="s">
        <v>171</v>
      </c>
      <c r="AD1786">
        <v>1</v>
      </c>
      <c r="AE1786">
        <v>270</v>
      </c>
      <c r="AF1786">
        <v>1</v>
      </c>
      <c r="AG1786" s="9">
        <v>1.7000000000000001E-2</v>
      </c>
      <c r="AH1786" s="9">
        <v>1.54</v>
      </c>
      <c r="AI1786" s="9">
        <v>0.44</v>
      </c>
      <c r="AJ1786" s="9">
        <v>3.5000000000000003E-2</v>
      </c>
      <c r="AK1786" s="9">
        <v>2E-3</v>
      </c>
      <c r="AL1786" s="9">
        <v>18.5</v>
      </c>
      <c r="AM1786" s="9">
        <v>8.0299999999999994</v>
      </c>
      <c r="AN1786" s="9">
        <v>4.7E-2</v>
      </c>
      <c r="AO1786" s="9">
        <v>4.8300000000000003E-2</v>
      </c>
      <c r="AP1786"/>
    </row>
    <row r="1787" spans="1:42" x14ac:dyDescent="0.3">
      <c r="A1787" t="s">
        <v>798</v>
      </c>
      <c r="B1787" t="s">
        <v>1616</v>
      </c>
      <c r="C1787">
        <v>77</v>
      </c>
      <c r="D1787" s="8" t="s">
        <v>1631</v>
      </c>
      <c r="H1787" t="s">
        <v>987</v>
      </c>
      <c r="K1787" s="4">
        <v>8.3333333333333329E-2</v>
      </c>
      <c r="N1787" s="3">
        <v>0.6</v>
      </c>
      <c r="O1787" s="3">
        <v>0</v>
      </c>
      <c r="P1787">
        <v>22.5</v>
      </c>
      <c r="Q1787">
        <v>6.5</v>
      </c>
      <c r="R1787" t="s">
        <v>102</v>
      </c>
      <c r="S1787">
        <v>0</v>
      </c>
      <c r="T1787" s="6">
        <f>10^-(14-Q1787)</f>
        <v>3.1622776601683699E-8</v>
      </c>
      <c r="U1787" s="6">
        <v>0</v>
      </c>
      <c r="V1787" s="6">
        <v>0</v>
      </c>
      <c r="W1787" s="6">
        <v>0</v>
      </c>
      <c r="X1787" s="6">
        <v>0</v>
      </c>
      <c r="Y1787" t="s">
        <v>171</v>
      </c>
      <c r="AD1787">
        <v>1</v>
      </c>
      <c r="AE1787">
        <v>260</v>
      </c>
      <c r="AF1787">
        <v>1</v>
      </c>
      <c r="AG1787" s="9">
        <v>1.7000000000000001E-2</v>
      </c>
      <c r="AH1787" s="9">
        <v>1.54</v>
      </c>
      <c r="AI1787" s="9">
        <v>0.44</v>
      </c>
      <c r="AJ1787" s="9">
        <v>3.5000000000000003E-2</v>
      </c>
      <c r="AK1787" s="9">
        <v>2E-3</v>
      </c>
      <c r="AL1787" s="9">
        <v>18.5</v>
      </c>
      <c r="AM1787" s="9">
        <v>8.0299999999999994</v>
      </c>
      <c r="AN1787" s="9">
        <v>4.7E-2</v>
      </c>
      <c r="AO1787" s="9">
        <v>4.8300000000000003E-2</v>
      </c>
      <c r="AP1787"/>
    </row>
    <row r="1788" spans="1:42" x14ac:dyDescent="0.3">
      <c r="A1788" t="s">
        <v>799</v>
      </c>
      <c r="B1788" t="s">
        <v>1616</v>
      </c>
      <c r="C1788">
        <v>77</v>
      </c>
      <c r="D1788" s="8" t="s">
        <v>1631</v>
      </c>
      <c r="H1788" t="s">
        <v>987</v>
      </c>
      <c r="K1788" s="4">
        <v>8.3333333333333329E-2</v>
      </c>
      <c r="N1788" s="3">
        <v>0.6</v>
      </c>
      <c r="O1788" s="3">
        <v>0</v>
      </c>
      <c r="P1788">
        <v>22.5</v>
      </c>
      <c r="Q1788">
        <v>6.5</v>
      </c>
      <c r="R1788" t="s">
        <v>102</v>
      </c>
      <c r="S1788">
        <v>0</v>
      </c>
      <c r="T1788" s="6">
        <f>10^-(14-Q1788)</f>
        <v>3.1622776601683699E-8</v>
      </c>
      <c r="U1788" s="6">
        <v>0</v>
      </c>
      <c r="V1788" s="6">
        <v>0</v>
      </c>
      <c r="W1788" s="6">
        <v>0</v>
      </c>
      <c r="X1788" s="6">
        <v>0</v>
      </c>
      <c r="Y1788" t="s">
        <v>171</v>
      </c>
      <c r="AD1788">
        <v>1</v>
      </c>
      <c r="AE1788">
        <v>240</v>
      </c>
      <c r="AF1788">
        <v>1</v>
      </c>
      <c r="AG1788" s="9">
        <v>1.7000000000000001E-2</v>
      </c>
      <c r="AH1788" s="9">
        <v>1.54</v>
      </c>
      <c r="AI1788" s="9">
        <v>0.44</v>
      </c>
      <c r="AJ1788" s="9">
        <v>3.5000000000000003E-2</v>
      </c>
      <c r="AK1788" s="9">
        <v>2E-3</v>
      </c>
      <c r="AL1788" s="9">
        <v>18.5</v>
      </c>
      <c r="AM1788" s="9">
        <v>8.0299999999999994</v>
      </c>
      <c r="AN1788" s="9">
        <v>4.7E-2</v>
      </c>
      <c r="AO1788" s="9">
        <v>4.8300000000000003E-2</v>
      </c>
      <c r="AP1788"/>
    </row>
    <row r="1789" spans="1:42" x14ac:dyDescent="0.3">
      <c r="A1789" t="s">
        <v>800</v>
      </c>
      <c r="B1789" t="s">
        <v>1616</v>
      </c>
      <c r="C1789">
        <v>77</v>
      </c>
      <c r="D1789" s="8" t="s">
        <v>1631</v>
      </c>
      <c r="H1789" t="s">
        <v>987</v>
      </c>
      <c r="K1789" s="4">
        <v>8.3333333333333329E-2</v>
      </c>
      <c r="N1789" s="3">
        <v>0.6</v>
      </c>
      <c r="O1789" s="3">
        <v>0</v>
      </c>
      <c r="P1789">
        <v>22.5</v>
      </c>
      <c r="Q1789">
        <v>6.5</v>
      </c>
      <c r="R1789" t="s">
        <v>102</v>
      </c>
      <c r="S1789">
        <v>0</v>
      </c>
      <c r="T1789" s="6">
        <f>10^-(14-Q1789)</f>
        <v>3.1622776601683699E-8</v>
      </c>
      <c r="U1789" s="6">
        <v>0</v>
      </c>
      <c r="V1789" s="6">
        <v>0</v>
      </c>
      <c r="W1789" s="6">
        <v>0</v>
      </c>
      <c r="X1789" s="6">
        <v>0</v>
      </c>
      <c r="Y1789" t="s">
        <v>171</v>
      </c>
      <c r="AD1789">
        <v>1</v>
      </c>
      <c r="AE1789">
        <v>260</v>
      </c>
      <c r="AF1789">
        <v>1</v>
      </c>
      <c r="AG1789" s="9">
        <v>1.7000000000000001E-2</v>
      </c>
      <c r="AH1789" s="9">
        <v>1.54</v>
      </c>
      <c r="AI1789" s="9">
        <v>0.44</v>
      </c>
      <c r="AJ1789" s="9">
        <v>3.5000000000000003E-2</v>
      </c>
      <c r="AK1789" s="9">
        <v>2E-3</v>
      </c>
      <c r="AL1789" s="9">
        <v>18.5</v>
      </c>
      <c r="AM1789" s="9">
        <v>8.0299999999999994</v>
      </c>
      <c r="AN1789" s="9">
        <v>4.7E-2</v>
      </c>
      <c r="AO1789" s="9">
        <v>4.8300000000000003E-2</v>
      </c>
      <c r="AP1789"/>
    </row>
    <row r="1790" spans="1:42" x14ac:dyDescent="0.3">
      <c r="A1790" t="s">
        <v>821</v>
      </c>
      <c r="B1790" t="s">
        <v>1616</v>
      </c>
      <c r="C1790">
        <v>77</v>
      </c>
      <c r="D1790" s="8" t="s">
        <v>1631</v>
      </c>
      <c r="H1790" t="s">
        <v>987</v>
      </c>
      <c r="K1790" s="4">
        <v>8.3333333333333329E-2</v>
      </c>
      <c r="N1790" s="3">
        <v>0.6</v>
      </c>
      <c r="O1790" s="3">
        <v>0</v>
      </c>
      <c r="P1790">
        <v>22.5</v>
      </c>
      <c r="Q1790">
        <v>6.5</v>
      </c>
      <c r="R1790" t="s">
        <v>778</v>
      </c>
      <c r="S1790">
        <v>1.2</v>
      </c>
      <c r="T1790" s="6">
        <f>10^-(14-Q1790)</f>
        <v>3.1622776601683699E-8</v>
      </c>
      <c r="U1790" s="6">
        <v>1.2</v>
      </c>
      <c r="V1790" s="6">
        <v>0</v>
      </c>
      <c r="W1790" s="6">
        <v>0</v>
      </c>
      <c r="X1790" s="6">
        <v>0</v>
      </c>
      <c r="Y1790" t="s">
        <v>171</v>
      </c>
      <c r="AD1790">
        <v>1</v>
      </c>
      <c r="AE1790">
        <v>420</v>
      </c>
      <c r="AF1790">
        <v>1</v>
      </c>
      <c r="AG1790" s="9">
        <v>1.7000000000000001E-2</v>
      </c>
      <c r="AH1790" s="9">
        <v>1.54</v>
      </c>
      <c r="AI1790" s="9">
        <v>0.44</v>
      </c>
      <c r="AJ1790" s="9">
        <v>3.5000000000000003E-2</v>
      </c>
      <c r="AK1790" s="9">
        <v>2E-3</v>
      </c>
      <c r="AL1790" s="9">
        <v>18.5</v>
      </c>
      <c r="AM1790" s="9">
        <v>8.0299999999999994</v>
      </c>
      <c r="AN1790" s="9">
        <v>4.7E-2</v>
      </c>
      <c r="AO1790" s="9">
        <v>4.8300000000000003E-2</v>
      </c>
      <c r="AP1790"/>
    </row>
    <row r="1791" spans="1:42" x14ac:dyDescent="0.3">
      <c r="A1791" t="s">
        <v>822</v>
      </c>
      <c r="B1791" t="s">
        <v>1616</v>
      </c>
      <c r="C1791">
        <v>77</v>
      </c>
      <c r="D1791" s="8" t="s">
        <v>1631</v>
      </c>
      <c r="H1791" t="s">
        <v>987</v>
      </c>
      <c r="K1791" s="4">
        <v>8.3333333333333329E-2</v>
      </c>
      <c r="N1791" s="3">
        <v>0.6</v>
      </c>
      <c r="O1791" s="3">
        <v>0</v>
      </c>
      <c r="P1791">
        <v>22.5</v>
      </c>
      <c r="Q1791">
        <v>6.5</v>
      </c>
      <c r="R1791" t="s">
        <v>778</v>
      </c>
      <c r="S1791">
        <v>1.2</v>
      </c>
      <c r="T1791" s="6">
        <f>10^-(14-Q1791)</f>
        <v>3.1622776601683699E-8</v>
      </c>
      <c r="U1791" s="6">
        <v>1.2</v>
      </c>
      <c r="V1791" s="6">
        <v>0</v>
      </c>
      <c r="W1791" s="6">
        <v>0</v>
      </c>
      <c r="X1791" s="6">
        <v>0</v>
      </c>
      <c r="Y1791" t="s">
        <v>171</v>
      </c>
      <c r="AD1791">
        <v>1</v>
      </c>
      <c r="AE1791">
        <v>400</v>
      </c>
      <c r="AF1791">
        <v>1</v>
      </c>
      <c r="AG1791" s="9">
        <v>1.7000000000000001E-2</v>
      </c>
      <c r="AH1791" s="9">
        <v>1.54</v>
      </c>
      <c r="AI1791" s="9">
        <v>0.44</v>
      </c>
      <c r="AJ1791" s="9">
        <v>3.5000000000000003E-2</v>
      </c>
      <c r="AK1791" s="9">
        <v>2E-3</v>
      </c>
      <c r="AL1791" s="9">
        <v>18.5</v>
      </c>
      <c r="AM1791" s="9">
        <v>8.0299999999999994</v>
      </c>
      <c r="AN1791" s="9">
        <v>4.7E-2</v>
      </c>
      <c r="AO1791" s="9">
        <v>4.8300000000000003E-2</v>
      </c>
      <c r="AP1791"/>
    </row>
    <row r="1792" spans="1:42" x14ac:dyDescent="0.3">
      <c r="A1792" t="s">
        <v>823</v>
      </c>
      <c r="B1792" t="s">
        <v>1616</v>
      </c>
      <c r="C1792">
        <v>77</v>
      </c>
      <c r="D1792" s="8" t="s">
        <v>1631</v>
      </c>
      <c r="H1792" t="s">
        <v>987</v>
      </c>
      <c r="K1792" s="4">
        <v>8.3333333333333329E-2</v>
      </c>
      <c r="N1792" s="3">
        <v>0.6</v>
      </c>
      <c r="O1792" s="3">
        <v>0</v>
      </c>
      <c r="P1792">
        <v>22.5</v>
      </c>
      <c r="Q1792">
        <v>6.5</v>
      </c>
      <c r="R1792" t="s">
        <v>778</v>
      </c>
      <c r="S1792">
        <v>1.2</v>
      </c>
      <c r="T1792" s="6">
        <f>10^-(14-Q1792)</f>
        <v>3.1622776601683699E-8</v>
      </c>
      <c r="U1792" s="6">
        <v>1.2</v>
      </c>
      <c r="V1792" s="6">
        <v>0</v>
      </c>
      <c r="W1792" s="6">
        <v>0</v>
      </c>
      <c r="X1792" s="6">
        <v>0</v>
      </c>
      <c r="Y1792" t="s">
        <v>171</v>
      </c>
      <c r="AD1792">
        <v>1</v>
      </c>
      <c r="AE1792">
        <v>410</v>
      </c>
      <c r="AF1792">
        <v>1</v>
      </c>
      <c r="AG1792" s="9">
        <v>1.7000000000000001E-2</v>
      </c>
      <c r="AH1792" s="9">
        <v>1.54</v>
      </c>
      <c r="AI1792" s="9">
        <v>0.44</v>
      </c>
      <c r="AJ1792" s="9">
        <v>3.5000000000000003E-2</v>
      </c>
      <c r="AK1792" s="9">
        <v>2E-3</v>
      </c>
      <c r="AL1792" s="9">
        <v>18.5</v>
      </c>
      <c r="AM1792" s="9">
        <v>8.0299999999999994</v>
      </c>
      <c r="AN1792" s="9">
        <v>4.7E-2</v>
      </c>
      <c r="AO1792" s="9">
        <v>4.8300000000000003E-2</v>
      </c>
      <c r="AP1792"/>
    </row>
    <row r="1793" spans="1:42" x14ac:dyDescent="0.3">
      <c r="A1793" t="s">
        <v>824</v>
      </c>
      <c r="B1793" t="s">
        <v>1616</v>
      </c>
      <c r="C1793">
        <v>77</v>
      </c>
      <c r="D1793" s="8" t="s">
        <v>1631</v>
      </c>
      <c r="H1793" t="s">
        <v>987</v>
      </c>
      <c r="K1793" s="4">
        <v>8.3333333333333329E-2</v>
      </c>
      <c r="N1793" s="3">
        <v>0.6</v>
      </c>
      <c r="O1793" s="3">
        <v>0</v>
      </c>
      <c r="P1793">
        <v>22.5</v>
      </c>
      <c r="Q1793">
        <v>6.5</v>
      </c>
      <c r="R1793" t="s">
        <v>778</v>
      </c>
      <c r="S1793">
        <v>1.2</v>
      </c>
      <c r="T1793" s="6">
        <f>10^-(14-Q1793)</f>
        <v>3.1622776601683699E-8</v>
      </c>
      <c r="U1793" s="6">
        <v>1.2</v>
      </c>
      <c r="V1793" s="6">
        <v>0</v>
      </c>
      <c r="W1793" s="6">
        <v>0</v>
      </c>
      <c r="X1793" s="6">
        <v>0</v>
      </c>
      <c r="Y1793" t="s">
        <v>171</v>
      </c>
      <c r="AD1793">
        <v>1</v>
      </c>
      <c r="AE1793">
        <v>400</v>
      </c>
      <c r="AF1793">
        <v>1</v>
      </c>
      <c r="AG1793" s="9">
        <v>1.7000000000000001E-2</v>
      </c>
      <c r="AH1793" s="9">
        <v>1.54</v>
      </c>
      <c r="AI1793" s="9">
        <v>0.44</v>
      </c>
      <c r="AJ1793" s="9">
        <v>3.5000000000000003E-2</v>
      </c>
      <c r="AK1793" s="9">
        <v>2E-3</v>
      </c>
      <c r="AL1793" s="9">
        <v>18.5</v>
      </c>
      <c r="AM1793" s="9">
        <v>8.0299999999999994</v>
      </c>
      <c r="AN1793" s="9">
        <v>4.7E-2</v>
      </c>
      <c r="AO1793" s="9">
        <v>4.8300000000000003E-2</v>
      </c>
      <c r="AP1793"/>
    </row>
    <row r="1794" spans="1:42" x14ac:dyDescent="0.3">
      <c r="A1794" t="s">
        <v>825</v>
      </c>
      <c r="B1794" t="s">
        <v>1616</v>
      </c>
      <c r="C1794">
        <v>77</v>
      </c>
      <c r="D1794" s="8" t="s">
        <v>1631</v>
      </c>
      <c r="H1794" t="s">
        <v>987</v>
      </c>
      <c r="K1794" s="4">
        <v>8.3333333333333329E-2</v>
      </c>
      <c r="N1794" s="3">
        <v>0.6</v>
      </c>
      <c r="O1794" s="3">
        <v>0</v>
      </c>
      <c r="P1794">
        <v>22.5</v>
      </c>
      <c r="Q1794">
        <v>6.5</v>
      </c>
      <c r="R1794" t="s">
        <v>778</v>
      </c>
      <c r="S1794">
        <v>1.2</v>
      </c>
      <c r="T1794" s="6">
        <f>10^-(14-Q1794)</f>
        <v>3.1622776601683699E-8</v>
      </c>
      <c r="U1794" s="6">
        <v>1.2</v>
      </c>
      <c r="V1794" s="6">
        <v>0</v>
      </c>
      <c r="W1794" s="6">
        <v>0</v>
      </c>
      <c r="X1794" s="6">
        <v>0</v>
      </c>
      <c r="Y1794" t="s">
        <v>171</v>
      </c>
      <c r="AD1794">
        <v>1</v>
      </c>
      <c r="AE1794">
        <v>410</v>
      </c>
      <c r="AF1794">
        <v>1</v>
      </c>
      <c r="AG1794" s="9">
        <v>1.7000000000000001E-2</v>
      </c>
      <c r="AH1794" s="9">
        <v>1.54</v>
      </c>
      <c r="AI1794" s="9">
        <v>0.44</v>
      </c>
      <c r="AJ1794" s="9">
        <v>3.5000000000000003E-2</v>
      </c>
      <c r="AK1794" s="9">
        <v>2E-3</v>
      </c>
      <c r="AL1794" s="9">
        <v>18.5</v>
      </c>
      <c r="AM1794" s="9">
        <v>8.0299999999999994</v>
      </c>
      <c r="AN1794" s="9">
        <v>4.7E-2</v>
      </c>
      <c r="AO1794" s="9">
        <v>4.8300000000000003E-2</v>
      </c>
      <c r="AP1794"/>
    </row>
    <row r="1795" spans="1:42" x14ac:dyDescent="0.3">
      <c r="A1795" t="s">
        <v>826</v>
      </c>
      <c r="B1795" t="s">
        <v>1616</v>
      </c>
      <c r="C1795">
        <v>77</v>
      </c>
      <c r="D1795" s="8" t="s">
        <v>1631</v>
      </c>
      <c r="H1795" t="s">
        <v>987</v>
      </c>
      <c r="K1795" s="4">
        <v>8.3333333333333329E-2</v>
      </c>
      <c r="N1795" s="3">
        <v>0.6</v>
      </c>
      <c r="O1795" s="3">
        <v>0</v>
      </c>
      <c r="P1795">
        <v>22.5</v>
      </c>
      <c r="Q1795">
        <v>6.5</v>
      </c>
      <c r="R1795" t="s">
        <v>780</v>
      </c>
      <c r="S1795">
        <v>0.3</v>
      </c>
      <c r="T1795" s="6">
        <f>10^-(14-Q1795)</f>
        <v>3.1622776601683699E-8</v>
      </c>
      <c r="U1795" s="6">
        <v>0.3</v>
      </c>
      <c r="V1795" s="6">
        <v>0</v>
      </c>
      <c r="W1795" s="6">
        <v>0</v>
      </c>
      <c r="X1795" s="6">
        <v>0</v>
      </c>
      <c r="Y1795" t="s">
        <v>171</v>
      </c>
      <c r="AD1795">
        <v>1</v>
      </c>
      <c r="AE1795">
        <v>380</v>
      </c>
      <c r="AF1795">
        <v>1</v>
      </c>
      <c r="AG1795" s="9">
        <v>1.7000000000000001E-2</v>
      </c>
      <c r="AH1795" s="9">
        <v>1.54</v>
      </c>
      <c r="AI1795" s="9">
        <v>0.44</v>
      </c>
      <c r="AJ1795" s="9">
        <v>3.5000000000000003E-2</v>
      </c>
      <c r="AK1795" s="9">
        <v>2E-3</v>
      </c>
      <c r="AL1795" s="9">
        <v>18.5</v>
      </c>
      <c r="AM1795" s="9">
        <v>8.0299999999999994</v>
      </c>
      <c r="AN1795" s="9">
        <v>4.7E-2</v>
      </c>
      <c r="AO1795" s="9">
        <v>4.8300000000000003E-2</v>
      </c>
      <c r="AP1795"/>
    </row>
    <row r="1796" spans="1:42" x14ac:dyDescent="0.3">
      <c r="A1796" t="s">
        <v>827</v>
      </c>
      <c r="B1796" t="s">
        <v>1616</v>
      </c>
      <c r="C1796">
        <v>77</v>
      </c>
      <c r="D1796" s="8" t="s">
        <v>1631</v>
      </c>
      <c r="H1796" t="s">
        <v>987</v>
      </c>
      <c r="K1796" s="4">
        <v>8.3333333333333329E-2</v>
      </c>
      <c r="N1796" s="3">
        <v>0.6</v>
      </c>
      <c r="O1796" s="3">
        <v>0</v>
      </c>
      <c r="P1796">
        <v>22.5</v>
      </c>
      <c r="Q1796">
        <v>6.5</v>
      </c>
      <c r="R1796" t="s">
        <v>780</v>
      </c>
      <c r="S1796">
        <v>0.3</v>
      </c>
      <c r="T1796" s="6">
        <f>10^-(14-Q1796)</f>
        <v>3.1622776601683699E-8</v>
      </c>
      <c r="U1796" s="6">
        <v>0.3</v>
      </c>
      <c r="V1796" s="6">
        <v>0</v>
      </c>
      <c r="W1796" s="6">
        <v>0</v>
      </c>
      <c r="X1796" s="6">
        <v>0</v>
      </c>
      <c r="Y1796" t="s">
        <v>171</v>
      </c>
      <c r="AD1796">
        <v>1</v>
      </c>
      <c r="AE1796">
        <v>380</v>
      </c>
      <c r="AF1796">
        <v>1</v>
      </c>
      <c r="AG1796" s="9">
        <v>1.7000000000000001E-2</v>
      </c>
      <c r="AH1796" s="9">
        <v>1.54</v>
      </c>
      <c r="AI1796" s="9">
        <v>0.44</v>
      </c>
      <c r="AJ1796" s="9">
        <v>3.5000000000000003E-2</v>
      </c>
      <c r="AK1796" s="9">
        <v>2E-3</v>
      </c>
      <c r="AL1796" s="9">
        <v>18.5</v>
      </c>
      <c r="AM1796" s="9">
        <v>8.0299999999999994</v>
      </c>
      <c r="AN1796" s="9">
        <v>4.7E-2</v>
      </c>
      <c r="AO1796" s="9">
        <v>4.8300000000000003E-2</v>
      </c>
      <c r="AP1796"/>
    </row>
    <row r="1797" spans="1:42" x14ac:dyDescent="0.3">
      <c r="A1797" t="s">
        <v>828</v>
      </c>
      <c r="B1797" t="s">
        <v>1616</v>
      </c>
      <c r="C1797">
        <v>77</v>
      </c>
      <c r="D1797" s="8" t="s">
        <v>1631</v>
      </c>
      <c r="H1797" t="s">
        <v>987</v>
      </c>
      <c r="K1797" s="4">
        <v>8.3333333333333329E-2</v>
      </c>
      <c r="N1797" s="3">
        <v>0.6</v>
      </c>
      <c r="O1797" s="3">
        <v>0</v>
      </c>
      <c r="P1797">
        <v>22.5</v>
      </c>
      <c r="Q1797">
        <v>6.5</v>
      </c>
      <c r="R1797" t="s">
        <v>780</v>
      </c>
      <c r="S1797">
        <v>0.3</v>
      </c>
      <c r="T1797" s="6">
        <f>10^-(14-Q1797)</f>
        <v>3.1622776601683699E-8</v>
      </c>
      <c r="U1797" s="6">
        <v>0.3</v>
      </c>
      <c r="V1797" s="6">
        <v>0</v>
      </c>
      <c r="W1797" s="6">
        <v>0</v>
      </c>
      <c r="X1797" s="6">
        <v>0</v>
      </c>
      <c r="Y1797" t="s">
        <v>171</v>
      </c>
      <c r="AD1797">
        <v>1</v>
      </c>
      <c r="AE1797">
        <v>380</v>
      </c>
      <c r="AF1797">
        <v>1</v>
      </c>
      <c r="AG1797" s="9">
        <v>1.7000000000000001E-2</v>
      </c>
      <c r="AH1797" s="9">
        <v>1.54</v>
      </c>
      <c r="AI1797" s="9">
        <v>0.44</v>
      </c>
      <c r="AJ1797" s="9">
        <v>3.5000000000000003E-2</v>
      </c>
      <c r="AK1797" s="9">
        <v>2E-3</v>
      </c>
      <c r="AL1797" s="9">
        <v>18.5</v>
      </c>
      <c r="AM1797" s="9">
        <v>8.0299999999999994</v>
      </c>
      <c r="AN1797" s="9">
        <v>4.7E-2</v>
      </c>
      <c r="AO1797" s="9">
        <v>4.8300000000000003E-2</v>
      </c>
      <c r="AP1797"/>
    </row>
    <row r="1798" spans="1:42" x14ac:dyDescent="0.3">
      <c r="A1798" t="s">
        <v>829</v>
      </c>
      <c r="B1798" t="s">
        <v>1616</v>
      </c>
      <c r="C1798">
        <v>77</v>
      </c>
      <c r="D1798" s="8" t="s">
        <v>1631</v>
      </c>
      <c r="H1798" t="s">
        <v>987</v>
      </c>
      <c r="K1798" s="4">
        <v>8.3333333333333329E-2</v>
      </c>
      <c r="N1798" s="3">
        <v>0.6</v>
      </c>
      <c r="O1798" s="3">
        <v>0</v>
      </c>
      <c r="P1798">
        <v>22.5</v>
      </c>
      <c r="Q1798">
        <v>6.5</v>
      </c>
      <c r="R1798" t="s">
        <v>780</v>
      </c>
      <c r="S1798">
        <v>0.3</v>
      </c>
      <c r="T1798" s="6">
        <f>10^-(14-Q1798)</f>
        <v>3.1622776601683699E-8</v>
      </c>
      <c r="U1798" s="6">
        <v>0.3</v>
      </c>
      <c r="V1798" s="6">
        <v>0</v>
      </c>
      <c r="W1798" s="6">
        <v>0</v>
      </c>
      <c r="X1798" s="6">
        <v>0</v>
      </c>
      <c r="Y1798" t="s">
        <v>171</v>
      </c>
      <c r="AD1798">
        <v>1</v>
      </c>
      <c r="AE1798">
        <v>390</v>
      </c>
      <c r="AF1798">
        <v>1</v>
      </c>
      <c r="AG1798" s="9">
        <v>1.7000000000000001E-2</v>
      </c>
      <c r="AH1798" s="9">
        <v>1.54</v>
      </c>
      <c r="AI1798" s="9">
        <v>0.44</v>
      </c>
      <c r="AJ1798" s="9">
        <v>3.5000000000000003E-2</v>
      </c>
      <c r="AK1798" s="9">
        <v>2E-3</v>
      </c>
      <c r="AL1798" s="9">
        <v>18.5</v>
      </c>
      <c r="AM1798" s="9">
        <v>8.0299999999999994</v>
      </c>
      <c r="AN1798" s="9">
        <v>4.7E-2</v>
      </c>
      <c r="AO1798" s="9">
        <v>4.8300000000000003E-2</v>
      </c>
      <c r="AP1798"/>
    </row>
    <row r="1799" spans="1:42" x14ac:dyDescent="0.3">
      <c r="A1799" t="s">
        <v>830</v>
      </c>
      <c r="B1799" t="s">
        <v>1616</v>
      </c>
      <c r="C1799">
        <v>77</v>
      </c>
      <c r="D1799" s="8" t="s">
        <v>1631</v>
      </c>
      <c r="H1799" t="s">
        <v>987</v>
      </c>
      <c r="K1799" s="4">
        <v>8.3333333333333329E-2</v>
      </c>
      <c r="N1799" s="3">
        <v>0.6</v>
      </c>
      <c r="O1799" s="3">
        <v>0</v>
      </c>
      <c r="P1799">
        <v>22.5</v>
      </c>
      <c r="Q1799">
        <v>6.5</v>
      </c>
      <c r="R1799" t="s">
        <v>780</v>
      </c>
      <c r="S1799">
        <v>0.3</v>
      </c>
      <c r="T1799" s="6">
        <f>10^-(14-Q1799)</f>
        <v>3.1622776601683699E-8</v>
      </c>
      <c r="U1799" s="6">
        <v>0.3</v>
      </c>
      <c r="V1799" s="6">
        <v>0</v>
      </c>
      <c r="W1799" s="6">
        <v>0</v>
      </c>
      <c r="X1799" s="6">
        <v>0</v>
      </c>
      <c r="Y1799" t="s">
        <v>171</v>
      </c>
      <c r="AD1799">
        <v>1</v>
      </c>
      <c r="AE1799">
        <v>370</v>
      </c>
      <c r="AF1799">
        <v>1</v>
      </c>
      <c r="AG1799" s="9">
        <v>1.7000000000000001E-2</v>
      </c>
      <c r="AH1799" s="9">
        <v>1.54</v>
      </c>
      <c r="AI1799" s="9">
        <v>0.44</v>
      </c>
      <c r="AJ1799" s="9">
        <v>3.5000000000000003E-2</v>
      </c>
      <c r="AK1799" s="9">
        <v>2E-3</v>
      </c>
      <c r="AL1799" s="9">
        <v>18.5</v>
      </c>
      <c r="AM1799" s="9">
        <v>8.0299999999999994</v>
      </c>
      <c r="AN1799" s="9">
        <v>4.7E-2</v>
      </c>
      <c r="AO1799" s="9">
        <v>4.8300000000000003E-2</v>
      </c>
      <c r="AP1799"/>
    </row>
    <row r="1800" spans="1:42" x14ac:dyDescent="0.3">
      <c r="A1800" t="s">
        <v>831</v>
      </c>
      <c r="B1800" t="s">
        <v>1616</v>
      </c>
      <c r="C1800">
        <v>77</v>
      </c>
      <c r="D1800" s="8" t="s">
        <v>1631</v>
      </c>
      <c r="H1800" t="s">
        <v>987</v>
      </c>
      <c r="K1800" s="4">
        <v>8.3333333333333329E-2</v>
      </c>
      <c r="N1800" s="3">
        <v>0.6</v>
      </c>
      <c r="O1800" s="3">
        <v>0</v>
      </c>
      <c r="P1800">
        <v>22.5</v>
      </c>
      <c r="Q1800">
        <v>6.5</v>
      </c>
      <c r="R1800" t="s">
        <v>779</v>
      </c>
      <c r="S1800">
        <v>0.12</v>
      </c>
      <c r="T1800" s="6">
        <f>10^-(14-Q1800)</f>
        <v>3.1622776601683699E-8</v>
      </c>
      <c r="U1800" s="6">
        <v>0.12</v>
      </c>
      <c r="V1800" s="6">
        <v>0</v>
      </c>
      <c r="W1800" s="6">
        <v>0</v>
      </c>
      <c r="X1800" s="6">
        <v>0</v>
      </c>
      <c r="Y1800" t="s">
        <v>171</v>
      </c>
      <c r="AD1800">
        <v>1</v>
      </c>
      <c r="AE1800">
        <v>330</v>
      </c>
      <c r="AF1800">
        <v>1</v>
      </c>
      <c r="AG1800" s="9">
        <v>1.7000000000000001E-2</v>
      </c>
      <c r="AH1800" s="9">
        <v>1.54</v>
      </c>
      <c r="AI1800" s="9">
        <v>0.44</v>
      </c>
      <c r="AJ1800" s="9">
        <v>3.5000000000000003E-2</v>
      </c>
      <c r="AK1800" s="9">
        <v>2E-3</v>
      </c>
      <c r="AL1800" s="9">
        <v>18.5</v>
      </c>
      <c r="AM1800" s="9">
        <v>8.0299999999999994</v>
      </c>
      <c r="AN1800" s="9">
        <v>4.7E-2</v>
      </c>
      <c r="AO1800" s="9">
        <v>4.8300000000000003E-2</v>
      </c>
      <c r="AP1800"/>
    </row>
    <row r="1801" spans="1:42" x14ac:dyDescent="0.3">
      <c r="A1801" t="s">
        <v>832</v>
      </c>
      <c r="B1801" t="s">
        <v>1616</v>
      </c>
      <c r="C1801">
        <v>77</v>
      </c>
      <c r="D1801" s="8" t="s">
        <v>1631</v>
      </c>
      <c r="H1801" t="s">
        <v>987</v>
      </c>
      <c r="K1801" s="4">
        <v>8.3333333333333329E-2</v>
      </c>
      <c r="N1801" s="3">
        <v>0.6</v>
      </c>
      <c r="O1801" s="3">
        <v>0</v>
      </c>
      <c r="P1801">
        <v>22.5</v>
      </c>
      <c r="Q1801">
        <v>6.5</v>
      </c>
      <c r="R1801" t="s">
        <v>779</v>
      </c>
      <c r="S1801">
        <v>0.12</v>
      </c>
      <c r="T1801" s="6">
        <f>10^-(14-Q1801)</f>
        <v>3.1622776601683699E-8</v>
      </c>
      <c r="U1801" s="6">
        <v>0.12</v>
      </c>
      <c r="V1801" s="6">
        <v>0</v>
      </c>
      <c r="W1801" s="6">
        <v>0</v>
      </c>
      <c r="X1801" s="6">
        <v>0</v>
      </c>
      <c r="Y1801" t="s">
        <v>171</v>
      </c>
      <c r="AD1801">
        <v>1</v>
      </c>
      <c r="AE1801">
        <v>340</v>
      </c>
      <c r="AF1801">
        <v>1</v>
      </c>
      <c r="AG1801" s="9">
        <v>1.7000000000000001E-2</v>
      </c>
      <c r="AH1801" s="9">
        <v>1.54</v>
      </c>
      <c r="AI1801" s="9">
        <v>0.44</v>
      </c>
      <c r="AJ1801" s="9">
        <v>3.5000000000000003E-2</v>
      </c>
      <c r="AK1801" s="9">
        <v>2E-3</v>
      </c>
      <c r="AL1801" s="9">
        <v>18.5</v>
      </c>
      <c r="AM1801" s="9">
        <v>8.0299999999999994</v>
      </c>
      <c r="AN1801" s="9">
        <v>4.7E-2</v>
      </c>
      <c r="AO1801" s="9">
        <v>4.8300000000000003E-2</v>
      </c>
      <c r="AP1801"/>
    </row>
    <row r="1802" spans="1:42" x14ac:dyDescent="0.3">
      <c r="A1802" t="s">
        <v>833</v>
      </c>
      <c r="B1802" t="s">
        <v>1616</v>
      </c>
      <c r="C1802">
        <v>77</v>
      </c>
      <c r="D1802" s="8" t="s">
        <v>1631</v>
      </c>
      <c r="H1802" t="s">
        <v>987</v>
      </c>
      <c r="K1802" s="4">
        <v>8.3333333333333329E-2</v>
      </c>
      <c r="N1802" s="3">
        <v>0.6</v>
      </c>
      <c r="O1802" s="3">
        <v>0</v>
      </c>
      <c r="P1802">
        <v>22.5</v>
      </c>
      <c r="Q1802">
        <v>6.5</v>
      </c>
      <c r="R1802" t="s">
        <v>779</v>
      </c>
      <c r="S1802">
        <v>0.12</v>
      </c>
      <c r="T1802" s="6">
        <f>10^-(14-Q1802)</f>
        <v>3.1622776601683699E-8</v>
      </c>
      <c r="U1802" s="6">
        <v>0.12</v>
      </c>
      <c r="V1802" s="6">
        <v>0</v>
      </c>
      <c r="W1802" s="6">
        <v>0</v>
      </c>
      <c r="X1802" s="6">
        <v>0</v>
      </c>
      <c r="Y1802" t="s">
        <v>171</v>
      </c>
      <c r="AD1802">
        <v>1</v>
      </c>
      <c r="AE1802">
        <v>320</v>
      </c>
      <c r="AF1802">
        <v>1</v>
      </c>
      <c r="AG1802" s="9">
        <v>1.7000000000000001E-2</v>
      </c>
      <c r="AH1802" s="9">
        <v>1.54</v>
      </c>
      <c r="AI1802" s="9">
        <v>0.44</v>
      </c>
      <c r="AJ1802" s="9">
        <v>3.5000000000000003E-2</v>
      </c>
      <c r="AK1802" s="9">
        <v>2E-3</v>
      </c>
      <c r="AL1802" s="9">
        <v>18.5</v>
      </c>
      <c r="AM1802" s="9">
        <v>8.0299999999999994</v>
      </c>
      <c r="AN1802" s="9">
        <v>4.7E-2</v>
      </c>
      <c r="AO1802" s="9">
        <v>4.8300000000000003E-2</v>
      </c>
      <c r="AP1802"/>
    </row>
    <row r="1803" spans="1:42" x14ac:dyDescent="0.3">
      <c r="A1803" t="s">
        <v>834</v>
      </c>
      <c r="B1803" t="s">
        <v>1616</v>
      </c>
      <c r="C1803">
        <v>77</v>
      </c>
      <c r="D1803" s="8" t="s">
        <v>1631</v>
      </c>
      <c r="H1803" t="s">
        <v>987</v>
      </c>
      <c r="K1803" s="4">
        <v>8.3333333333333329E-2</v>
      </c>
      <c r="N1803" s="3">
        <v>0.6</v>
      </c>
      <c r="O1803" s="3">
        <v>0</v>
      </c>
      <c r="P1803">
        <v>22.5</v>
      </c>
      <c r="Q1803">
        <v>6.5</v>
      </c>
      <c r="R1803" t="s">
        <v>779</v>
      </c>
      <c r="S1803">
        <v>0.12</v>
      </c>
      <c r="T1803" s="6">
        <f>10^-(14-Q1803)</f>
        <v>3.1622776601683699E-8</v>
      </c>
      <c r="U1803" s="6">
        <v>0.12</v>
      </c>
      <c r="V1803" s="6">
        <v>0</v>
      </c>
      <c r="W1803" s="6">
        <v>0</v>
      </c>
      <c r="X1803" s="6">
        <v>0</v>
      </c>
      <c r="Y1803" t="s">
        <v>171</v>
      </c>
      <c r="AD1803">
        <v>1</v>
      </c>
      <c r="AE1803">
        <v>300</v>
      </c>
      <c r="AF1803">
        <v>1</v>
      </c>
      <c r="AG1803" s="9">
        <v>1.7000000000000001E-2</v>
      </c>
      <c r="AH1803" s="9">
        <v>1.54</v>
      </c>
      <c r="AI1803" s="9">
        <v>0.44</v>
      </c>
      <c r="AJ1803" s="9">
        <v>3.5000000000000003E-2</v>
      </c>
      <c r="AK1803" s="9">
        <v>2E-3</v>
      </c>
      <c r="AL1803" s="9">
        <v>18.5</v>
      </c>
      <c r="AM1803" s="9">
        <v>8.0299999999999994</v>
      </c>
      <c r="AN1803" s="9">
        <v>4.7E-2</v>
      </c>
      <c r="AO1803" s="9">
        <v>4.8300000000000003E-2</v>
      </c>
      <c r="AP1803"/>
    </row>
    <row r="1804" spans="1:42" x14ac:dyDescent="0.3">
      <c r="A1804" t="s">
        <v>835</v>
      </c>
      <c r="B1804" t="s">
        <v>1616</v>
      </c>
      <c r="C1804">
        <v>77</v>
      </c>
      <c r="D1804" s="8" t="s">
        <v>1631</v>
      </c>
      <c r="H1804" t="s">
        <v>987</v>
      </c>
      <c r="K1804" s="4">
        <v>8.3333333333333329E-2</v>
      </c>
      <c r="N1804" s="3">
        <v>0.6</v>
      </c>
      <c r="O1804" s="3">
        <v>0</v>
      </c>
      <c r="P1804">
        <v>22.5</v>
      </c>
      <c r="Q1804">
        <v>6.5</v>
      </c>
      <c r="R1804" t="s">
        <v>779</v>
      </c>
      <c r="S1804">
        <v>0.12</v>
      </c>
      <c r="T1804" s="6">
        <f>10^-(14-Q1804)</f>
        <v>3.1622776601683699E-8</v>
      </c>
      <c r="U1804" s="6">
        <v>0.12</v>
      </c>
      <c r="V1804" s="6">
        <v>0</v>
      </c>
      <c r="W1804" s="6">
        <v>0</v>
      </c>
      <c r="X1804" s="6">
        <v>0</v>
      </c>
      <c r="Y1804" t="s">
        <v>171</v>
      </c>
      <c r="AD1804">
        <v>1</v>
      </c>
      <c r="AE1804">
        <v>320</v>
      </c>
      <c r="AF1804">
        <v>1</v>
      </c>
      <c r="AG1804" s="9">
        <v>1.7000000000000001E-2</v>
      </c>
      <c r="AH1804" s="9">
        <v>1.54</v>
      </c>
      <c r="AI1804" s="9">
        <v>0.44</v>
      </c>
      <c r="AJ1804" s="9">
        <v>3.5000000000000003E-2</v>
      </c>
      <c r="AK1804" s="9">
        <v>2E-3</v>
      </c>
      <c r="AL1804" s="9">
        <v>18.5</v>
      </c>
      <c r="AM1804" s="9">
        <v>8.0299999999999994</v>
      </c>
      <c r="AN1804" s="9">
        <v>4.7E-2</v>
      </c>
      <c r="AO1804" s="9">
        <v>4.8300000000000003E-2</v>
      </c>
      <c r="AP1804"/>
    </row>
    <row r="1805" spans="1:42" x14ac:dyDescent="0.3">
      <c r="A1805" t="s">
        <v>836</v>
      </c>
      <c r="B1805" t="s">
        <v>1616</v>
      </c>
      <c r="C1805">
        <v>77</v>
      </c>
      <c r="D1805" s="8" t="s">
        <v>1631</v>
      </c>
      <c r="H1805" t="s">
        <v>987</v>
      </c>
      <c r="K1805" s="4">
        <v>8.3333333333333329E-2</v>
      </c>
      <c r="N1805" s="3">
        <v>0.6</v>
      </c>
      <c r="O1805" s="3">
        <v>0</v>
      </c>
      <c r="P1805">
        <v>22.5</v>
      </c>
      <c r="Q1805">
        <v>6.5</v>
      </c>
      <c r="R1805" t="s">
        <v>102</v>
      </c>
      <c r="S1805">
        <v>0</v>
      </c>
      <c r="T1805" s="6">
        <f>10^-(14-Q1805)</f>
        <v>3.1622776601683699E-8</v>
      </c>
      <c r="U1805" s="6">
        <v>0</v>
      </c>
      <c r="V1805" s="6">
        <v>0</v>
      </c>
      <c r="W1805" s="6">
        <v>0</v>
      </c>
      <c r="X1805" s="6">
        <v>0</v>
      </c>
      <c r="Y1805" t="s">
        <v>171</v>
      </c>
      <c r="AD1805">
        <v>1</v>
      </c>
      <c r="AE1805">
        <v>300</v>
      </c>
      <c r="AF1805">
        <v>1</v>
      </c>
      <c r="AG1805" s="9">
        <v>1.7000000000000001E-2</v>
      </c>
      <c r="AH1805" s="9">
        <v>1.54</v>
      </c>
      <c r="AI1805" s="9">
        <v>0.44</v>
      </c>
      <c r="AJ1805" s="9">
        <v>3.5000000000000003E-2</v>
      </c>
      <c r="AK1805" s="9">
        <v>2E-3</v>
      </c>
      <c r="AL1805" s="9">
        <v>18.5</v>
      </c>
      <c r="AM1805" s="9">
        <v>8.0299999999999994</v>
      </c>
      <c r="AN1805" s="9">
        <v>4.7E-2</v>
      </c>
      <c r="AO1805" s="9">
        <v>4.8300000000000003E-2</v>
      </c>
      <c r="AP1805"/>
    </row>
    <row r="1806" spans="1:42" x14ac:dyDescent="0.3">
      <c r="A1806" t="s">
        <v>837</v>
      </c>
      <c r="B1806" t="s">
        <v>1616</v>
      </c>
      <c r="C1806">
        <v>77</v>
      </c>
      <c r="D1806" s="8" t="s">
        <v>1631</v>
      </c>
      <c r="H1806" t="s">
        <v>987</v>
      </c>
      <c r="K1806" s="4">
        <v>8.3333333333333329E-2</v>
      </c>
      <c r="N1806" s="3">
        <v>0.6</v>
      </c>
      <c r="O1806" s="3">
        <v>0</v>
      </c>
      <c r="P1806">
        <v>22.5</v>
      </c>
      <c r="Q1806">
        <v>6.5</v>
      </c>
      <c r="R1806" t="s">
        <v>102</v>
      </c>
      <c r="S1806">
        <v>0</v>
      </c>
      <c r="T1806" s="6">
        <f>10^-(14-Q1806)</f>
        <v>3.1622776601683699E-8</v>
      </c>
      <c r="U1806" s="6">
        <v>0</v>
      </c>
      <c r="V1806" s="6">
        <v>0</v>
      </c>
      <c r="W1806" s="6">
        <v>0</v>
      </c>
      <c r="X1806" s="6">
        <v>0</v>
      </c>
      <c r="Y1806" t="s">
        <v>171</v>
      </c>
      <c r="AD1806">
        <v>1</v>
      </c>
      <c r="AE1806">
        <v>320</v>
      </c>
      <c r="AF1806">
        <v>1</v>
      </c>
      <c r="AG1806" s="9">
        <v>1.7000000000000001E-2</v>
      </c>
      <c r="AH1806" s="9">
        <v>1.54</v>
      </c>
      <c r="AI1806" s="9">
        <v>0.44</v>
      </c>
      <c r="AJ1806" s="9">
        <v>3.5000000000000003E-2</v>
      </c>
      <c r="AK1806" s="9">
        <v>2E-3</v>
      </c>
      <c r="AL1806" s="9">
        <v>18.5</v>
      </c>
      <c r="AM1806" s="9">
        <v>8.0299999999999994</v>
      </c>
      <c r="AN1806" s="9">
        <v>4.7E-2</v>
      </c>
      <c r="AO1806" s="9">
        <v>4.8300000000000003E-2</v>
      </c>
      <c r="AP1806"/>
    </row>
    <row r="1807" spans="1:42" x14ac:dyDescent="0.3">
      <c r="A1807" t="s">
        <v>838</v>
      </c>
      <c r="B1807" t="s">
        <v>1616</v>
      </c>
      <c r="C1807">
        <v>77</v>
      </c>
      <c r="D1807" s="8" t="s">
        <v>1631</v>
      </c>
      <c r="H1807" t="s">
        <v>987</v>
      </c>
      <c r="K1807" s="4">
        <v>8.3333333333333329E-2</v>
      </c>
      <c r="N1807" s="3">
        <v>0.6</v>
      </c>
      <c r="O1807" s="3">
        <v>0</v>
      </c>
      <c r="P1807">
        <v>22.5</v>
      </c>
      <c r="Q1807">
        <v>6.5</v>
      </c>
      <c r="R1807" t="s">
        <v>102</v>
      </c>
      <c r="S1807">
        <v>0</v>
      </c>
      <c r="T1807" s="6">
        <f>10^-(14-Q1807)</f>
        <v>3.1622776601683699E-8</v>
      </c>
      <c r="U1807" s="6">
        <v>0</v>
      </c>
      <c r="V1807" s="6">
        <v>0</v>
      </c>
      <c r="W1807" s="6">
        <v>0</v>
      </c>
      <c r="X1807" s="6">
        <v>0</v>
      </c>
      <c r="Y1807" t="s">
        <v>171</v>
      </c>
      <c r="AD1807">
        <v>1</v>
      </c>
      <c r="AE1807">
        <v>310</v>
      </c>
      <c r="AF1807">
        <v>1</v>
      </c>
      <c r="AG1807" s="9">
        <v>1.7000000000000001E-2</v>
      </c>
      <c r="AH1807" s="9">
        <v>1.54</v>
      </c>
      <c r="AI1807" s="9">
        <v>0.44</v>
      </c>
      <c r="AJ1807" s="9">
        <v>3.5000000000000003E-2</v>
      </c>
      <c r="AK1807" s="9">
        <v>2E-3</v>
      </c>
      <c r="AL1807" s="9">
        <v>18.5</v>
      </c>
      <c r="AM1807" s="9">
        <v>8.0299999999999994</v>
      </c>
      <c r="AN1807" s="9">
        <v>4.7E-2</v>
      </c>
      <c r="AO1807" s="9">
        <v>4.8300000000000003E-2</v>
      </c>
      <c r="AP1807"/>
    </row>
    <row r="1808" spans="1:42" x14ac:dyDescent="0.3">
      <c r="A1808" t="s">
        <v>839</v>
      </c>
      <c r="B1808" t="s">
        <v>1616</v>
      </c>
      <c r="C1808">
        <v>77</v>
      </c>
      <c r="D1808" s="8" t="s">
        <v>1631</v>
      </c>
      <c r="H1808" t="s">
        <v>987</v>
      </c>
      <c r="K1808" s="4">
        <v>8.3333333333333329E-2</v>
      </c>
      <c r="N1808" s="3">
        <v>0.6</v>
      </c>
      <c r="O1808" s="3">
        <v>0</v>
      </c>
      <c r="P1808">
        <v>22.5</v>
      </c>
      <c r="Q1808">
        <v>6.5</v>
      </c>
      <c r="R1808" t="s">
        <v>102</v>
      </c>
      <c r="S1808">
        <v>0</v>
      </c>
      <c r="T1808" s="6">
        <f>10^-(14-Q1808)</f>
        <v>3.1622776601683699E-8</v>
      </c>
      <c r="U1808" s="6">
        <v>0</v>
      </c>
      <c r="V1808" s="6">
        <v>0</v>
      </c>
      <c r="W1808" s="6">
        <v>0</v>
      </c>
      <c r="X1808" s="6">
        <v>0</v>
      </c>
      <c r="Y1808" t="s">
        <v>171</v>
      </c>
      <c r="AD1808">
        <v>1</v>
      </c>
      <c r="AE1808">
        <v>290</v>
      </c>
      <c r="AF1808">
        <v>1</v>
      </c>
      <c r="AG1808" s="9">
        <v>1.7000000000000001E-2</v>
      </c>
      <c r="AH1808" s="9">
        <v>1.54</v>
      </c>
      <c r="AI1808" s="9">
        <v>0.44</v>
      </c>
      <c r="AJ1808" s="9">
        <v>3.5000000000000003E-2</v>
      </c>
      <c r="AK1808" s="9">
        <v>2E-3</v>
      </c>
      <c r="AL1808" s="9">
        <v>18.5</v>
      </c>
      <c r="AM1808" s="9">
        <v>8.0299999999999994</v>
      </c>
      <c r="AN1808" s="9">
        <v>4.7E-2</v>
      </c>
      <c r="AO1808" s="9">
        <v>4.8300000000000003E-2</v>
      </c>
      <c r="AP1808"/>
    </row>
    <row r="1809" spans="1:42" x14ac:dyDescent="0.3">
      <c r="A1809" t="s">
        <v>840</v>
      </c>
      <c r="B1809" t="s">
        <v>1616</v>
      </c>
      <c r="C1809">
        <v>77</v>
      </c>
      <c r="D1809" s="8" t="s">
        <v>1631</v>
      </c>
      <c r="H1809" t="s">
        <v>987</v>
      </c>
      <c r="K1809" s="4">
        <v>8.3333333333333329E-2</v>
      </c>
      <c r="N1809" s="3">
        <v>0.6</v>
      </c>
      <c r="O1809" s="3">
        <v>0</v>
      </c>
      <c r="P1809">
        <v>22.5</v>
      </c>
      <c r="Q1809">
        <v>6.5</v>
      </c>
      <c r="R1809" t="s">
        <v>102</v>
      </c>
      <c r="S1809">
        <v>0</v>
      </c>
      <c r="T1809" s="6">
        <f>10^-(14-Q1809)</f>
        <v>3.1622776601683699E-8</v>
      </c>
      <c r="U1809" s="6">
        <v>0</v>
      </c>
      <c r="V1809" s="6">
        <v>0</v>
      </c>
      <c r="W1809" s="6">
        <v>0</v>
      </c>
      <c r="X1809" s="6">
        <v>0</v>
      </c>
      <c r="Y1809" t="s">
        <v>171</v>
      </c>
      <c r="AD1809">
        <v>1</v>
      </c>
      <c r="AE1809">
        <v>310</v>
      </c>
      <c r="AF1809">
        <v>1</v>
      </c>
      <c r="AG1809" s="9">
        <v>1.7000000000000001E-2</v>
      </c>
      <c r="AH1809" s="9">
        <v>1.54</v>
      </c>
      <c r="AI1809" s="9">
        <v>0.44</v>
      </c>
      <c r="AJ1809" s="9">
        <v>3.5000000000000003E-2</v>
      </c>
      <c r="AK1809" s="9">
        <v>2E-3</v>
      </c>
      <c r="AL1809" s="9">
        <v>18.5</v>
      </c>
      <c r="AM1809" s="9">
        <v>8.0299999999999994</v>
      </c>
      <c r="AN1809" s="9">
        <v>4.7E-2</v>
      </c>
      <c r="AO1809" s="9">
        <v>4.8300000000000003E-2</v>
      </c>
      <c r="AP1809"/>
    </row>
    <row r="1810" spans="1:42" x14ac:dyDescent="0.3">
      <c r="A1810" t="s">
        <v>861</v>
      </c>
      <c r="B1810" t="s">
        <v>1616</v>
      </c>
      <c r="C1810">
        <v>77</v>
      </c>
      <c r="D1810" s="8" t="s">
        <v>1631</v>
      </c>
      <c r="H1810" t="s">
        <v>987</v>
      </c>
      <c r="K1810" s="4">
        <v>8.3333333333333329E-2</v>
      </c>
      <c r="N1810" s="3">
        <v>0.6</v>
      </c>
      <c r="O1810" s="3">
        <v>0</v>
      </c>
      <c r="P1810">
        <v>22.5</v>
      </c>
      <c r="Q1810">
        <v>6.5</v>
      </c>
      <c r="R1810" t="s">
        <v>778</v>
      </c>
      <c r="S1810">
        <v>1.2</v>
      </c>
      <c r="T1810" s="6">
        <f>10^-(14-Q1810)</f>
        <v>3.1622776601683699E-8</v>
      </c>
      <c r="U1810" s="6">
        <v>1.2</v>
      </c>
      <c r="V1810" s="6">
        <v>0</v>
      </c>
      <c r="W1810" s="6">
        <v>0</v>
      </c>
      <c r="X1810" s="6">
        <v>0</v>
      </c>
      <c r="Y1810" t="s">
        <v>171</v>
      </c>
      <c r="AD1810">
        <v>1</v>
      </c>
      <c r="AE1810">
        <v>320</v>
      </c>
      <c r="AF1810">
        <v>1</v>
      </c>
      <c r="AG1810" s="9">
        <v>1.7000000000000001E-2</v>
      </c>
      <c r="AH1810" s="9">
        <v>1.54</v>
      </c>
      <c r="AI1810" s="9">
        <v>0.44</v>
      </c>
      <c r="AJ1810" s="9">
        <v>3.5000000000000003E-2</v>
      </c>
      <c r="AK1810" s="9">
        <v>2E-3</v>
      </c>
      <c r="AL1810" s="9">
        <v>18.5</v>
      </c>
      <c r="AM1810" s="9">
        <v>8.0299999999999994</v>
      </c>
      <c r="AN1810" s="9">
        <v>4.7E-2</v>
      </c>
      <c r="AO1810" s="9">
        <v>4.8300000000000003E-2</v>
      </c>
      <c r="AP1810"/>
    </row>
    <row r="1811" spans="1:42" x14ac:dyDescent="0.3">
      <c r="A1811" t="s">
        <v>862</v>
      </c>
      <c r="B1811" t="s">
        <v>1616</v>
      </c>
      <c r="C1811">
        <v>77</v>
      </c>
      <c r="D1811" s="8" t="s">
        <v>1631</v>
      </c>
      <c r="H1811" t="s">
        <v>987</v>
      </c>
      <c r="K1811" s="4">
        <v>8.3333333333333329E-2</v>
      </c>
      <c r="N1811" s="3">
        <v>0.6</v>
      </c>
      <c r="O1811" s="3">
        <v>0</v>
      </c>
      <c r="P1811">
        <v>22.5</v>
      </c>
      <c r="Q1811">
        <v>6.5</v>
      </c>
      <c r="R1811" t="s">
        <v>778</v>
      </c>
      <c r="S1811">
        <v>1.2</v>
      </c>
      <c r="T1811" s="6">
        <f>10^-(14-Q1811)</f>
        <v>3.1622776601683699E-8</v>
      </c>
      <c r="U1811" s="6">
        <v>1.2</v>
      </c>
      <c r="V1811" s="6">
        <v>0</v>
      </c>
      <c r="W1811" s="6">
        <v>0</v>
      </c>
      <c r="X1811" s="6">
        <v>0</v>
      </c>
      <c r="Y1811" t="s">
        <v>171</v>
      </c>
      <c r="AD1811">
        <v>1</v>
      </c>
      <c r="AE1811">
        <v>300</v>
      </c>
      <c r="AF1811">
        <v>1</v>
      </c>
      <c r="AG1811" s="9">
        <v>1.7000000000000001E-2</v>
      </c>
      <c r="AH1811" s="9">
        <v>1.54</v>
      </c>
      <c r="AI1811" s="9">
        <v>0.44</v>
      </c>
      <c r="AJ1811" s="9">
        <v>3.5000000000000003E-2</v>
      </c>
      <c r="AK1811" s="9">
        <v>2E-3</v>
      </c>
      <c r="AL1811" s="9">
        <v>18.5</v>
      </c>
      <c r="AM1811" s="9">
        <v>8.0299999999999994</v>
      </c>
      <c r="AN1811" s="9">
        <v>4.7E-2</v>
      </c>
      <c r="AO1811" s="9">
        <v>4.8300000000000003E-2</v>
      </c>
      <c r="AP1811"/>
    </row>
    <row r="1812" spans="1:42" x14ac:dyDescent="0.3">
      <c r="A1812" t="s">
        <v>863</v>
      </c>
      <c r="B1812" t="s">
        <v>1616</v>
      </c>
      <c r="C1812">
        <v>77</v>
      </c>
      <c r="D1812" s="8" t="s">
        <v>1631</v>
      </c>
      <c r="H1812" t="s">
        <v>987</v>
      </c>
      <c r="K1812" s="4">
        <v>8.3333333333333329E-2</v>
      </c>
      <c r="N1812" s="3">
        <v>0.6</v>
      </c>
      <c r="O1812" s="3">
        <v>0</v>
      </c>
      <c r="P1812">
        <v>22.5</v>
      </c>
      <c r="Q1812">
        <v>6.5</v>
      </c>
      <c r="R1812" t="s">
        <v>778</v>
      </c>
      <c r="S1812">
        <v>1.2</v>
      </c>
      <c r="T1812" s="6">
        <f>10^-(14-Q1812)</f>
        <v>3.1622776601683699E-8</v>
      </c>
      <c r="U1812" s="6">
        <v>1.2</v>
      </c>
      <c r="V1812" s="6">
        <v>0</v>
      </c>
      <c r="W1812" s="6">
        <v>0</v>
      </c>
      <c r="X1812" s="6">
        <v>0</v>
      </c>
      <c r="Y1812" t="s">
        <v>171</v>
      </c>
      <c r="AD1812">
        <v>1</v>
      </c>
      <c r="AE1812">
        <v>310</v>
      </c>
      <c r="AF1812">
        <v>1</v>
      </c>
      <c r="AG1812" s="9">
        <v>1.7000000000000001E-2</v>
      </c>
      <c r="AH1812" s="9">
        <v>1.54</v>
      </c>
      <c r="AI1812" s="9">
        <v>0.44</v>
      </c>
      <c r="AJ1812" s="9">
        <v>3.5000000000000003E-2</v>
      </c>
      <c r="AK1812" s="9">
        <v>2E-3</v>
      </c>
      <c r="AL1812" s="9">
        <v>18.5</v>
      </c>
      <c r="AM1812" s="9">
        <v>8.0299999999999994</v>
      </c>
      <c r="AN1812" s="9">
        <v>4.7E-2</v>
      </c>
      <c r="AO1812" s="9">
        <v>4.8300000000000003E-2</v>
      </c>
      <c r="AP1812"/>
    </row>
    <row r="1813" spans="1:42" x14ac:dyDescent="0.3">
      <c r="A1813" t="s">
        <v>864</v>
      </c>
      <c r="B1813" t="s">
        <v>1616</v>
      </c>
      <c r="C1813">
        <v>77</v>
      </c>
      <c r="D1813" s="8" t="s">
        <v>1631</v>
      </c>
      <c r="H1813" t="s">
        <v>987</v>
      </c>
      <c r="K1813" s="4">
        <v>8.3333333333333329E-2</v>
      </c>
      <c r="N1813" s="3">
        <v>0.6</v>
      </c>
      <c r="O1813" s="3">
        <v>0</v>
      </c>
      <c r="P1813">
        <v>22.5</v>
      </c>
      <c r="Q1813">
        <v>6.5</v>
      </c>
      <c r="R1813" t="s">
        <v>778</v>
      </c>
      <c r="S1813">
        <v>1.2</v>
      </c>
      <c r="T1813" s="6">
        <f>10^-(14-Q1813)</f>
        <v>3.1622776601683699E-8</v>
      </c>
      <c r="U1813" s="6">
        <v>1.2</v>
      </c>
      <c r="V1813" s="6">
        <v>0</v>
      </c>
      <c r="W1813" s="6">
        <v>0</v>
      </c>
      <c r="X1813" s="6">
        <v>0</v>
      </c>
      <c r="Y1813" t="s">
        <v>171</v>
      </c>
      <c r="AD1813">
        <v>1</v>
      </c>
      <c r="AE1813">
        <v>300</v>
      </c>
      <c r="AF1813">
        <v>1</v>
      </c>
      <c r="AG1813" s="9">
        <v>1.7000000000000001E-2</v>
      </c>
      <c r="AH1813" s="9">
        <v>1.54</v>
      </c>
      <c r="AI1813" s="9">
        <v>0.44</v>
      </c>
      <c r="AJ1813" s="9">
        <v>3.5000000000000003E-2</v>
      </c>
      <c r="AK1813" s="9">
        <v>2E-3</v>
      </c>
      <c r="AL1813" s="9">
        <v>18.5</v>
      </c>
      <c r="AM1813" s="9">
        <v>8.0299999999999994</v>
      </c>
      <c r="AN1813" s="9">
        <v>4.7E-2</v>
      </c>
      <c r="AO1813" s="9">
        <v>4.8300000000000003E-2</v>
      </c>
      <c r="AP1813"/>
    </row>
    <row r="1814" spans="1:42" x14ac:dyDescent="0.3">
      <c r="A1814" t="s">
        <v>865</v>
      </c>
      <c r="B1814" t="s">
        <v>1616</v>
      </c>
      <c r="C1814">
        <v>77</v>
      </c>
      <c r="D1814" s="8" t="s">
        <v>1631</v>
      </c>
      <c r="H1814" t="s">
        <v>987</v>
      </c>
      <c r="K1814" s="4">
        <v>8.3333333333333329E-2</v>
      </c>
      <c r="N1814" s="3">
        <v>0.6</v>
      </c>
      <c r="O1814" s="3">
        <v>0</v>
      </c>
      <c r="P1814">
        <v>22.5</v>
      </c>
      <c r="Q1814">
        <v>6.5</v>
      </c>
      <c r="R1814" t="s">
        <v>778</v>
      </c>
      <c r="S1814">
        <v>1.2</v>
      </c>
      <c r="T1814" s="6">
        <f>10^-(14-Q1814)</f>
        <v>3.1622776601683699E-8</v>
      </c>
      <c r="U1814" s="6">
        <v>1.2</v>
      </c>
      <c r="V1814" s="6">
        <v>0</v>
      </c>
      <c r="W1814" s="6">
        <v>0</v>
      </c>
      <c r="X1814" s="6">
        <v>0</v>
      </c>
      <c r="Y1814" t="s">
        <v>171</v>
      </c>
      <c r="AD1814">
        <v>1</v>
      </c>
      <c r="AE1814">
        <v>310</v>
      </c>
      <c r="AF1814">
        <v>1</v>
      </c>
      <c r="AG1814" s="9">
        <v>1.7000000000000001E-2</v>
      </c>
      <c r="AH1814" s="9">
        <v>1.54</v>
      </c>
      <c r="AI1814" s="9">
        <v>0.44</v>
      </c>
      <c r="AJ1814" s="9">
        <v>3.5000000000000003E-2</v>
      </c>
      <c r="AK1814" s="9">
        <v>2E-3</v>
      </c>
      <c r="AL1814" s="9">
        <v>18.5</v>
      </c>
      <c r="AM1814" s="9">
        <v>8.0299999999999994</v>
      </c>
      <c r="AN1814" s="9">
        <v>4.7E-2</v>
      </c>
      <c r="AO1814" s="9">
        <v>4.8300000000000003E-2</v>
      </c>
      <c r="AP1814"/>
    </row>
    <row r="1815" spans="1:42" x14ac:dyDescent="0.3">
      <c r="A1815" t="s">
        <v>866</v>
      </c>
      <c r="B1815" t="s">
        <v>1616</v>
      </c>
      <c r="C1815">
        <v>77</v>
      </c>
      <c r="D1815" s="8" t="s">
        <v>1631</v>
      </c>
      <c r="H1815" t="s">
        <v>987</v>
      </c>
      <c r="K1815" s="4">
        <v>8.3333333333333329E-2</v>
      </c>
      <c r="N1815" s="3">
        <v>0.6</v>
      </c>
      <c r="O1815" s="3">
        <v>0</v>
      </c>
      <c r="P1815">
        <v>22.5</v>
      </c>
      <c r="Q1815">
        <v>6.5</v>
      </c>
      <c r="R1815" t="s">
        <v>780</v>
      </c>
      <c r="S1815">
        <v>0.3</v>
      </c>
      <c r="T1815" s="6">
        <f>10^-(14-Q1815)</f>
        <v>3.1622776601683699E-8</v>
      </c>
      <c r="U1815" s="6">
        <v>0.3</v>
      </c>
      <c r="V1815" s="6">
        <v>0</v>
      </c>
      <c r="W1815" s="6">
        <v>0</v>
      </c>
      <c r="X1815" s="6">
        <v>0</v>
      </c>
      <c r="Y1815" t="s">
        <v>171</v>
      </c>
      <c r="AD1815">
        <v>1</v>
      </c>
      <c r="AE1815">
        <v>280</v>
      </c>
      <c r="AF1815">
        <v>1</v>
      </c>
      <c r="AG1815" s="9">
        <v>1.7000000000000001E-2</v>
      </c>
      <c r="AH1815" s="9">
        <v>1.54</v>
      </c>
      <c r="AI1815" s="9">
        <v>0.44</v>
      </c>
      <c r="AJ1815" s="9">
        <v>3.5000000000000003E-2</v>
      </c>
      <c r="AK1815" s="9">
        <v>2E-3</v>
      </c>
      <c r="AL1815" s="9">
        <v>18.5</v>
      </c>
      <c r="AM1815" s="9">
        <v>8.0299999999999994</v>
      </c>
      <c r="AN1815" s="9">
        <v>4.7E-2</v>
      </c>
      <c r="AO1815" s="9">
        <v>4.8300000000000003E-2</v>
      </c>
      <c r="AP1815"/>
    </row>
    <row r="1816" spans="1:42" x14ac:dyDescent="0.3">
      <c r="A1816" t="s">
        <v>867</v>
      </c>
      <c r="B1816" t="s">
        <v>1616</v>
      </c>
      <c r="C1816">
        <v>77</v>
      </c>
      <c r="D1816" s="8" t="s">
        <v>1631</v>
      </c>
      <c r="H1816" t="s">
        <v>987</v>
      </c>
      <c r="K1816" s="4">
        <v>8.3333333333333329E-2</v>
      </c>
      <c r="N1816" s="3">
        <v>0.6</v>
      </c>
      <c r="O1816" s="3">
        <v>0</v>
      </c>
      <c r="P1816">
        <v>22.5</v>
      </c>
      <c r="Q1816">
        <v>6.5</v>
      </c>
      <c r="R1816" t="s">
        <v>780</v>
      </c>
      <c r="S1816">
        <v>0.3</v>
      </c>
      <c r="T1816" s="6">
        <f>10^-(14-Q1816)</f>
        <v>3.1622776601683699E-8</v>
      </c>
      <c r="U1816" s="6">
        <v>0.3</v>
      </c>
      <c r="V1816" s="6">
        <v>0</v>
      </c>
      <c r="W1816" s="6">
        <v>0</v>
      </c>
      <c r="X1816" s="6">
        <v>0</v>
      </c>
      <c r="Y1816" t="s">
        <v>171</v>
      </c>
      <c r="AD1816">
        <v>1</v>
      </c>
      <c r="AE1816">
        <v>280</v>
      </c>
      <c r="AF1816">
        <v>1</v>
      </c>
      <c r="AG1816" s="9">
        <v>1.7000000000000001E-2</v>
      </c>
      <c r="AH1816" s="9">
        <v>1.54</v>
      </c>
      <c r="AI1816" s="9">
        <v>0.44</v>
      </c>
      <c r="AJ1816" s="9">
        <v>3.5000000000000003E-2</v>
      </c>
      <c r="AK1816" s="9">
        <v>2E-3</v>
      </c>
      <c r="AL1816" s="9">
        <v>18.5</v>
      </c>
      <c r="AM1816" s="9">
        <v>8.0299999999999994</v>
      </c>
      <c r="AN1816" s="9">
        <v>4.7E-2</v>
      </c>
      <c r="AO1816" s="9">
        <v>4.8300000000000003E-2</v>
      </c>
      <c r="AP1816"/>
    </row>
    <row r="1817" spans="1:42" x14ac:dyDescent="0.3">
      <c r="A1817" t="s">
        <v>868</v>
      </c>
      <c r="B1817" t="s">
        <v>1616</v>
      </c>
      <c r="C1817">
        <v>77</v>
      </c>
      <c r="D1817" s="8" t="s">
        <v>1631</v>
      </c>
      <c r="H1817" t="s">
        <v>987</v>
      </c>
      <c r="K1817" s="4">
        <v>8.3333333333333329E-2</v>
      </c>
      <c r="N1817" s="3">
        <v>0.6</v>
      </c>
      <c r="O1817" s="3">
        <v>0</v>
      </c>
      <c r="P1817">
        <v>22.5</v>
      </c>
      <c r="Q1817">
        <v>6.5</v>
      </c>
      <c r="R1817" t="s">
        <v>780</v>
      </c>
      <c r="S1817">
        <v>0.3</v>
      </c>
      <c r="T1817" s="6">
        <f>10^-(14-Q1817)</f>
        <v>3.1622776601683699E-8</v>
      </c>
      <c r="U1817" s="6">
        <v>0.3</v>
      </c>
      <c r="V1817" s="6">
        <v>0</v>
      </c>
      <c r="W1817" s="6">
        <v>0</v>
      </c>
      <c r="X1817" s="6">
        <v>0</v>
      </c>
      <c r="Y1817" t="s">
        <v>171</v>
      </c>
      <c r="AD1817">
        <v>1</v>
      </c>
      <c r="AE1817">
        <v>280</v>
      </c>
      <c r="AF1817">
        <v>1</v>
      </c>
      <c r="AG1817" s="9">
        <v>1.7000000000000001E-2</v>
      </c>
      <c r="AH1817" s="9">
        <v>1.54</v>
      </c>
      <c r="AI1817" s="9">
        <v>0.44</v>
      </c>
      <c r="AJ1817" s="9">
        <v>3.5000000000000003E-2</v>
      </c>
      <c r="AK1817" s="9">
        <v>2E-3</v>
      </c>
      <c r="AL1817" s="9">
        <v>18.5</v>
      </c>
      <c r="AM1817" s="9">
        <v>8.0299999999999994</v>
      </c>
      <c r="AN1817" s="9">
        <v>4.7E-2</v>
      </c>
      <c r="AO1817" s="9">
        <v>4.8300000000000003E-2</v>
      </c>
      <c r="AP1817"/>
    </row>
    <row r="1818" spans="1:42" x14ac:dyDescent="0.3">
      <c r="A1818" t="s">
        <v>869</v>
      </c>
      <c r="B1818" t="s">
        <v>1616</v>
      </c>
      <c r="C1818">
        <v>77</v>
      </c>
      <c r="D1818" s="8" t="s">
        <v>1631</v>
      </c>
      <c r="H1818" t="s">
        <v>987</v>
      </c>
      <c r="K1818" s="4">
        <v>8.3333333333333329E-2</v>
      </c>
      <c r="N1818" s="3">
        <v>0.6</v>
      </c>
      <c r="O1818" s="3">
        <v>0</v>
      </c>
      <c r="P1818">
        <v>22.5</v>
      </c>
      <c r="Q1818">
        <v>6.5</v>
      </c>
      <c r="R1818" t="s">
        <v>780</v>
      </c>
      <c r="S1818">
        <v>0.3</v>
      </c>
      <c r="T1818" s="6">
        <f>10^-(14-Q1818)</f>
        <v>3.1622776601683699E-8</v>
      </c>
      <c r="U1818" s="6">
        <v>0.3</v>
      </c>
      <c r="V1818" s="6">
        <v>0</v>
      </c>
      <c r="W1818" s="6">
        <v>0</v>
      </c>
      <c r="X1818" s="6">
        <v>0</v>
      </c>
      <c r="Y1818" t="s">
        <v>171</v>
      </c>
      <c r="AD1818">
        <v>1</v>
      </c>
      <c r="AE1818">
        <v>290</v>
      </c>
      <c r="AF1818">
        <v>1</v>
      </c>
      <c r="AG1818" s="9">
        <v>1.7000000000000001E-2</v>
      </c>
      <c r="AH1818" s="9">
        <v>1.54</v>
      </c>
      <c r="AI1818" s="9">
        <v>0.44</v>
      </c>
      <c r="AJ1818" s="9">
        <v>3.5000000000000003E-2</v>
      </c>
      <c r="AK1818" s="9">
        <v>2E-3</v>
      </c>
      <c r="AL1818" s="9">
        <v>18.5</v>
      </c>
      <c r="AM1818" s="9">
        <v>8.0299999999999994</v>
      </c>
      <c r="AN1818" s="9">
        <v>4.7E-2</v>
      </c>
      <c r="AO1818" s="9">
        <v>4.8300000000000003E-2</v>
      </c>
      <c r="AP1818"/>
    </row>
    <row r="1819" spans="1:42" x14ac:dyDescent="0.3">
      <c r="A1819" t="s">
        <v>870</v>
      </c>
      <c r="B1819" t="s">
        <v>1616</v>
      </c>
      <c r="C1819">
        <v>77</v>
      </c>
      <c r="D1819" s="8" t="s">
        <v>1631</v>
      </c>
      <c r="H1819" t="s">
        <v>987</v>
      </c>
      <c r="K1819" s="4">
        <v>8.3333333333333329E-2</v>
      </c>
      <c r="N1819" s="3">
        <v>0.6</v>
      </c>
      <c r="O1819" s="3">
        <v>0</v>
      </c>
      <c r="P1819">
        <v>22.5</v>
      </c>
      <c r="Q1819">
        <v>6.5</v>
      </c>
      <c r="R1819" t="s">
        <v>780</v>
      </c>
      <c r="S1819">
        <v>0.3</v>
      </c>
      <c r="T1819" s="6">
        <f>10^-(14-Q1819)</f>
        <v>3.1622776601683699E-8</v>
      </c>
      <c r="U1819" s="6">
        <v>0.3</v>
      </c>
      <c r="V1819" s="6">
        <v>0</v>
      </c>
      <c r="W1819" s="6">
        <v>0</v>
      </c>
      <c r="X1819" s="6">
        <v>0</v>
      </c>
      <c r="Y1819" t="s">
        <v>171</v>
      </c>
      <c r="AD1819">
        <v>1</v>
      </c>
      <c r="AE1819">
        <v>270</v>
      </c>
      <c r="AF1819">
        <v>1</v>
      </c>
      <c r="AG1819" s="9">
        <v>1.7000000000000001E-2</v>
      </c>
      <c r="AH1819" s="9">
        <v>1.54</v>
      </c>
      <c r="AI1819" s="9">
        <v>0.44</v>
      </c>
      <c r="AJ1819" s="9">
        <v>3.5000000000000003E-2</v>
      </c>
      <c r="AK1819" s="9">
        <v>2E-3</v>
      </c>
      <c r="AL1819" s="9">
        <v>18.5</v>
      </c>
      <c r="AM1819" s="9">
        <v>8.0299999999999994</v>
      </c>
      <c r="AN1819" s="9">
        <v>4.7E-2</v>
      </c>
      <c r="AO1819" s="9">
        <v>4.8300000000000003E-2</v>
      </c>
      <c r="AP1819"/>
    </row>
    <row r="1820" spans="1:42" x14ac:dyDescent="0.3">
      <c r="A1820" t="s">
        <v>871</v>
      </c>
      <c r="B1820" t="s">
        <v>1616</v>
      </c>
      <c r="C1820">
        <v>77</v>
      </c>
      <c r="D1820" s="8" t="s">
        <v>1631</v>
      </c>
      <c r="H1820" t="s">
        <v>987</v>
      </c>
      <c r="K1820" s="4">
        <v>8.3333333333333329E-2</v>
      </c>
      <c r="N1820" s="3">
        <v>0.6</v>
      </c>
      <c r="O1820" s="3">
        <v>0</v>
      </c>
      <c r="P1820">
        <v>22.5</v>
      </c>
      <c r="Q1820">
        <v>6.5</v>
      </c>
      <c r="R1820" t="s">
        <v>779</v>
      </c>
      <c r="S1820">
        <v>0.12</v>
      </c>
      <c r="T1820" s="6">
        <f>10^-(14-Q1820)</f>
        <v>3.1622776601683699E-8</v>
      </c>
      <c r="U1820" s="6">
        <v>0.12</v>
      </c>
      <c r="V1820" s="6">
        <v>0</v>
      </c>
      <c r="W1820" s="6">
        <v>0</v>
      </c>
      <c r="X1820" s="6">
        <v>0</v>
      </c>
      <c r="Y1820" t="s">
        <v>171</v>
      </c>
      <c r="AD1820">
        <v>1</v>
      </c>
      <c r="AE1820">
        <v>230</v>
      </c>
      <c r="AF1820">
        <v>1</v>
      </c>
      <c r="AG1820" s="9">
        <v>1.7000000000000001E-2</v>
      </c>
      <c r="AH1820" s="9">
        <v>1.54</v>
      </c>
      <c r="AI1820" s="9">
        <v>0.44</v>
      </c>
      <c r="AJ1820" s="9">
        <v>3.5000000000000003E-2</v>
      </c>
      <c r="AK1820" s="9">
        <v>2E-3</v>
      </c>
      <c r="AL1820" s="9">
        <v>18.5</v>
      </c>
      <c r="AM1820" s="9">
        <v>8.0299999999999994</v>
      </c>
      <c r="AN1820" s="9">
        <v>4.7E-2</v>
      </c>
      <c r="AO1820" s="9">
        <v>4.8300000000000003E-2</v>
      </c>
      <c r="AP1820"/>
    </row>
    <row r="1821" spans="1:42" x14ac:dyDescent="0.3">
      <c r="A1821" t="s">
        <v>872</v>
      </c>
      <c r="B1821" t="s">
        <v>1616</v>
      </c>
      <c r="C1821">
        <v>77</v>
      </c>
      <c r="D1821" s="8" t="s">
        <v>1631</v>
      </c>
      <c r="H1821" t="s">
        <v>987</v>
      </c>
      <c r="K1821" s="4">
        <v>8.3333333333333329E-2</v>
      </c>
      <c r="N1821" s="3">
        <v>0.6</v>
      </c>
      <c r="O1821" s="3">
        <v>0</v>
      </c>
      <c r="P1821">
        <v>22.5</v>
      </c>
      <c r="Q1821">
        <v>6.5</v>
      </c>
      <c r="R1821" t="s">
        <v>779</v>
      </c>
      <c r="S1821">
        <v>0.12</v>
      </c>
      <c r="T1821" s="6">
        <f>10^-(14-Q1821)</f>
        <v>3.1622776601683699E-8</v>
      </c>
      <c r="U1821" s="6">
        <v>0.12</v>
      </c>
      <c r="V1821" s="6">
        <v>0</v>
      </c>
      <c r="W1821" s="6">
        <v>0</v>
      </c>
      <c r="X1821" s="6">
        <v>0</v>
      </c>
      <c r="Y1821" t="s">
        <v>171</v>
      </c>
      <c r="AD1821">
        <v>1</v>
      </c>
      <c r="AE1821">
        <v>240</v>
      </c>
      <c r="AF1821">
        <v>1</v>
      </c>
      <c r="AG1821" s="9">
        <v>1.7000000000000001E-2</v>
      </c>
      <c r="AH1821" s="9">
        <v>1.54</v>
      </c>
      <c r="AI1821" s="9">
        <v>0.44</v>
      </c>
      <c r="AJ1821" s="9">
        <v>3.5000000000000003E-2</v>
      </c>
      <c r="AK1821" s="9">
        <v>2E-3</v>
      </c>
      <c r="AL1821" s="9">
        <v>18.5</v>
      </c>
      <c r="AM1821" s="9">
        <v>8.0299999999999994</v>
      </c>
      <c r="AN1821" s="9">
        <v>4.7E-2</v>
      </c>
      <c r="AO1821" s="9">
        <v>4.8300000000000003E-2</v>
      </c>
      <c r="AP1821"/>
    </row>
    <row r="1822" spans="1:42" x14ac:dyDescent="0.3">
      <c r="A1822" t="s">
        <v>873</v>
      </c>
      <c r="B1822" t="s">
        <v>1616</v>
      </c>
      <c r="C1822">
        <v>77</v>
      </c>
      <c r="D1822" s="8" t="s">
        <v>1631</v>
      </c>
      <c r="H1822" t="s">
        <v>987</v>
      </c>
      <c r="K1822" s="4">
        <v>8.3333333333333329E-2</v>
      </c>
      <c r="N1822" s="3">
        <v>0.6</v>
      </c>
      <c r="O1822" s="3">
        <v>0</v>
      </c>
      <c r="P1822">
        <v>22.5</v>
      </c>
      <c r="Q1822">
        <v>6.5</v>
      </c>
      <c r="R1822" t="s">
        <v>779</v>
      </c>
      <c r="S1822">
        <v>0.12</v>
      </c>
      <c r="T1822" s="6">
        <f>10^-(14-Q1822)</f>
        <v>3.1622776601683699E-8</v>
      </c>
      <c r="U1822" s="6">
        <v>0.12</v>
      </c>
      <c r="V1822" s="6">
        <v>0</v>
      </c>
      <c r="W1822" s="6">
        <v>0</v>
      </c>
      <c r="X1822" s="6">
        <v>0</v>
      </c>
      <c r="Y1822" t="s">
        <v>171</v>
      </c>
      <c r="AD1822">
        <v>1</v>
      </c>
      <c r="AE1822">
        <v>220</v>
      </c>
      <c r="AF1822">
        <v>1</v>
      </c>
      <c r="AG1822" s="9">
        <v>1.7000000000000001E-2</v>
      </c>
      <c r="AH1822" s="9">
        <v>1.54</v>
      </c>
      <c r="AI1822" s="9">
        <v>0.44</v>
      </c>
      <c r="AJ1822" s="9">
        <v>3.5000000000000003E-2</v>
      </c>
      <c r="AK1822" s="9">
        <v>2E-3</v>
      </c>
      <c r="AL1822" s="9">
        <v>18.5</v>
      </c>
      <c r="AM1822" s="9">
        <v>8.0299999999999994</v>
      </c>
      <c r="AN1822" s="9">
        <v>4.7E-2</v>
      </c>
      <c r="AO1822" s="9">
        <v>4.8300000000000003E-2</v>
      </c>
      <c r="AP1822"/>
    </row>
    <row r="1823" spans="1:42" x14ac:dyDescent="0.3">
      <c r="A1823" t="s">
        <v>874</v>
      </c>
      <c r="B1823" t="s">
        <v>1616</v>
      </c>
      <c r="C1823">
        <v>77</v>
      </c>
      <c r="D1823" s="8" t="s">
        <v>1631</v>
      </c>
      <c r="H1823" t="s">
        <v>987</v>
      </c>
      <c r="K1823" s="4">
        <v>8.3333333333333329E-2</v>
      </c>
      <c r="N1823" s="3">
        <v>0.6</v>
      </c>
      <c r="O1823" s="3">
        <v>0</v>
      </c>
      <c r="P1823">
        <v>22.5</v>
      </c>
      <c r="Q1823">
        <v>6.5</v>
      </c>
      <c r="R1823" t="s">
        <v>779</v>
      </c>
      <c r="S1823">
        <v>0.12</v>
      </c>
      <c r="T1823" s="6">
        <f>10^-(14-Q1823)</f>
        <v>3.1622776601683699E-8</v>
      </c>
      <c r="U1823" s="6">
        <v>0.12</v>
      </c>
      <c r="V1823" s="6">
        <v>0</v>
      </c>
      <c r="W1823" s="6">
        <v>0</v>
      </c>
      <c r="X1823" s="6">
        <v>0</v>
      </c>
      <c r="Y1823" t="s">
        <v>171</v>
      </c>
      <c r="AD1823">
        <v>1</v>
      </c>
      <c r="AE1823">
        <v>200</v>
      </c>
      <c r="AF1823">
        <v>1</v>
      </c>
      <c r="AG1823" s="9">
        <v>1.7000000000000001E-2</v>
      </c>
      <c r="AH1823" s="9">
        <v>1.54</v>
      </c>
      <c r="AI1823" s="9">
        <v>0.44</v>
      </c>
      <c r="AJ1823" s="9">
        <v>3.5000000000000003E-2</v>
      </c>
      <c r="AK1823" s="9">
        <v>2E-3</v>
      </c>
      <c r="AL1823" s="9">
        <v>18.5</v>
      </c>
      <c r="AM1823" s="9">
        <v>8.0299999999999994</v>
      </c>
      <c r="AN1823" s="9">
        <v>4.7E-2</v>
      </c>
      <c r="AO1823" s="9">
        <v>4.8300000000000003E-2</v>
      </c>
      <c r="AP1823"/>
    </row>
    <row r="1824" spans="1:42" x14ac:dyDescent="0.3">
      <c r="A1824" t="s">
        <v>875</v>
      </c>
      <c r="B1824" t="s">
        <v>1616</v>
      </c>
      <c r="C1824">
        <v>77</v>
      </c>
      <c r="D1824" s="8" t="s">
        <v>1631</v>
      </c>
      <c r="H1824" t="s">
        <v>987</v>
      </c>
      <c r="K1824" s="4">
        <v>8.3333333333333329E-2</v>
      </c>
      <c r="N1824" s="3">
        <v>0.6</v>
      </c>
      <c r="O1824" s="3">
        <v>0</v>
      </c>
      <c r="P1824">
        <v>22.5</v>
      </c>
      <c r="Q1824">
        <v>6.5</v>
      </c>
      <c r="R1824" t="s">
        <v>779</v>
      </c>
      <c r="S1824">
        <v>0.12</v>
      </c>
      <c r="T1824" s="6">
        <f>10^-(14-Q1824)</f>
        <v>3.1622776601683699E-8</v>
      </c>
      <c r="U1824" s="6">
        <v>0.12</v>
      </c>
      <c r="V1824" s="6">
        <v>0</v>
      </c>
      <c r="W1824" s="6">
        <v>0</v>
      </c>
      <c r="X1824" s="6">
        <v>0</v>
      </c>
      <c r="Y1824" t="s">
        <v>171</v>
      </c>
      <c r="AD1824">
        <v>1</v>
      </c>
      <c r="AE1824">
        <v>220</v>
      </c>
      <c r="AF1824">
        <v>1</v>
      </c>
      <c r="AG1824" s="9">
        <v>1.7000000000000001E-2</v>
      </c>
      <c r="AH1824" s="9">
        <v>1.54</v>
      </c>
      <c r="AI1824" s="9">
        <v>0.44</v>
      </c>
      <c r="AJ1824" s="9">
        <v>3.5000000000000003E-2</v>
      </c>
      <c r="AK1824" s="9">
        <v>2E-3</v>
      </c>
      <c r="AL1824" s="9">
        <v>18.5</v>
      </c>
      <c r="AM1824" s="9">
        <v>8.0299999999999994</v>
      </c>
      <c r="AN1824" s="9">
        <v>4.7E-2</v>
      </c>
      <c r="AO1824" s="9">
        <v>4.8300000000000003E-2</v>
      </c>
      <c r="AP1824"/>
    </row>
    <row r="1825" spans="1:42" x14ac:dyDescent="0.3">
      <c r="A1825" t="s">
        <v>876</v>
      </c>
      <c r="B1825" t="s">
        <v>1616</v>
      </c>
      <c r="C1825">
        <v>77</v>
      </c>
      <c r="D1825" s="8" t="s">
        <v>1631</v>
      </c>
      <c r="H1825" t="s">
        <v>987</v>
      </c>
      <c r="K1825" s="4">
        <v>8.3333333333333329E-2</v>
      </c>
      <c r="N1825" s="3">
        <v>0.6</v>
      </c>
      <c r="O1825" s="3">
        <v>0</v>
      </c>
      <c r="P1825">
        <v>22.5</v>
      </c>
      <c r="Q1825">
        <v>6.5</v>
      </c>
      <c r="R1825" t="s">
        <v>102</v>
      </c>
      <c r="S1825">
        <v>0</v>
      </c>
      <c r="T1825" s="6">
        <f>10^-(14-Q1825)</f>
        <v>3.1622776601683699E-8</v>
      </c>
      <c r="U1825" s="6">
        <v>0</v>
      </c>
      <c r="V1825" s="6">
        <v>0</v>
      </c>
      <c r="W1825" s="6">
        <v>0</v>
      </c>
      <c r="X1825" s="6">
        <v>0</v>
      </c>
      <c r="Y1825" t="s">
        <v>171</v>
      </c>
      <c r="AD1825">
        <v>1</v>
      </c>
      <c r="AE1825">
        <v>200</v>
      </c>
      <c r="AF1825">
        <v>1</v>
      </c>
      <c r="AG1825" s="9">
        <v>1.7000000000000001E-2</v>
      </c>
      <c r="AH1825" s="9">
        <v>1.54</v>
      </c>
      <c r="AI1825" s="9">
        <v>0.44</v>
      </c>
      <c r="AJ1825" s="9">
        <v>3.5000000000000003E-2</v>
      </c>
      <c r="AK1825" s="9">
        <v>2E-3</v>
      </c>
      <c r="AL1825" s="9">
        <v>18.5</v>
      </c>
      <c r="AM1825" s="9">
        <v>8.0299999999999994</v>
      </c>
      <c r="AN1825" s="9">
        <v>4.7E-2</v>
      </c>
      <c r="AO1825" s="9">
        <v>4.8300000000000003E-2</v>
      </c>
      <c r="AP1825"/>
    </row>
    <row r="1826" spans="1:42" x14ac:dyDescent="0.3">
      <c r="A1826" t="s">
        <v>877</v>
      </c>
      <c r="B1826" t="s">
        <v>1616</v>
      </c>
      <c r="C1826">
        <v>77</v>
      </c>
      <c r="D1826" s="8" t="s">
        <v>1631</v>
      </c>
      <c r="H1826" t="s">
        <v>987</v>
      </c>
      <c r="K1826" s="4">
        <v>8.3333333333333329E-2</v>
      </c>
      <c r="N1826" s="3">
        <v>0.6</v>
      </c>
      <c r="O1826" s="3">
        <v>0</v>
      </c>
      <c r="P1826">
        <v>22.5</v>
      </c>
      <c r="Q1826">
        <v>6.5</v>
      </c>
      <c r="R1826" t="s">
        <v>102</v>
      </c>
      <c r="S1826">
        <v>0</v>
      </c>
      <c r="T1826" s="6">
        <f>10^-(14-Q1826)</f>
        <v>3.1622776601683699E-8</v>
      </c>
      <c r="U1826" s="6">
        <v>0</v>
      </c>
      <c r="V1826" s="6">
        <v>0</v>
      </c>
      <c r="W1826" s="6">
        <v>0</v>
      </c>
      <c r="X1826" s="6">
        <v>0</v>
      </c>
      <c r="Y1826" t="s">
        <v>171</v>
      </c>
      <c r="AD1826">
        <v>1</v>
      </c>
      <c r="AE1826">
        <v>220</v>
      </c>
      <c r="AF1826">
        <v>1</v>
      </c>
      <c r="AG1826" s="9">
        <v>1.7000000000000001E-2</v>
      </c>
      <c r="AH1826" s="9">
        <v>1.54</v>
      </c>
      <c r="AI1826" s="9">
        <v>0.44</v>
      </c>
      <c r="AJ1826" s="9">
        <v>3.5000000000000003E-2</v>
      </c>
      <c r="AK1826" s="9">
        <v>2E-3</v>
      </c>
      <c r="AL1826" s="9">
        <v>18.5</v>
      </c>
      <c r="AM1826" s="9">
        <v>8.0299999999999994</v>
      </c>
      <c r="AN1826" s="9">
        <v>4.7E-2</v>
      </c>
      <c r="AO1826" s="9">
        <v>4.8300000000000003E-2</v>
      </c>
      <c r="AP1826"/>
    </row>
    <row r="1827" spans="1:42" x14ac:dyDescent="0.3">
      <c r="A1827" t="s">
        <v>878</v>
      </c>
      <c r="B1827" t="s">
        <v>1616</v>
      </c>
      <c r="C1827">
        <v>77</v>
      </c>
      <c r="D1827" s="8" t="s">
        <v>1631</v>
      </c>
      <c r="H1827" t="s">
        <v>987</v>
      </c>
      <c r="K1827" s="4">
        <v>8.3333333333333329E-2</v>
      </c>
      <c r="N1827" s="3">
        <v>0.6</v>
      </c>
      <c r="O1827" s="3">
        <v>0</v>
      </c>
      <c r="P1827">
        <v>22.5</v>
      </c>
      <c r="Q1827">
        <v>6.5</v>
      </c>
      <c r="R1827" t="s">
        <v>102</v>
      </c>
      <c r="S1827">
        <v>0</v>
      </c>
      <c r="T1827" s="6">
        <f>10^-(14-Q1827)</f>
        <v>3.1622776601683699E-8</v>
      </c>
      <c r="U1827" s="6">
        <v>0</v>
      </c>
      <c r="V1827" s="6">
        <v>0</v>
      </c>
      <c r="W1827" s="6">
        <v>0</v>
      </c>
      <c r="X1827" s="6">
        <v>0</v>
      </c>
      <c r="Y1827" t="s">
        <v>171</v>
      </c>
      <c r="AD1827">
        <v>1</v>
      </c>
      <c r="AE1827">
        <v>210</v>
      </c>
      <c r="AF1827">
        <v>1</v>
      </c>
      <c r="AG1827" s="9">
        <v>1.7000000000000001E-2</v>
      </c>
      <c r="AH1827" s="9">
        <v>1.54</v>
      </c>
      <c r="AI1827" s="9">
        <v>0.44</v>
      </c>
      <c r="AJ1827" s="9">
        <v>3.5000000000000003E-2</v>
      </c>
      <c r="AK1827" s="9">
        <v>2E-3</v>
      </c>
      <c r="AL1827" s="9">
        <v>18.5</v>
      </c>
      <c r="AM1827" s="9">
        <v>8.0299999999999994</v>
      </c>
      <c r="AN1827" s="9">
        <v>4.7E-2</v>
      </c>
      <c r="AO1827" s="9">
        <v>4.8300000000000003E-2</v>
      </c>
      <c r="AP1827"/>
    </row>
    <row r="1828" spans="1:42" x14ac:dyDescent="0.3">
      <c r="A1828" t="s">
        <v>879</v>
      </c>
      <c r="B1828" t="s">
        <v>1616</v>
      </c>
      <c r="C1828">
        <v>77</v>
      </c>
      <c r="D1828" s="8" t="s">
        <v>1631</v>
      </c>
      <c r="H1828" t="s">
        <v>987</v>
      </c>
      <c r="K1828" s="4">
        <v>8.3333333333333329E-2</v>
      </c>
      <c r="N1828" s="3">
        <v>0.6</v>
      </c>
      <c r="O1828" s="3">
        <v>0</v>
      </c>
      <c r="P1828">
        <v>22.5</v>
      </c>
      <c r="Q1828">
        <v>6.5</v>
      </c>
      <c r="R1828" t="s">
        <v>102</v>
      </c>
      <c r="S1828">
        <v>0</v>
      </c>
      <c r="T1828" s="6">
        <f>10^-(14-Q1828)</f>
        <v>3.1622776601683699E-8</v>
      </c>
      <c r="U1828" s="6">
        <v>0</v>
      </c>
      <c r="V1828" s="6">
        <v>0</v>
      </c>
      <c r="W1828" s="6">
        <v>0</v>
      </c>
      <c r="X1828" s="6">
        <v>0</v>
      </c>
      <c r="Y1828" t="s">
        <v>171</v>
      </c>
      <c r="AD1828">
        <v>1</v>
      </c>
      <c r="AE1828">
        <v>190</v>
      </c>
      <c r="AF1828">
        <v>1</v>
      </c>
      <c r="AG1828" s="9">
        <v>1.7000000000000001E-2</v>
      </c>
      <c r="AH1828" s="9">
        <v>1.54</v>
      </c>
      <c r="AI1828" s="9">
        <v>0.44</v>
      </c>
      <c r="AJ1828" s="9">
        <v>3.5000000000000003E-2</v>
      </c>
      <c r="AK1828" s="9">
        <v>2E-3</v>
      </c>
      <c r="AL1828" s="9">
        <v>18.5</v>
      </c>
      <c r="AM1828" s="9">
        <v>8.0299999999999994</v>
      </c>
      <c r="AN1828" s="9">
        <v>4.7E-2</v>
      </c>
      <c r="AO1828" s="9">
        <v>4.8300000000000003E-2</v>
      </c>
      <c r="AP1828"/>
    </row>
    <row r="1829" spans="1:42" x14ac:dyDescent="0.3">
      <c r="A1829" t="s">
        <v>880</v>
      </c>
      <c r="B1829" t="s">
        <v>1616</v>
      </c>
      <c r="C1829">
        <v>77</v>
      </c>
      <c r="D1829" s="8" t="s">
        <v>1631</v>
      </c>
      <c r="H1829" t="s">
        <v>987</v>
      </c>
      <c r="K1829" s="4">
        <v>8.3333333333333329E-2</v>
      </c>
      <c r="N1829" s="3">
        <v>0.6</v>
      </c>
      <c r="O1829" s="3">
        <v>0</v>
      </c>
      <c r="P1829">
        <v>22.5</v>
      </c>
      <c r="Q1829">
        <v>6.5</v>
      </c>
      <c r="R1829" t="s">
        <v>102</v>
      </c>
      <c r="S1829">
        <v>0</v>
      </c>
      <c r="T1829" s="6">
        <f>10^-(14-Q1829)</f>
        <v>3.1622776601683699E-8</v>
      </c>
      <c r="U1829" s="6">
        <v>0</v>
      </c>
      <c r="V1829" s="6">
        <v>0</v>
      </c>
      <c r="W1829" s="6">
        <v>0</v>
      </c>
      <c r="X1829" s="6">
        <v>0</v>
      </c>
      <c r="Y1829" t="s">
        <v>171</v>
      </c>
      <c r="AD1829">
        <v>1</v>
      </c>
      <c r="AE1829">
        <v>210</v>
      </c>
      <c r="AF1829">
        <v>1</v>
      </c>
      <c r="AG1829" s="9">
        <v>1.7000000000000001E-2</v>
      </c>
      <c r="AH1829" s="9">
        <v>1.54</v>
      </c>
      <c r="AI1829" s="9">
        <v>0.44</v>
      </c>
      <c r="AJ1829" s="9">
        <v>3.5000000000000003E-2</v>
      </c>
      <c r="AK1829" s="9">
        <v>2E-3</v>
      </c>
      <c r="AL1829" s="9">
        <v>18.5</v>
      </c>
      <c r="AM1829" s="9">
        <v>8.0299999999999994</v>
      </c>
      <c r="AN1829" s="9">
        <v>4.7E-2</v>
      </c>
      <c r="AO1829" s="9">
        <v>4.8300000000000003E-2</v>
      </c>
      <c r="AP1829"/>
    </row>
    <row r="1830" spans="1:42" x14ac:dyDescent="0.3">
      <c r="A1830" t="s">
        <v>561</v>
      </c>
      <c r="B1830" s="1" t="s">
        <v>1609</v>
      </c>
      <c r="C1830">
        <v>78</v>
      </c>
      <c r="D1830" s="8">
        <v>1.4461999999999999</v>
      </c>
      <c r="E1830">
        <v>2000</v>
      </c>
      <c r="H1830" t="s">
        <v>987</v>
      </c>
      <c r="N1830" s="3">
        <v>2</v>
      </c>
      <c r="O1830" s="3">
        <v>0</v>
      </c>
      <c r="P1830">
        <v>50</v>
      </c>
      <c r="Q1830">
        <v>6.5</v>
      </c>
      <c r="R1830" t="s">
        <v>102</v>
      </c>
      <c r="S1830">
        <v>0</v>
      </c>
      <c r="T1830" s="6">
        <f>10^-(14-Q1830)</f>
        <v>3.1622776601683699E-8</v>
      </c>
      <c r="U1830" s="6">
        <v>0</v>
      </c>
      <c r="V1830" s="6">
        <v>0</v>
      </c>
      <c r="W1830" s="6">
        <v>0</v>
      </c>
      <c r="X1830" s="6">
        <v>0</v>
      </c>
      <c r="Y1830" t="s">
        <v>171</v>
      </c>
      <c r="Z1830" s="5">
        <v>-192</v>
      </c>
      <c r="AD1830">
        <v>2</v>
      </c>
      <c r="AE1830">
        <v>75</v>
      </c>
      <c r="AF1830">
        <v>1</v>
      </c>
      <c r="AG1830" s="9">
        <v>2E-3</v>
      </c>
      <c r="AH1830" s="9">
        <v>1.46</v>
      </c>
      <c r="AJ1830" s="9">
        <v>5.0000000000000001E-3</v>
      </c>
      <c r="AK1830" s="9">
        <v>5.0000000000000001E-3</v>
      </c>
      <c r="AL1830" s="9">
        <v>22.48</v>
      </c>
      <c r="AM1830" s="9">
        <v>5.17</v>
      </c>
      <c r="AN1830" s="9">
        <v>3.1</v>
      </c>
      <c r="AO1830" s="9">
        <v>0.24</v>
      </c>
      <c r="AP1830"/>
    </row>
    <row r="1831" spans="1:42" x14ac:dyDescent="0.3">
      <c r="A1831" t="s">
        <v>562</v>
      </c>
      <c r="B1831" s="1" t="s">
        <v>1609</v>
      </c>
      <c r="C1831">
        <v>78</v>
      </c>
      <c r="D1831" s="8">
        <v>1.4461999999999999</v>
      </c>
      <c r="E1831">
        <v>2000</v>
      </c>
      <c r="H1831" t="s">
        <v>987</v>
      </c>
      <c r="N1831" s="3">
        <v>2</v>
      </c>
      <c r="O1831" s="3">
        <v>0</v>
      </c>
      <c r="P1831">
        <v>50</v>
      </c>
      <c r="Q1831">
        <v>6.5</v>
      </c>
      <c r="R1831" t="s">
        <v>102</v>
      </c>
      <c r="S1831">
        <v>0</v>
      </c>
      <c r="T1831" s="6">
        <f>10^-(14-Q1831)</f>
        <v>3.1622776601683699E-8</v>
      </c>
      <c r="U1831" s="6">
        <v>0</v>
      </c>
      <c r="V1831" s="6">
        <v>0</v>
      </c>
      <c r="W1831" s="6">
        <v>0</v>
      </c>
      <c r="X1831" s="6">
        <v>0</v>
      </c>
      <c r="Y1831" t="s">
        <v>171</v>
      </c>
      <c r="Z1831" s="5">
        <v>-192</v>
      </c>
      <c r="AD1831">
        <v>2</v>
      </c>
      <c r="AE1831">
        <v>62</v>
      </c>
      <c r="AF1831">
        <v>1</v>
      </c>
      <c r="AG1831" s="9">
        <v>2E-3</v>
      </c>
      <c r="AH1831" s="9">
        <v>1.46</v>
      </c>
      <c r="AJ1831" s="9">
        <v>5.0000000000000001E-3</v>
      </c>
      <c r="AK1831" s="9">
        <v>5.0000000000000001E-3</v>
      </c>
      <c r="AL1831" s="9">
        <v>22.48</v>
      </c>
      <c r="AM1831" s="9">
        <v>5.17</v>
      </c>
      <c r="AN1831" s="9">
        <v>3.1</v>
      </c>
      <c r="AO1831" s="9">
        <v>0.24</v>
      </c>
      <c r="AP1831"/>
    </row>
    <row r="1832" spans="1:42" x14ac:dyDescent="0.3">
      <c r="A1832" t="s">
        <v>563</v>
      </c>
      <c r="B1832" s="1" t="s">
        <v>1609</v>
      </c>
      <c r="C1832">
        <v>78</v>
      </c>
      <c r="D1832" s="8">
        <v>1.4461999999999999</v>
      </c>
      <c r="E1832">
        <v>2000</v>
      </c>
      <c r="H1832" t="s">
        <v>987</v>
      </c>
      <c r="N1832" s="3">
        <v>2</v>
      </c>
      <c r="O1832" s="3">
        <v>0</v>
      </c>
      <c r="P1832">
        <v>50</v>
      </c>
      <c r="Q1832">
        <v>6.5</v>
      </c>
      <c r="R1832" t="s">
        <v>102</v>
      </c>
      <c r="S1832">
        <v>0</v>
      </c>
      <c r="T1832" s="6">
        <f>10^-(14-Q1832)</f>
        <v>3.1622776601683699E-8</v>
      </c>
      <c r="U1832" s="6">
        <v>0</v>
      </c>
      <c r="V1832" s="6">
        <v>0</v>
      </c>
      <c r="W1832" s="6">
        <v>0</v>
      </c>
      <c r="X1832" s="6">
        <v>0</v>
      </c>
      <c r="Y1832" t="s">
        <v>171</v>
      </c>
      <c r="Z1832" s="5">
        <v>-192</v>
      </c>
      <c r="AD1832">
        <v>2</v>
      </c>
      <c r="AE1832">
        <v>55</v>
      </c>
      <c r="AF1832">
        <v>1</v>
      </c>
      <c r="AG1832" s="9">
        <v>2E-3</v>
      </c>
      <c r="AH1832" s="9">
        <v>1.46</v>
      </c>
      <c r="AJ1832" s="9">
        <v>5.0000000000000001E-3</v>
      </c>
      <c r="AK1832" s="9">
        <v>5.0000000000000001E-3</v>
      </c>
      <c r="AL1832" s="9">
        <v>22.48</v>
      </c>
      <c r="AM1832" s="9">
        <v>5.17</v>
      </c>
      <c r="AN1832" s="9">
        <v>3.1</v>
      </c>
      <c r="AO1832" s="9">
        <v>0.24</v>
      </c>
      <c r="AP1832"/>
    </row>
    <row r="1833" spans="1:42" x14ac:dyDescent="0.3">
      <c r="A1833" t="s">
        <v>564</v>
      </c>
      <c r="B1833" s="1" t="s">
        <v>1609</v>
      </c>
      <c r="C1833">
        <v>78</v>
      </c>
      <c r="D1833" s="8">
        <v>1.4461999999999999</v>
      </c>
      <c r="E1833">
        <v>2000</v>
      </c>
      <c r="H1833" t="s">
        <v>987</v>
      </c>
      <c r="N1833" s="3">
        <v>2</v>
      </c>
      <c r="O1833" s="3">
        <v>0</v>
      </c>
      <c r="P1833">
        <v>50</v>
      </c>
      <c r="Q1833">
        <v>6.5</v>
      </c>
      <c r="R1833" t="s">
        <v>102</v>
      </c>
      <c r="S1833">
        <v>0</v>
      </c>
      <c r="T1833" s="6">
        <f>10^-(14-Q1833)</f>
        <v>3.1622776601683699E-8</v>
      </c>
      <c r="U1833" s="6">
        <v>0</v>
      </c>
      <c r="V1833" s="6">
        <v>0</v>
      </c>
      <c r="W1833" s="6">
        <v>0</v>
      </c>
      <c r="X1833" s="6">
        <v>0</v>
      </c>
      <c r="Y1833" t="s">
        <v>171</v>
      </c>
      <c r="Z1833" s="5">
        <v>-192</v>
      </c>
      <c r="AD1833">
        <v>2</v>
      </c>
      <c r="AE1833">
        <v>48</v>
      </c>
      <c r="AF1833">
        <v>1</v>
      </c>
      <c r="AG1833" s="9">
        <v>2E-3</v>
      </c>
      <c r="AH1833" s="9">
        <v>1.46</v>
      </c>
      <c r="AJ1833" s="9">
        <v>5.0000000000000001E-3</v>
      </c>
      <c r="AK1833" s="9">
        <v>5.0000000000000001E-3</v>
      </c>
      <c r="AL1833" s="9">
        <v>22.48</v>
      </c>
      <c r="AM1833" s="9">
        <v>5.17</v>
      </c>
      <c r="AN1833" s="9">
        <v>3.1</v>
      </c>
      <c r="AO1833" s="9">
        <v>0.24</v>
      </c>
      <c r="AP1833"/>
    </row>
    <row r="1834" spans="1:42" x14ac:dyDescent="0.3">
      <c r="A1834" t="s">
        <v>565</v>
      </c>
      <c r="B1834" s="1" t="s">
        <v>1609</v>
      </c>
      <c r="C1834">
        <v>78</v>
      </c>
      <c r="D1834" s="8">
        <v>1.4461999999999999</v>
      </c>
      <c r="E1834">
        <v>2000</v>
      </c>
      <c r="H1834" t="s">
        <v>987</v>
      </c>
      <c r="N1834" s="3">
        <v>2</v>
      </c>
      <c r="O1834" s="3">
        <v>0</v>
      </c>
      <c r="P1834">
        <v>50</v>
      </c>
      <c r="Q1834">
        <v>6.5</v>
      </c>
      <c r="R1834" t="s">
        <v>102</v>
      </c>
      <c r="S1834">
        <v>0</v>
      </c>
      <c r="T1834" s="6">
        <f>10^-(14-Q1834)</f>
        <v>3.1622776601683699E-8</v>
      </c>
      <c r="U1834" s="6">
        <v>0</v>
      </c>
      <c r="V1834" s="6">
        <v>0</v>
      </c>
      <c r="W1834" s="6">
        <v>0</v>
      </c>
      <c r="X1834" s="6">
        <v>0</v>
      </c>
      <c r="Y1834" t="s">
        <v>171</v>
      </c>
      <c r="Z1834" s="5">
        <v>-192</v>
      </c>
      <c r="AD1834">
        <v>2</v>
      </c>
      <c r="AE1834">
        <v>35</v>
      </c>
      <c r="AF1834">
        <v>1</v>
      </c>
      <c r="AG1834" s="9">
        <v>2E-3</v>
      </c>
      <c r="AH1834" s="9">
        <v>1.46</v>
      </c>
      <c r="AJ1834" s="9">
        <v>5.0000000000000001E-3</v>
      </c>
      <c r="AK1834" s="9">
        <v>5.0000000000000001E-3</v>
      </c>
      <c r="AL1834" s="9">
        <v>22.48</v>
      </c>
      <c r="AM1834" s="9">
        <v>5.17</v>
      </c>
      <c r="AN1834" s="9">
        <v>3.1</v>
      </c>
      <c r="AO1834" s="9">
        <v>0.24</v>
      </c>
      <c r="AP1834"/>
    </row>
    <row r="1835" spans="1:42" x14ac:dyDescent="0.3">
      <c r="A1835" t="s">
        <v>566</v>
      </c>
      <c r="B1835" s="1" t="s">
        <v>1609</v>
      </c>
      <c r="C1835">
        <v>78</v>
      </c>
      <c r="D1835" s="8">
        <v>1.4461999999999999</v>
      </c>
      <c r="E1835">
        <v>2000</v>
      </c>
      <c r="H1835" t="s">
        <v>987</v>
      </c>
      <c r="N1835" s="3">
        <v>5</v>
      </c>
      <c r="O1835" s="3">
        <v>0</v>
      </c>
      <c r="P1835">
        <v>50</v>
      </c>
      <c r="Q1835">
        <v>6.5</v>
      </c>
      <c r="R1835" t="s">
        <v>102</v>
      </c>
      <c r="S1835">
        <v>0</v>
      </c>
      <c r="T1835" s="6">
        <f>10^-(14-Q1835)</f>
        <v>3.1622776601683699E-8</v>
      </c>
      <c r="U1835" s="6">
        <v>0</v>
      </c>
      <c r="V1835" s="6">
        <v>0</v>
      </c>
      <c r="W1835" s="6">
        <v>0</v>
      </c>
      <c r="X1835" s="6">
        <v>0</v>
      </c>
      <c r="Y1835" t="s">
        <v>171</v>
      </c>
      <c r="Z1835" s="5">
        <v>-326</v>
      </c>
      <c r="AD1835">
        <v>2</v>
      </c>
      <c r="AE1835">
        <v>215</v>
      </c>
      <c r="AF1835">
        <v>1</v>
      </c>
      <c r="AG1835" s="9">
        <v>2E-3</v>
      </c>
      <c r="AH1835" s="9">
        <v>1.46</v>
      </c>
      <c r="AJ1835" s="9">
        <v>5.0000000000000001E-3</v>
      </c>
      <c r="AK1835" s="9">
        <v>5.0000000000000001E-3</v>
      </c>
      <c r="AL1835" s="9">
        <v>22.48</v>
      </c>
      <c r="AM1835" s="9">
        <v>5.17</v>
      </c>
      <c r="AN1835" s="9">
        <v>3.1</v>
      </c>
      <c r="AO1835" s="9">
        <v>0.24</v>
      </c>
      <c r="AP1835"/>
    </row>
    <row r="1836" spans="1:42" x14ac:dyDescent="0.3">
      <c r="A1836" t="s">
        <v>567</v>
      </c>
      <c r="B1836" s="1" t="s">
        <v>1609</v>
      </c>
      <c r="C1836">
        <v>78</v>
      </c>
      <c r="D1836" s="8">
        <v>1.4461999999999999</v>
      </c>
      <c r="E1836">
        <v>2000</v>
      </c>
      <c r="H1836" t="s">
        <v>987</v>
      </c>
      <c r="N1836" s="3">
        <v>5</v>
      </c>
      <c r="O1836" s="3">
        <v>0</v>
      </c>
      <c r="P1836">
        <v>50</v>
      </c>
      <c r="Q1836">
        <v>6.5</v>
      </c>
      <c r="R1836" t="s">
        <v>102</v>
      </c>
      <c r="S1836">
        <v>0</v>
      </c>
      <c r="T1836" s="6">
        <f>10^-(14-Q1836)</f>
        <v>3.1622776601683699E-8</v>
      </c>
      <c r="U1836" s="6">
        <v>0</v>
      </c>
      <c r="V1836" s="6">
        <v>0</v>
      </c>
      <c r="W1836" s="6">
        <v>0</v>
      </c>
      <c r="X1836" s="6">
        <v>0</v>
      </c>
      <c r="Y1836" t="s">
        <v>171</v>
      </c>
      <c r="Z1836" s="5">
        <v>-326</v>
      </c>
      <c r="AD1836">
        <v>2</v>
      </c>
      <c r="AE1836">
        <v>182.5</v>
      </c>
      <c r="AF1836">
        <v>1</v>
      </c>
      <c r="AG1836" s="9">
        <v>2E-3</v>
      </c>
      <c r="AH1836" s="9">
        <v>1.46</v>
      </c>
      <c r="AJ1836" s="9">
        <v>5.0000000000000001E-3</v>
      </c>
      <c r="AK1836" s="9">
        <v>5.0000000000000001E-3</v>
      </c>
      <c r="AL1836" s="9">
        <v>22.48</v>
      </c>
      <c r="AM1836" s="9">
        <v>5.17</v>
      </c>
      <c r="AN1836" s="9">
        <v>3.1</v>
      </c>
      <c r="AO1836" s="9">
        <v>0.24</v>
      </c>
      <c r="AP1836"/>
    </row>
    <row r="1837" spans="1:42" x14ac:dyDescent="0.3">
      <c r="A1837" t="s">
        <v>568</v>
      </c>
      <c r="B1837" s="1" t="s">
        <v>1609</v>
      </c>
      <c r="C1837">
        <v>78</v>
      </c>
      <c r="D1837" s="8">
        <v>1.4461999999999999</v>
      </c>
      <c r="E1837">
        <v>2000</v>
      </c>
      <c r="H1837" t="s">
        <v>987</v>
      </c>
      <c r="N1837" s="3">
        <v>5</v>
      </c>
      <c r="O1837" s="3">
        <v>0</v>
      </c>
      <c r="P1837">
        <v>50</v>
      </c>
      <c r="Q1837">
        <v>6.5</v>
      </c>
      <c r="R1837" t="s">
        <v>102</v>
      </c>
      <c r="S1837">
        <v>0</v>
      </c>
      <c r="T1837" s="6">
        <f>10^-(14-Q1837)</f>
        <v>3.1622776601683699E-8</v>
      </c>
      <c r="U1837" s="6">
        <v>0</v>
      </c>
      <c r="V1837" s="6">
        <v>0</v>
      </c>
      <c r="W1837" s="6">
        <v>0</v>
      </c>
      <c r="X1837" s="6">
        <v>0</v>
      </c>
      <c r="Y1837" t="s">
        <v>171</v>
      </c>
      <c r="Z1837" s="5">
        <v>-326</v>
      </c>
      <c r="AD1837">
        <v>2</v>
      </c>
      <c r="AE1837">
        <v>165</v>
      </c>
      <c r="AF1837">
        <v>1</v>
      </c>
      <c r="AG1837" s="9">
        <v>2E-3</v>
      </c>
      <c r="AH1837" s="9">
        <v>1.46</v>
      </c>
      <c r="AJ1837" s="9">
        <v>5.0000000000000001E-3</v>
      </c>
      <c r="AK1837" s="9">
        <v>5.0000000000000001E-3</v>
      </c>
      <c r="AL1837" s="9">
        <v>22.48</v>
      </c>
      <c r="AM1837" s="9">
        <v>5.17</v>
      </c>
      <c r="AN1837" s="9">
        <v>3.1</v>
      </c>
      <c r="AO1837" s="9">
        <v>0.24</v>
      </c>
      <c r="AP1837"/>
    </row>
    <row r="1838" spans="1:42" x14ac:dyDescent="0.3">
      <c r="A1838" t="s">
        <v>569</v>
      </c>
      <c r="B1838" s="1" t="s">
        <v>1609</v>
      </c>
      <c r="C1838">
        <v>78</v>
      </c>
      <c r="D1838" s="8">
        <v>1.4461999999999999</v>
      </c>
      <c r="E1838">
        <v>2000</v>
      </c>
      <c r="H1838" t="s">
        <v>987</v>
      </c>
      <c r="N1838" s="3">
        <v>5</v>
      </c>
      <c r="O1838" s="3">
        <v>0</v>
      </c>
      <c r="P1838">
        <v>50</v>
      </c>
      <c r="Q1838">
        <v>6.5</v>
      </c>
      <c r="R1838" t="s">
        <v>102</v>
      </c>
      <c r="S1838">
        <v>0</v>
      </c>
      <c r="T1838" s="6">
        <f>10^-(14-Q1838)</f>
        <v>3.1622776601683699E-8</v>
      </c>
      <c r="U1838" s="6">
        <v>0</v>
      </c>
      <c r="V1838" s="6">
        <v>0</v>
      </c>
      <c r="W1838" s="6">
        <v>0</v>
      </c>
      <c r="X1838" s="6">
        <v>0</v>
      </c>
      <c r="Y1838" t="s">
        <v>171</v>
      </c>
      <c r="Z1838" s="5">
        <v>-326</v>
      </c>
      <c r="AD1838">
        <v>2</v>
      </c>
      <c r="AE1838">
        <v>147.5</v>
      </c>
      <c r="AF1838">
        <v>1</v>
      </c>
      <c r="AG1838" s="9">
        <v>2E-3</v>
      </c>
      <c r="AH1838" s="9">
        <v>1.46</v>
      </c>
      <c r="AJ1838" s="9">
        <v>5.0000000000000001E-3</v>
      </c>
      <c r="AK1838" s="9">
        <v>5.0000000000000001E-3</v>
      </c>
      <c r="AL1838" s="9">
        <v>22.48</v>
      </c>
      <c r="AM1838" s="9">
        <v>5.17</v>
      </c>
      <c r="AN1838" s="9">
        <v>3.1</v>
      </c>
      <c r="AO1838" s="9">
        <v>0.24</v>
      </c>
      <c r="AP1838"/>
    </row>
    <row r="1839" spans="1:42" x14ac:dyDescent="0.3">
      <c r="A1839" t="s">
        <v>570</v>
      </c>
      <c r="B1839" s="1" t="s">
        <v>1609</v>
      </c>
      <c r="C1839">
        <v>78</v>
      </c>
      <c r="D1839" s="8">
        <v>1.4461999999999999</v>
      </c>
      <c r="E1839">
        <v>2000</v>
      </c>
      <c r="H1839" t="s">
        <v>987</v>
      </c>
      <c r="N1839" s="3">
        <v>5</v>
      </c>
      <c r="O1839" s="3">
        <v>0</v>
      </c>
      <c r="P1839">
        <v>50</v>
      </c>
      <c r="Q1839">
        <v>6.5</v>
      </c>
      <c r="R1839" t="s">
        <v>102</v>
      </c>
      <c r="S1839">
        <v>0</v>
      </c>
      <c r="T1839" s="6">
        <f>10^-(14-Q1839)</f>
        <v>3.1622776601683699E-8</v>
      </c>
      <c r="U1839" s="6">
        <v>0</v>
      </c>
      <c r="V1839" s="6">
        <v>0</v>
      </c>
      <c r="W1839" s="6">
        <v>0</v>
      </c>
      <c r="X1839" s="6">
        <v>0</v>
      </c>
      <c r="Y1839" t="s">
        <v>171</v>
      </c>
      <c r="Z1839" s="5">
        <v>-326</v>
      </c>
      <c r="AD1839">
        <v>2</v>
      </c>
      <c r="AE1839">
        <v>115</v>
      </c>
      <c r="AF1839">
        <v>1</v>
      </c>
      <c r="AG1839" s="9">
        <v>2E-3</v>
      </c>
      <c r="AH1839" s="9">
        <v>1.46</v>
      </c>
      <c r="AJ1839" s="9">
        <v>5.0000000000000001E-3</v>
      </c>
      <c r="AK1839" s="9">
        <v>5.0000000000000001E-3</v>
      </c>
      <c r="AL1839" s="9">
        <v>22.48</v>
      </c>
      <c r="AM1839" s="9">
        <v>5.17</v>
      </c>
      <c r="AN1839" s="9">
        <v>3.1</v>
      </c>
      <c r="AO1839" s="9">
        <v>0.24</v>
      </c>
      <c r="AP1839"/>
    </row>
    <row r="1840" spans="1:42" x14ac:dyDescent="0.3">
      <c r="A1840" t="s">
        <v>571</v>
      </c>
      <c r="B1840" s="1" t="s">
        <v>1609</v>
      </c>
      <c r="C1840">
        <v>78</v>
      </c>
      <c r="D1840" s="8">
        <v>1.4461999999999999</v>
      </c>
      <c r="E1840">
        <v>2000</v>
      </c>
      <c r="H1840" t="s">
        <v>987</v>
      </c>
      <c r="N1840" s="3">
        <v>2</v>
      </c>
      <c r="O1840" s="3">
        <v>0</v>
      </c>
      <c r="P1840">
        <v>50</v>
      </c>
      <c r="Q1840">
        <v>6.5</v>
      </c>
      <c r="R1840" t="s">
        <v>102</v>
      </c>
      <c r="S1840">
        <v>0</v>
      </c>
      <c r="T1840" s="6">
        <f>10^-(14-Q1840)</f>
        <v>3.1622776601683699E-8</v>
      </c>
      <c r="U1840" s="6">
        <v>0</v>
      </c>
      <c r="V1840" s="6">
        <v>0</v>
      </c>
      <c r="W1840" s="6">
        <v>0</v>
      </c>
      <c r="X1840" s="6">
        <v>0</v>
      </c>
      <c r="Y1840" t="s">
        <v>171</v>
      </c>
      <c r="Z1840" s="5">
        <v>-189</v>
      </c>
      <c r="AD1840">
        <v>2</v>
      </c>
      <c r="AE1840">
        <v>210</v>
      </c>
      <c r="AF1840">
        <v>1</v>
      </c>
      <c r="AG1840" s="9">
        <v>2E-3</v>
      </c>
      <c r="AH1840" s="9">
        <v>1.46</v>
      </c>
      <c r="AJ1840" s="9">
        <v>5.0000000000000001E-3</v>
      </c>
      <c r="AK1840" s="9">
        <v>5.0000000000000001E-3</v>
      </c>
      <c r="AL1840" s="9">
        <v>22.48</v>
      </c>
      <c r="AM1840" s="9">
        <v>5.17</v>
      </c>
      <c r="AN1840" s="9">
        <v>3.1</v>
      </c>
      <c r="AO1840" s="9">
        <v>0.24</v>
      </c>
      <c r="AP1840"/>
    </row>
    <row r="1841" spans="1:42" x14ac:dyDescent="0.3">
      <c r="A1841" t="s">
        <v>572</v>
      </c>
      <c r="B1841" s="1" t="s">
        <v>1609</v>
      </c>
      <c r="C1841">
        <v>78</v>
      </c>
      <c r="D1841" s="8">
        <v>1.4461999999999999</v>
      </c>
      <c r="E1841">
        <v>2000</v>
      </c>
      <c r="H1841" t="s">
        <v>987</v>
      </c>
      <c r="N1841" s="3">
        <v>2</v>
      </c>
      <c r="O1841" s="3">
        <v>0</v>
      </c>
      <c r="P1841">
        <v>50</v>
      </c>
      <c r="Q1841">
        <v>6.5</v>
      </c>
      <c r="R1841" t="s">
        <v>102</v>
      </c>
      <c r="S1841">
        <v>0</v>
      </c>
      <c r="T1841" s="6">
        <f>10^-(14-Q1841)</f>
        <v>3.1622776601683699E-8</v>
      </c>
      <c r="U1841" s="6">
        <v>0</v>
      </c>
      <c r="V1841" s="6">
        <v>0</v>
      </c>
      <c r="W1841" s="6">
        <v>0</v>
      </c>
      <c r="X1841" s="6">
        <v>0</v>
      </c>
      <c r="Y1841" t="s">
        <v>171</v>
      </c>
      <c r="Z1841" s="5">
        <v>-189</v>
      </c>
      <c r="AD1841">
        <v>2</v>
      </c>
      <c r="AE1841">
        <v>170</v>
      </c>
      <c r="AF1841">
        <v>1</v>
      </c>
      <c r="AG1841" s="9">
        <v>2E-3</v>
      </c>
      <c r="AH1841" s="9">
        <v>1.46</v>
      </c>
      <c r="AJ1841" s="9">
        <v>5.0000000000000001E-3</v>
      </c>
      <c r="AK1841" s="9">
        <v>5.0000000000000001E-3</v>
      </c>
      <c r="AL1841" s="9">
        <v>22.48</v>
      </c>
      <c r="AM1841" s="9">
        <v>5.17</v>
      </c>
      <c r="AN1841" s="9">
        <v>3.1</v>
      </c>
      <c r="AO1841" s="9">
        <v>0.24</v>
      </c>
      <c r="AP1841"/>
    </row>
    <row r="1842" spans="1:42" x14ac:dyDescent="0.3">
      <c r="A1842" t="s">
        <v>573</v>
      </c>
      <c r="B1842" s="1" t="s">
        <v>1609</v>
      </c>
      <c r="C1842">
        <v>78</v>
      </c>
      <c r="D1842" s="8">
        <v>1.4461999999999999</v>
      </c>
      <c r="E1842">
        <v>2000</v>
      </c>
      <c r="H1842" t="s">
        <v>987</v>
      </c>
      <c r="N1842" s="3">
        <v>2</v>
      </c>
      <c r="O1842" s="3">
        <v>0</v>
      </c>
      <c r="P1842">
        <v>50</v>
      </c>
      <c r="Q1842">
        <v>6.5</v>
      </c>
      <c r="R1842" t="s">
        <v>102</v>
      </c>
      <c r="S1842">
        <v>0</v>
      </c>
      <c r="T1842" s="6">
        <f>10^-(14-Q1842)</f>
        <v>3.1622776601683699E-8</v>
      </c>
      <c r="U1842" s="6">
        <v>0</v>
      </c>
      <c r="V1842" s="6">
        <v>0</v>
      </c>
      <c r="W1842" s="6">
        <v>0</v>
      </c>
      <c r="X1842" s="6">
        <v>0</v>
      </c>
      <c r="Y1842" t="s">
        <v>171</v>
      </c>
      <c r="Z1842" s="5">
        <v>-189</v>
      </c>
      <c r="AD1842">
        <v>2</v>
      </c>
      <c r="AE1842">
        <v>150</v>
      </c>
      <c r="AF1842">
        <v>1</v>
      </c>
      <c r="AG1842" s="9">
        <v>2E-3</v>
      </c>
      <c r="AH1842" s="9">
        <v>1.46</v>
      </c>
      <c r="AJ1842" s="9">
        <v>5.0000000000000001E-3</v>
      </c>
      <c r="AK1842" s="9">
        <v>5.0000000000000001E-3</v>
      </c>
      <c r="AL1842" s="9">
        <v>22.48</v>
      </c>
      <c r="AM1842" s="9">
        <v>5.17</v>
      </c>
      <c r="AN1842" s="9">
        <v>3.1</v>
      </c>
      <c r="AO1842" s="9">
        <v>0.24</v>
      </c>
      <c r="AP1842"/>
    </row>
    <row r="1843" spans="1:42" x14ac:dyDescent="0.3">
      <c r="A1843" t="s">
        <v>574</v>
      </c>
      <c r="B1843" s="1" t="s">
        <v>1609</v>
      </c>
      <c r="C1843">
        <v>78</v>
      </c>
      <c r="D1843" s="8">
        <v>1.4461999999999999</v>
      </c>
      <c r="E1843">
        <v>2000</v>
      </c>
      <c r="H1843" t="s">
        <v>987</v>
      </c>
      <c r="N1843" s="3">
        <v>2</v>
      </c>
      <c r="O1843" s="3">
        <v>0</v>
      </c>
      <c r="P1843">
        <v>50</v>
      </c>
      <c r="Q1843">
        <v>6.5</v>
      </c>
      <c r="R1843" t="s">
        <v>102</v>
      </c>
      <c r="S1843">
        <v>0</v>
      </c>
      <c r="T1843" s="6">
        <f>10^-(14-Q1843)</f>
        <v>3.1622776601683699E-8</v>
      </c>
      <c r="U1843" s="6">
        <v>0</v>
      </c>
      <c r="V1843" s="6">
        <v>0</v>
      </c>
      <c r="W1843" s="6">
        <v>0</v>
      </c>
      <c r="X1843" s="6">
        <v>0</v>
      </c>
      <c r="Y1843" t="s">
        <v>171</v>
      </c>
      <c r="Z1843" s="5">
        <v>-189</v>
      </c>
      <c r="AD1843">
        <v>2</v>
      </c>
      <c r="AE1843">
        <v>130</v>
      </c>
      <c r="AF1843">
        <v>1</v>
      </c>
      <c r="AG1843" s="9">
        <v>2E-3</v>
      </c>
      <c r="AH1843" s="9">
        <v>1.46</v>
      </c>
      <c r="AJ1843" s="9">
        <v>5.0000000000000001E-3</v>
      </c>
      <c r="AK1843" s="9">
        <v>5.0000000000000001E-3</v>
      </c>
      <c r="AL1843" s="9">
        <v>22.48</v>
      </c>
      <c r="AM1843" s="9">
        <v>5.17</v>
      </c>
      <c r="AN1843" s="9">
        <v>3.1</v>
      </c>
      <c r="AO1843" s="9">
        <v>0.24</v>
      </c>
      <c r="AP1843"/>
    </row>
    <row r="1844" spans="1:42" x14ac:dyDescent="0.3">
      <c r="A1844" t="s">
        <v>575</v>
      </c>
      <c r="B1844" s="1" t="s">
        <v>1609</v>
      </c>
      <c r="C1844">
        <v>78</v>
      </c>
      <c r="D1844" s="8">
        <v>1.4461999999999999</v>
      </c>
      <c r="E1844">
        <v>2000</v>
      </c>
      <c r="H1844" t="s">
        <v>987</v>
      </c>
      <c r="N1844" s="3">
        <v>2</v>
      </c>
      <c r="O1844" s="3">
        <v>0</v>
      </c>
      <c r="P1844">
        <v>50</v>
      </c>
      <c r="Q1844">
        <v>6.5</v>
      </c>
      <c r="R1844" t="s">
        <v>102</v>
      </c>
      <c r="S1844">
        <v>0</v>
      </c>
      <c r="T1844" s="6">
        <f>10^-(14-Q1844)</f>
        <v>3.1622776601683699E-8</v>
      </c>
      <c r="U1844" s="6">
        <v>0</v>
      </c>
      <c r="V1844" s="6">
        <v>0</v>
      </c>
      <c r="W1844" s="6">
        <v>0</v>
      </c>
      <c r="X1844" s="6">
        <v>0</v>
      </c>
      <c r="Y1844" t="s">
        <v>171</v>
      </c>
      <c r="Z1844" s="5">
        <v>-189</v>
      </c>
      <c r="AD1844">
        <v>2</v>
      </c>
      <c r="AE1844">
        <v>90</v>
      </c>
      <c r="AF1844">
        <v>1</v>
      </c>
      <c r="AG1844" s="9">
        <v>2E-3</v>
      </c>
      <c r="AH1844" s="9">
        <v>1.46</v>
      </c>
      <c r="AJ1844" s="9">
        <v>5.0000000000000001E-3</v>
      </c>
      <c r="AK1844" s="9">
        <v>5.0000000000000001E-3</v>
      </c>
      <c r="AL1844" s="9">
        <v>22.48</v>
      </c>
      <c r="AM1844" s="9">
        <v>5.17</v>
      </c>
      <c r="AN1844" s="9">
        <v>3.1</v>
      </c>
      <c r="AO1844" s="9">
        <v>0.24</v>
      </c>
      <c r="AP1844"/>
    </row>
    <row r="1845" spans="1:42" x14ac:dyDescent="0.3">
      <c r="A1845" t="s">
        <v>576</v>
      </c>
      <c r="B1845" s="1" t="s">
        <v>1609</v>
      </c>
      <c r="C1845">
        <v>78</v>
      </c>
      <c r="D1845" s="8">
        <v>1.4461999999999999</v>
      </c>
      <c r="E1845">
        <v>2000</v>
      </c>
      <c r="H1845" t="s">
        <v>987</v>
      </c>
      <c r="N1845" s="3">
        <v>5</v>
      </c>
      <c r="O1845" s="3">
        <v>0</v>
      </c>
      <c r="P1845">
        <v>50</v>
      </c>
      <c r="Q1845">
        <v>6.5</v>
      </c>
      <c r="R1845" t="s">
        <v>102</v>
      </c>
      <c r="S1845">
        <v>0</v>
      </c>
      <c r="T1845" s="6">
        <f>10^-(14-Q1845)</f>
        <v>3.1622776601683699E-8</v>
      </c>
      <c r="U1845" s="6">
        <v>0</v>
      </c>
      <c r="V1845" s="6">
        <v>0</v>
      </c>
      <c r="W1845" s="6">
        <v>0</v>
      </c>
      <c r="X1845" s="6">
        <v>0</v>
      </c>
      <c r="Y1845" t="s">
        <v>171</v>
      </c>
      <c r="Z1845" s="5">
        <v>-324</v>
      </c>
      <c r="AD1845">
        <v>2</v>
      </c>
      <c r="AE1845">
        <v>255</v>
      </c>
      <c r="AF1845">
        <v>1</v>
      </c>
      <c r="AG1845" s="9">
        <v>2E-3</v>
      </c>
      <c r="AH1845" s="9">
        <v>1.46</v>
      </c>
      <c r="AJ1845" s="9">
        <v>5.0000000000000001E-3</v>
      </c>
      <c r="AK1845" s="9">
        <v>5.0000000000000001E-3</v>
      </c>
      <c r="AL1845" s="9">
        <v>22.48</v>
      </c>
      <c r="AM1845" s="9">
        <v>5.17</v>
      </c>
      <c r="AN1845" s="9">
        <v>3.1</v>
      </c>
      <c r="AO1845" s="9">
        <v>0.24</v>
      </c>
      <c r="AP1845"/>
    </row>
    <row r="1846" spans="1:42" x14ac:dyDescent="0.3">
      <c r="A1846" t="s">
        <v>577</v>
      </c>
      <c r="B1846" s="1" t="s">
        <v>1609</v>
      </c>
      <c r="C1846">
        <v>78</v>
      </c>
      <c r="D1846" s="8">
        <v>1.4461999999999999</v>
      </c>
      <c r="E1846">
        <v>2000</v>
      </c>
      <c r="H1846" t="s">
        <v>987</v>
      </c>
      <c r="N1846" s="3">
        <v>5</v>
      </c>
      <c r="O1846" s="3">
        <v>0</v>
      </c>
      <c r="P1846">
        <v>50</v>
      </c>
      <c r="Q1846">
        <v>6.5</v>
      </c>
      <c r="R1846" t="s">
        <v>102</v>
      </c>
      <c r="S1846">
        <v>0</v>
      </c>
      <c r="T1846" s="6">
        <f>10^-(14-Q1846)</f>
        <v>3.1622776601683699E-8</v>
      </c>
      <c r="U1846" s="6">
        <v>0</v>
      </c>
      <c r="V1846" s="6">
        <v>0</v>
      </c>
      <c r="W1846" s="6">
        <v>0</v>
      </c>
      <c r="X1846" s="6">
        <v>0</v>
      </c>
      <c r="Y1846" t="s">
        <v>171</v>
      </c>
      <c r="Z1846" s="5">
        <v>-324</v>
      </c>
      <c r="AD1846">
        <v>2</v>
      </c>
      <c r="AE1846">
        <v>225</v>
      </c>
      <c r="AF1846">
        <v>1</v>
      </c>
      <c r="AG1846" s="9">
        <v>2E-3</v>
      </c>
      <c r="AH1846" s="9">
        <v>1.46</v>
      </c>
      <c r="AJ1846" s="9">
        <v>5.0000000000000001E-3</v>
      </c>
      <c r="AK1846" s="9">
        <v>5.0000000000000001E-3</v>
      </c>
      <c r="AL1846" s="9">
        <v>22.48</v>
      </c>
      <c r="AM1846" s="9">
        <v>5.17</v>
      </c>
      <c r="AN1846" s="9">
        <v>3.1</v>
      </c>
      <c r="AO1846" s="9">
        <v>0.24</v>
      </c>
      <c r="AP1846"/>
    </row>
    <row r="1847" spans="1:42" x14ac:dyDescent="0.3">
      <c r="A1847" t="s">
        <v>578</v>
      </c>
      <c r="B1847" s="1" t="s">
        <v>1609</v>
      </c>
      <c r="C1847">
        <v>78</v>
      </c>
      <c r="D1847" s="8">
        <v>1.4461999999999999</v>
      </c>
      <c r="E1847">
        <v>2000</v>
      </c>
      <c r="H1847" t="s">
        <v>987</v>
      </c>
      <c r="N1847" s="3">
        <v>5</v>
      </c>
      <c r="O1847" s="3">
        <v>0</v>
      </c>
      <c r="P1847">
        <v>50</v>
      </c>
      <c r="Q1847">
        <v>6.5</v>
      </c>
      <c r="R1847" t="s">
        <v>102</v>
      </c>
      <c r="S1847">
        <v>0</v>
      </c>
      <c r="T1847" s="6">
        <f>10^-(14-Q1847)</f>
        <v>3.1622776601683699E-8</v>
      </c>
      <c r="U1847" s="6">
        <v>0</v>
      </c>
      <c r="V1847" s="6">
        <v>0</v>
      </c>
      <c r="W1847" s="6">
        <v>0</v>
      </c>
      <c r="X1847" s="6">
        <v>0</v>
      </c>
      <c r="Y1847" t="s">
        <v>171</v>
      </c>
      <c r="Z1847" s="5">
        <v>-324</v>
      </c>
      <c r="AD1847">
        <v>2</v>
      </c>
      <c r="AE1847">
        <v>210</v>
      </c>
      <c r="AF1847">
        <v>1</v>
      </c>
      <c r="AG1847" s="9">
        <v>2E-3</v>
      </c>
      <c r="AH1847" s="9">
        <v>1.46</v>
      </c>
      <c r="AJ1847" s="9">
        <v>5.0000000000000001E-3</v>
      </c>
      <c r="AK1847" s="9">
        <v>5.0000000000000001E-3</v>
      </c>
      <c r="AL1847" s="9">
        <v>22.48</v>
      </c>
      <c r="AM1847" s="9">
        <v>5.17</v>
      </c>
      <c r="AN1847" s="9">
        <v>3.1</v>
      </c>
      <c r="AO1847" s="9">
        <v>0.24</v>
      </c>
      <c r="AP1847"/>
    </row>
    <row r="1848" spans="1:42" x14ac:dyDescent="0.3">
      <c r="A1848" t="s">
        <v>579</v>
      </c>
      <c r="B1848" s="1" t="s">
        <v>1609</v>
      </c>
      <c r="C1848">
        <v>78</v>
      </c>
      <c r="D1848" s="8">
        <v>1.4461999999999999</v>
      </c>
      <c r="E1848">
        <v>2000</v>
      </c>
      <c r="H1848" t="s">
        <v>987</v>
      </c>
      <c r="N1848" s="3">
        <v>5</v>
      </c>
      <c r="O1848" s="3">
        <v>0</v>
      </c>
      <c r="P1848">
        <v>50</v>
      </c>
      <c r="Q1848">
        <v>6.5</v>
      </c>
      <c r="R1848" t="s">
        <v>102</v>
      </c>
      <c r="S1848">
        <v>0</v>
      </c>
      <c r="T1848" s="6">
        <f>10^-(14-Q1848)</f>
        <v>3.1622776601683699E-8</v>
      </c>
      <c r="U1848" s="6">
        <v>0</v>
      </c>
      <c r="V1848" s="6">
        <v>0</v>
      </c>
      <c r="W1848" s="6">
        <v>0</v>
      </c>
      <c r="X1848" s="6">
        <v>0</v>
      </c>
      <c r="Y1848" t="s">
        <v>171</v>
      </c>
      <c r="Z1848" s="5">
        <v>-324</v>
      </c>
      <c r="AD1848">
        <v>2</v>
      </c>
      <c r="AE1848">
        <v>195</v>
      </c>
      <c r="AF1848">
        <v>1</v>
      </c>
      <c r="AG1848" s="9">
        <v>2E-3</v>
      </c>
      <c r="AH1848" s="9">
        <v>1.46</v>
      </c>
      <c r="AJ1848" s="9">
        <v>5.0000000000000001E-3</v>
      </c>
      <c r="AK1848" s="9">
        <v>5.0000000000000001E-3</v>
      </c>
      <c r="AL1848" s="9">
        <v>22.48</v>
      </c>
      <c r="AM1848" s="9">
        <v>5.17</v>
      </c>
      <c r="AN1848" s="9">
        <v>3.1</v>
      </c>
      <c r="AO1848" s="9">
        <v>0.24</v>
      </c>
      <c r="AP1848"/>
    </row>
    <row r="1849" spans="1:42" x14ac:dyDescent="0.3">
      <c r="A1849" t="s">
        <v>580</v>
      </c>
      <c r="B1849" s="1" t="s">
        <v>1609</v>
      </c>
      <c r="C1849">
        <v>78</v>
      </c>
      <c r="D1849" s="8">
        <v>1.4461999999999999</v>
      </c>
      <c r="E1849">
        <v>2000</v>
      </c>
      <c r="H1849" t="s">
        <v>987</v>
      </c>
      <c r="N1849" s="3">
        <v>5</v>
      </c>
      <c r="O1849" s="3">
        <v>0</v>
      </c>
      <c r="P1849">
        <v>50</v>
      </c>
      <c r="Q1849">
        <v>6.5</v>
      </c>
      <c r="R1849" t="s">
        <v>102</v>
      </c>
      <c r="S1849">
        <v>0</v>
      </c>
      <c r="T1849" s="6">
        <f>10^-(14-Q1849)</f>
        <v>3.1622776601683699E-8</v>
      </c>
      <c r="U1849" s="6">
        <v>0</v>
      </c>
      <c r="V1849" s="6">
        <v>0</v>
      </c>
      <c r="W1849" s="6">
        <v>0</v>
      </c>
      <c r="X1849" s="6">
        <v>0</v>
      </c>
      <c r="Y1849" t="s">
        <v>171</v>
      </c>
      <c r="Z1849" s="5">
        <v>-324</v>
      </c>
      <c r="AD1849">
        <v>2</v>
      </c>
      <c r="AE1849">
        <v>165</v>
      </c>
      <c r="AF1849">
        <v>1</v>
      </c>
      <c r="AG1849" s="9">
        <v>2E-3</v>
      </c>
      <c r="AH1849" s="9">
        <v>1.46</v>
      </c>
      <c r="AJ1849" s="9">
        <v>5.0000000000000001E-3</v>
      </c>
      <c r="AK1849" s="9">
        <v>5.0000000000000001E-3</v>
      </c>
      <c r="AL1849" s="9">
        <v>22.48</v>
      </c>
      <c r="AM1849" s="9">
        <v>5.17</v>
      </c>
      <c r="AN1849" s="9">
        <v>3.1</v>
      </c>
      <c r="AO1849" s="9">
        <v>0.24</v>
      </c>
      <c r="AP1849"/>
    </row>
    <row r="1850" spans="1:42" x14ac:dyDescent="0.3">
      <c r="A1850" t="s">
        <v>1002</v>
      </c>
      <c r="B1850" t="s">
        <v>1618</v>
      </c>
      <c r="C1850">
        <v>79</v>
      </c>
      <c r="D1850" s="8">
        <v>1.4300999999999999</v>
      </c>
      <c r="N1850" s="3">
        <v>0.1</v>
      </c>
      <c r="O1850" s="3">
        <v>0</v>
      </c>
      <c r="P1850">
        <v>22.5</v>
      </c>
      <c r="Q1850">
        <v>6.5</v>
      </c>
      <c r="R1850" t="s">
        <v>102</v>
      </c>
      <c r="S1850">
        <v>0</v>
      </c>
      <c r="T1850" s="6">
        <f>10^-(14-Q1850)</f>
        <v>3.1622776601683699E-8</v>
      </c>
      <c r="U1850" s="6">
        <v>0</v>
      </c>
      <c r="V1850" s="6">
        <v>0</v>
      </c>
      <c r="W1850" s="6">
        <v>0</v>
      </c>
      <c r="X1850" s="6">
        <v>0</v>
      </c>
      <c r="Y1850" t="s">
        <v>171</v>
      </c>
      <c r="Z1850" s="5">
        <v>-25</v>
      </c>
      <c r="AD1850">
        <v>1</v>
      </c>
      <c r="AE1850">
        <v>360</v>
      </c>
      <c r="AF1850">
        <v>1</v>
      </c>
      <c r="AG1850" s="9">
        <v>0.04</v>
      </c>
      <c r="AH1850" s="9">
        <v>1.49</v>
      </c>
      <c r="AI1850" s="9">
        <v>0.35</v>
      </c>
      <c r="AJ1850" s="9">
        <v>0.02</v>
      </c>
      <c r="AK1850" s="9">
        <v>0.01</v>
      </c>
      <c r="AL1850" s="9">
        <v>18</v>
      </c>
      <c r="AM1850" s="9">
        <v>9.51</v>
      </c>
      <c r="AN1850" s="9">
        <v>0.47</v>
      </c>
      <c r="AO1850" s="9">
        <v>0.03</v>
      </c>
      <c r="AP1850"/>
    </row>
    <row r="1851" spans="1:42" x14ac:dyDescent="0.3">
      <c r="A1851" t="s">
        <v>1003</v>
      </c>
      <c r="B1851" t="s">
        <v>1618</v>
      </c>
      <c r="C1851">
        <v>79</v>
      </c>
      <c r="D1851" s="8">
        <v>1.4300999999999999</v>
      </c>
      <c r="N1851" s="3">
        <v>0.1</v>
      </c>
      <c r="O1851" s="3">
        <v>0</v>
      </c>
      <c r="P1851">
        <v>22.5</v>
      </c>
      <c r="Q1851">
        <v>6.5</v>
      </c>
      <c r="R1851" t="s">
        <v>102</v>
      </c>
      <c r="S1851">
        <v>0</v>
      </c>
      <c r="T1851" s="6">
        <f>10^-(14-Q1851)</f>
        <v>3.1622776601683699E-8</v>
      </c>
      <c r="U1851" s="6">
        <v>0</v>
      </c>
      <c r="V1851" s="6">
        <v>0</v>
      </c>
      <c r="W1851" s="6">
        <v>0</v>
      </c>
      <c r="X1851" s="6">
        <v>0</v>
      </c>
      <c r="Y1851" t="s">
        <v>171</v>
      </c>
      <c r="Z1851" s="5">
        <v>-25</v>
      </c>
      <c r="AD1851">
        <v>1</v>
      </c>
      <c r="AE1851">
        <v>365</v>
      </c>
      <c r="AF1851">
        <v>1</v>
      </c>
      <c r="AG1851" s="9">
        <v>0.04</v>
      </c>
      <c r="AH1851" s="9">
        <v>1.49</v>
      </c>
      <c r="AI1851" s="9">
        <v>0.35</v>
      </c>
      <c r="AJ1851" s="9">
        <v>0.02</v>
      </c>
      <c r="AK1851" s="9">
        <v>0.01</v>
      </c>
      <c r="AL1851" s="9">
        <v>18</v>
      </c>
      <c r="AM1851" s="9">
        <v>9.51</v>
      </c>
      <c r="AN1851" s="9">
        <v>0.47</v>
      </c>
      <c r="AO1851" s="9">
        <v>0.03</v>
      </c>
      <c r="AP1851"/>
    </row>
    <row r="1852" spans="1:42" x14ac:dyDescent="0.3">
      <c r="A1852" t="s">
        <v>1004</v>
      </c>
      <c r="B1852" t="s">
        <v>1618</v>
      </c>
      <c r="C1852">
        <v>79</v>
      </c>
      <c r="D1852" s="8">
        <v>1.4300999999999999</v>
      </c>
      <c r="N1852" s="3">
        <v>0.1</v>
      </c>
      <c r="O1852" s="3">
        <v>0</v>
      </c>
      <c r="P1852">
        <v>22.5</v>
      </c>
      <c r="Q1852">
        <v>6.5</v>
      </c>
      <c r="R1852" t="s">
        <v>102</v>
      </c>
      <c r="S1852">
        <v>0</v>
      </c>
      <c r="T1852" s="6">
        <f>10^-(14-Q1852)</f>
        <v>3.1622776601683699E-8</v>
      </c>
      <c r="U1852" s="6">
        <v>0</v>
      </c>
      <c r="V1852" s="6">
        <v>0</v>
      </c>
      <c r="W1852" s="6">
        <v>0</v>
      </c>
      <c r="X1852" s="6">
        <v>0</v>
      </c>
      <c r="Y1852" t="s">
        <v>171</v>
      </c>
      <c r="Z1852" s="5">
        <v>-25</v>
      </c>
      <c r="AD1852">
        <v>1</v>
      </c>
      <c r="AE1852">
        <v>370</v>
      </c>
      <c r="AF1852">
        <v>1</v>
      </c>
      <c r="AG1852" s="9">
        <v>0.04</v>
      </c>
      <c r="AH1852" s="9">
        <v>1.49</v>
      </c>
      <c r="AI1852" s="9">
        <v>0.35</v>
      </c>
      <c r="AJ1852" s="9">
        <v>0.02</v>
      </c>
      <c r="AK1852" s="9">
        <v>0.01</v>
      </c>
      <c r="AL1852" s="9">
        <v>18</v>
      </c>
      <c r="AM1852" s="9">
        <v>9.51</v>
      </c>
      <c r="AN1852" s="9">
        <v>0.47</v>
      </c>
      <c r="AO1852" s="9">
        <v>0.03</v>
      </c>
      <c r="AP1852"/>
    </row>
    <row r="1853" spans="1:42" x14ac:dyDescent="0.3">
      <c r="A1853" t="s">
        <v>1005</v>
      </c>
      <c r="B1853" t="s">
        <v>1618</v>
      </c>
      <c r="C1853">
        <v>79</v>
      </c>
      <c r="D1853" s="8">
        <v>1.4300999999999999</v>
      </c>
      <c r="N1853" s="3">
        <v>0.316</v>
      </c>
      <c r="O1853" s="3">
        <v>0</v>
      </c>
      <c r="P1853">
        <v>22.5</v>
      </c>
      <c r="Q1853">
        <v>6.5</v>
      </c>
      <c r="R1853" t="s">
        <v>102</v>
      </c>
      <c r="S1853">
        <v>0</v>
      </c>
      <c r="T1853" s="6">
        <f>10^-(14-Q1853)</f>
        <v>3.1622776601683699E-8</v>
      </c>
      <c r="U1853" s="6">
        <v>0</v>
      </c>
      <c r="V1853" s="6">
        <v>0</v>
      </c>
      <c r="W1853" s="6">
        <v>0</v>
      </c>
      <c r="X1853" s="6">
        <v>0</v>
      </c>
      <c r="Y1853" t="s">
        <v>171</v>
      </c>
      <c r="Z1853" s="5">
        <v>-50</v>
      </c>
      <c r="AD1853">
        <v>1</v>
      </c>
      <c r="AE1853">
        <v>320</v>
      </c>
      <c r="AF1853">
        <v>1</v>
      </c>
      <c r="AG1853" s="9">
        <v>0.04</v>
      </c>
      <c r="AH1853" s="9">
        <v>1.49</v>
      </c>
      <c r="AI1853" s="9">
        <v>0.35</v>
      </c>
      <c r="AJ1853" s="9">
        <v>0.02</v>
      </c>
      <c r="AK1853" s="9">
        <v>0.01</v>
      </c>
      <c r="AL1853" s="9">
        <v>18</v>
      </c>
      <c r="AM1853" s="9">
        <v>9.51</v>
      </c>
      <c r="AN1853" s="9">
        <v>0.47</v>
      </c>
      <c r="AO1853" s="9">
        <v>0.03</v>
      </c>
      <c r="AP1853"/>
    </row>
    <row r="1854" spans="1:42" x14ac:dyDescent="0.3">
      <c r="A1854" t="s">
        <v>1006</v>
      </c>
      <c r="B1854" t="s">
        <v>1618</v>
      </c>
      <c r="C1854">
        <v>79</v>
      </c>
      <c r="D1854" s="8">
        <v>1.4300999999999999</v>
      </c>
      <c r="N1854" s="3">
        <v>0.316</v>
      </c>
      <c r="O1854" s="3">
        <v>0</v>
      </c>
      <c r="P1854">
        <v>22.5</v>
      </c>
      <c r="Q1854">
        <v>6.5</v>
      </c>
      <c r="R1854" t="s">
        <v>102</v>
      </c>
      <c r="S1854">
        <v>0</v>
      </c>
      <c r="T1854" s="6">
        <f>10^-(14-Q1854)</f>
        <v>3.1622776601683699E-8</v>
      </c>
      <c r="U1854" s="6">
        <v>0</v>
      </c>
      <c r="V1854" s="6">
        <v>0</v>
      </c>
      <c r="W1854" s="6">
        <v>0</v>
      </c>
      <c r="X1854" s="6">
        <v>0</v>
      </c>
      <c r="Y1854" t="s">
        <v>171</v>
      </c>
      <c r="Z1854" s="5">
        <v>-50</v>
      </c>
      <c r="AD1854">
        <v>1</v>
      </c>
      <c r="AE1854">
        <v>325</v>
      </c>
      <c r="AF1854">
        <v>1</v>
      </c>
      <c r="AG1854" s="9">
        <v>0.04</v>
      </c>
      <c r="AH1854" s="9">
        <v>1.49</v>
      </c>
      <c r="AI1854" s="9">
        <v>0.35</v>
      </c>
      <c r="AJ1854" s="9">
        <v>0.02</v>
      </c>
      <c r="AK1854" s="9">
        <v>0.01</v>
      </c>
      <c r="AL1854" s="9">
        <v>18</v>
      </c>
      <c r="AM1854" s="9">
        <v>9.51</v>
      </c>
      <c r="AN1854" s="9">
        <v>0.47</v>
      </c>
      <c r="AO1854" s="9">
        <v>0.03</v>
      </c>
      <c r="AP1854"/>
    </row>
    <row r="1855" spans="1:42" x14ac:dyDescent="0.3">
      <c r="A1855" t="s">
        <v>1007</v>
      </c>
      <c r="B1855" t="s">
        <v>1618</v>
      </c>
      <c r="C1855">
        <v>79</v>
      </c>
      <c r="D1855" s="8">
        <v>1.4300999999999999</v>
      </c>
      <c r="N1855" s="3">
        <v>0.316</v>
      </c>
      <c r="O1855" s="3">
        <v>0</v>
      </c>
      <c r="P1855">
        <v>22.5</v>
      </c>
      <c r="Q1855">
        <v>6.5</v>
      </c>
      <c r="R1855" t="s">
        <v>102</v>
      </c>
      <c r="S1855">
        <v>0</v>
      </c>
      <c r="T1855" s="6">
        <f>10^-(14-Q1855)</f>
        <v>3.1622776601683699E-8</v>
      </c>
      <c r="U1855" s="6">
        <v>0</v>
      </c>
      <c r="V1855" s="6">
        <v>0</v>
      </c>
      <c r="W1855" s="6">
        <v>0</v>
      </c>
      <c r="X1855" s="6">
        <v>0</v>
      </c>
      <c r="Y1855" t="s">
        <v>171</v>
      </c>
      <c r="Z1855" s="5">
        <v>-50</v>
      </c>
      <c r="AD1855">
        <v>1</v>
      </c>
      <c r="AE1855">
        <v>326</v>
      </c>
      <c r="AF1855">
        <v>1</v>
      </c>
      <c r="AG1855" s="9">
        <v>0.04</v>
      </c>
      <c r="AH1855" s="9">
        <v>1.49</v>
      </c>
      <c r="AI1855" s="9">
        <v>0.35</v>
      </c>
      <c r="AJ1855" s="9">
        <v>0.02</v>
      </c>
      <c r="AK1855" s="9">
        <v>0.01</v>
      </c>
      <c r="AL1855" s="9">
        <v>18</v>
      </c>
      <c r="AM1855" s="9">
        <v>9.51</v>
      </c>
      <c r="AN1855" s="9">
        <v>0.47</v>
      </c>
      <c r="AO1855" s="9">
        <v>0.03</v>
      </c>
      <c r="AP1855"/>
    </row>
    <row r="1856" spans="1:42" x14ac:dyDescent="0.3">
      <c r="A1856" t="s">
        <v>1008</v>
      </c>
      <c r="B1856" t="s">
        <v>1618</v>
      </c>
      <c r="C1856">
        <v>79</v>
      </c>
      <c r="D1856" s="8">
        <v>1.4300999999999999</v>
      </c>
      <c r="N1856" s="3">
        <v>0.316</v>
      </c>
      <c r="O1856" s="3">
        <v>0</v>
      </c>
      <c r="P1856">
        <v>22.5</v>
      </c>
      <c r="Q1856">
        <v>6.5</v>
      </c>
      <c r="R1856" t="s">
        <v>102</v>
      </c>
      <c r="S1856">
        <v>0</v>
      </c>
      <c r="T1856" s="6">
        <f>10^-(14-Q1856)</f>
        <v>3.1622776601683699E-8</v>
      </c>
      <c r="U1856" s="6">
        <v>0</v>
      </c>
      <c r="V1856" s="6">
        <v>0</v>
      </c>
      <c r="W1856" s="6">
        <v>0</v>
      </c>
      <c r="X1856" s="6">
        <v>0</v>
      </c>
      <c r="Y1856" t="s">
        <v>171</v>
      </c>
      <c r="Z1856" s="5">
        <v>-50</v>
      </c>
      <c r="AD1856">
        <v>1</v>
      </c>
      <c r="AE1856">
        <v>326</v>
      </c>
      <c r="AF1856">
        <v>1</v>
      </c>
      <c r="AG1856" s="9">
        <v>0.04</v>
      </c>
      <c r="AH1856" s="9">
        <v>1.49</v>
      </c>
      <c r="AI1856" s="9">
        <v>0.35</v>
      </c>
      <c r="AJ1856" s="9">
        <v>0.02</v>
      </c>
      <c r="AK1856" s="9">
        <v>0.01</v>
      </c>
      <c r="AL1856" s="9">
        <v>18</v>
      </c>
      <c r="AM1856" s="9">
        <v>9.51</v>
      </c>
      <c r="AN1856" s="9">
        <v>0.47</v>
      </c>
      <c r="AO1856" s="9">
        <v>0.03</v>
      </c>
      <c r="AP1856"/>
    </row>
    <row r="1857" spans="1:42" x14ac:dyDescent="0.3">
      <c r="A1857" t="s">
        <v>1009</v>
      </c>
      <c r="B1857" t="s">
        <v>1618</v>
      </c>
      <c r="C1857">
        <v>79</v>
      </c>
      <c r="D1857" s="8">
        <v>1.4300999999999999</v>
      </c>
      <c r="N1857" s="3">
        <v>0.316</v>
      </c>
      <c r="O1857" s="3">
        <v>0</v>
      </c>
      <c r="P1857">
        <v>22.5</v>
      </c>
      <c r="Q1857">
        <v>6.5</v>
      </c>
      <c r="R1857" t="s">
        <v>102</v>
      </c>
      <c r="S1857">
        <v>0</v>
      </c>
      <c r="T1857" s="6">
        <f>10^-(14-Q1857)</f>
        <v>3.1622776601683699E-8</v>
      </c>
      <c r="U1857" s="6">
        <v>0</v>
      </c>
      <c r="V1857" s="6">
        <v>0</v>
      </c>
      <c r="W1857" s="6">
        <v>0</v>
      </c>
      <c r="X1857" s="6">
        <v>0</v>
      </c>
      <c r="Y1857" t="s">
        <v>171</v>
      </c>
      <c r="Z1857" s="5">
        <v>-50</v>
      </c>
      <c r="AD1857">
        <v>1</v>
      </c>
      <c r="AE1857">
        <v>330</v>
      </c>
      <c r="AF1857">
        <v>1</v>
      </c>
      <c r="AG1857" s="9">
        <v>0.04</v>
      </c>
      <c r="AH1857" s="9">
        <v>1.49</v>
      </c>
      <c r="AI1857" s="9">
        <v>0.35</v>
      </c>
      <c r="AJ1857" s="9">
        <v>0.02</v>
      </c>
      <c r="AK1857" s="9">
        <v>0.01</v>
      </c>
      <c r="AL1857" s="9">
        <v>18</v>
      </c>
      <c r="AM1857" s="9">
        <v>9.51</v>
      </c>
      <c r="AN1857" s="9">
        <v>0.47</v>
      </c>
      <c r="AO1857" s="9">
        <v>0.03</v>
      </c>
      <c r="AP1857"/>
    </row>
    <row r="1858" spans="1:42" x14ac:dyDescent="0.3">
      <c r="A1858" t="s">
        <v>1010</v>
      </c>
      <c r="B1858" t="s">
        <v>1618</v>
      </c>
      <c r="C1858">
        <v>79</v>
      </c>
      <c r="D1858" s="8">
        <v>1.4300999999999999</v>
      </c>
      <c r="N1858" s="3">
        <v>1</v>
      </c>
      <c r="O1858" s="3">
        <v>0</v>
      </c>
      <c r="P1858">
        <v>22.5</v>
      </c>
      <c r="Q1858">
        <v>6.5</v>
      </c>
      <c r="R1858" t="s">
        <v>102</v>
      </c>
      <c r="S1858">
        <v>0</v>
      </c>
      <c r="T1858" s="6">
        <f>10^-(14-Q1858)</f>
        <v>3.1622776601683699E-8</v>
      </c>
      <c r="U1858" s="6">
        <v>0</v>
      </c>
      <c r="V1858" s="6">
        <v>0</v>
      </c>
      <c r="W1858" s="6">
        <v>0</v>
      </c>
      <c r="X1858" s="6">
        <v>0</v>
      </c>
      <c r="Y1858" t="s">
        <v>171</v>
      </c>
      <c r="Z1858" s="5">
        <v>-75</v>
      </c>
      <c r="AD1858">
        <v>1</v>
      </c>
      <c r="AE1858">
        <v>290</v>
      </c>
      <c r="AF1858">
        <v>1</v>
      </c>
      <c r="AG1858" s="9">
        <v>0.04</v>
      </c>
      <c r="AH1858" s="9">
        <v>1.49</v>
      </c>
      <c r="AI1858" s="9">
        <v>0.35</v>
      </c>
      <c r="AJ1858" s="9">
        <v>0.02</v>
      </c>
      <c r="AK1858" s="9">
        <v>0.01</v>
      </c>
      <c r="AL1858" s="9">
        <v>18</v>
      </c>
      <c r="AM1858" s="9">
        <v>9.51</v>
      </c>
      <c r="AN1858" s="9">
        <v>0.47</v>
      </c>
      <c r="AO1858" s="9">
        <v>0.03</v>
      </c>
      <c r="AP1858"/>
    </row>
    <row r="1859" spans="1:42" x14ac:dyDescent="0.3">
      <c r="A1859" t="s">
        <v>1011</v>
      </c>
      <c r="B1859" t="s">
        <v>1618</v>
      </c>
      <c r="C1859">
        <v>79</v>
      </c>
      <c r="D1859" s="8">
        <v>1.4300999999999999</v>
      </c>
      <c r="N1859" s="3">
        <v>1</v>
      </c>
      <c r="O1859" s="3">
        <v>0</v>
      </c>
      <c r="P1859">
        <v>22.5</v>
      </c>
      <c r="Q1859">
        <v>6.5</v>
      </c>
      <c r="R1859" t="s">
        <v>102</v>
      </c>
      <c r="S1859">
        <v>0</v>
      </c>
      <c r="T1859" s="6">
        <f>10^-(14-Q1859)</f>
        <v>3.1622776601683699E-8</v>
      </c>
      <c r="U1859" s="6">
        <v>0</v>
      </c>
      <c r="V1859" s="6">
        <v>0</v>
      </c>
      <c r="W1859" s="6">
        <v>0</v>
      </c>
      <c r="X1859" s="6">
        <v>0</v>
      </c>
      <c r="Y1859" t="s">
        <v>171</v>
      </c>
      <c r="Z1859" s="5">
        <v>-75</v>
      </c>
      <c r="AD1859">
        <v>1</v>
      </c>
      <c r="AE1859">
        <v>285</v>
      </c>
      <c r="AF1859">
        <v>1</v>
      </c>
      <c r="AG1859" s="9">
        <v>0.04</v>
      </c>
      <c r="AH1859" s="9">
        <v>1.49</v>
      </c>
      <c r="AI1859" s="9">
        <v>0.35</v>
      </c>
      <c r="AJ1859" s="9">
        <v>0.02</v>
      </c>
      <c r="AK1859" s="9">
        <v>0.01</v>
      </c>
      <c r="AL1859" s="9">
        <v>18</v>
      </c>
      <c r="AM1859" s="9">
        <v>9.51</v>
      </c>
      <c r="AN1859" s="9">
        <v>0.47</v>
      </c>
      <c r="AO1859" s="9">
        <v>0.03</v>
      </c>
      <c r="AP1859"/>
    </row>
    <row r="1860" spans="1:42" x14ac:dyDescent="0.3">
      <c r="A1860" t="s">
        <v>1012</v>
      </c>
      <c r="B1860" t="s">
        <v>1618</v>
      </c>
      <c r="C1860">
        <v>79</v>
      </c>
      <c r="D1860" s="8">
        <v>1.4300999999999999</v>
      </c>
      <c r="N1860" s="3">
        <v>1</v>
      </c>
      <c r="O1860" s="3">
        <v>0</v>
      </c>
      <c r="P1860">
        <v>22.5</v>
      </c>
      <c r="Q1860">
        <v>6.5</v>
      </c>
      <c r="R1860" t="s">
        <v>102</v>
      </c>
      <c r="S1860">
        <v>0</v>
      </c>
      <c r="T1860" s="6">
        <f>10^-(14-Q1860)</f>
        <v>3.1622776601683699E-8</v>
      </c>
      <c r="U1860" s="6">
        <v>0</v>
      </c>
      <c r="V1860" s="6">
        <v>0</v>
      </c>
      <c r="W1860" s="6">
        <v>0</v>
      </c>
      <c r="X1860" s="6">
        <v>0</v>
      </c>
      <c r="Y1860" t="s">
        <v>171</v>
      </c>
      <c r="Z1860" s="5">
        <v>-75</v>
      </c>
      <c r="AD1860">
        <v>1</v>
      </c>
      <c r="AE1860">
        <v>280</v>
      </c>
      <c r="AF1860">
        <v>1</v>
      </c>
      <c r="AG1860" s="9">
        <v>0.04</v>
      </c>
      <c r="AH1860" s="9">
        <v>1.49</v>
      </c>
      <c r="AI1860" s="9">
        <v>0.35</v>
      </c>
      <c r="AJ1860" s="9">
        <v>0.02</v>
      </c>
      <c r="AK1860" s="9">
        <v>0.01</v>
      </c>
      <c r="AL1860" s="9">
        <v>18</v>
      </c>
      <c r="AM1860" s="9">
        <v>9.51</v>
      </c>
      <c r="AN1860" s="9">
        <v>0.47</v>
      </c>
      <c r="AO1860" s="9">
        <v>0.03</v>
      </c>
      <c r="AP1860"/>
    </row>
    <row r="1861" spans="1:42" x14ac:dyDescent="0.3">
      <c r="A1861" t="s">
        <v>435</v>
      </c>
      <c r="B1861" s="1" t="s">
        <v>1607</v>
      </c>
      <c r="C1861">
        <v>80</v>
      </c>
      <c r="D1861" s="8">
        <v>1.4403999999999999</v>
      </c>
      <c r="E1861">
        <v>32</v>
      </c>
      <c r="F1861">
        <v>14</v>
      </c>
      <c r="H1861" t="s">
        <v>987</v>
      </c>
      <c r="K1861" s="4">
        <v>1</v>
      </c>
      <c r="L1861" t="s">
        <v>140</v>
      </c>
      <c r="M1861" t="s">
        <v>28</v>
      </c>
      <c r="N1861" s="3">
        <v>0.6</v>
      </c>
      <c r="O1861" s="3">
        <v>0</v>
      </c>
      <c r="P1861">
        <v>21</v>
      </c>
      <c r="Q1861">
        <v>6.5</v>
      </c>
      <c r="R1861" t="s">
        <v>102</v>
      </c>
      <c r="S1861">
        <v>0</v>
      </c>
      <c r="T1861" s="6">
        <f>10^-(14-Q1861)</f>
        <v>3.1622776601683699E-8</v>
      </c>
      <c r="U1861" s="6">
        <v>0</v>
      </c>
      <c r="V1861" s="6">
        <v>0</v>
      </c>
      <c r="W1861" s="6">
        <v>0</v>
      </c>
      <c r="X1861" s="6">
        <v>0</v>
      </c>
      <c r="Y1861" t="s">
        <v>171</v>
      </c>
      <c r="Z1861" s="5">
        <v>-300</v>
      </c>
      <c r="AD1861">
        <f>1/6</f>
        <v>0.16666666666666666</v>
      </c>
      <c r="AE1861">
        <v>800</v>
      </c>
      <c r="AF1861">
        <v>1</v>
      </c>
      <c r="AG1861" s="9">
        <v>1.7000000000000001E-2</v>
      </c>
      <c r="AH1861" s="9">
        <v>1.07</v>
      </c>
      <c r="AI1861" s="9">
        <v>0.65</v>
      </c>
      <c r="AJ1861" s="9">
        <v>1.9E-2</v>
      </c>
      <c r="AK1861" s="9">
        <v>8.9999999999999993E-3</v>
      </c>
      <c r="AL1861" s="9">
        <v>17.3</v>
      </c>
      <c r="AM1861" s="9">
        <v>11.1</v>
      </c>
      <c r="AN1861" s="9">
        <v>2.16</v>
      </c>
      <c r="AO1861" s="9">
        <v>9.2999999999999999E-2</v>
      </c>
      <c r="AP1861"/>
    </row>
    <row r="1862" spans="1:42" x14ac:dyDescent="0.3">
      <c r="A1862" t="s">
        <v>436</v>
      </c>
      <c r="B1862" s="1" t="s">
        <v>1607</v>
      </c>
      <c r="C1862">
        <v>80</v>
      </c>
      <c r="D1862" s="8">
        <v>1.4403999999999999</v>
      </c>
      <c r="E1862">
        <v>32</v>
      </c>
      <c r="F1862">
        <v>14</v>
      </c>
      <c r="H1862" t="s">
        <v>987</v>
      </c>
      <c r="K1862" s="4">
        <v>1</v>
      </c>
      <c r="L1862" t="s">
        <v>140</v>
      </c>
      <c r="M1862" t="s">
        <v>28</v>
      </c>
      <c r="N1862" s="3">
        <v>0.6</v>
      </c>
      <c r="O1862" s="3">
        <v>0</v>
      </c>
      <c r="P1862">
        <v>21</v>
      </c>
      <c r="Q1862">
        <v>6.5</v>
      </c>
      <c r="R1862" t="s">
        <v>102</v>
      </c>
      <c r="S1862">
        <v>0</v>
      </c>
      <c r="T1862" s="6">
        <f>10^-(14-Q1862)</f>
        <v>3.1622776601683699E-8</v>
      </c>
      <c r="U1862" s="6">
        <v>0</v>
      </c>
      <c r="V1862" s="6">
        <v>0</v>
      </c>
      <c r="W1862" s="6">
        <v>0</v>
      </c>
      <c r="X1862" s="6">
        <v>0</v>
      </c>
      <c r="Y1862" t="s">
        <v>171</v>
      </c>
      <c r="Z1862" s="5">
        <v>-300</v>
      </c>
      <c r="AD1862">
        <f>1/6</f>
        <v>0.16666666666666666</v>
      </c>
      <c r="AE1862">
        <v>550</v>
      </c>
      <c r="AF1862">
        <v>1</v>
      </c>
      <c r="AG1862" s="9">
        <v>1.7000000000000001E-2</v>
      </c>
      <c r="AH1862" s="9">
        <v>1.07</v>
      </c>
      <c r="AI1862" s="9">
        <v>0.65</v>
      </c>
      <c r="AJ1862" s="9">
        <v>1.9E-2</v>
      </c>
      <c r="AK1862" s="9">
        <v>8.9999999999999993E-3</v>
      </c>
      <c r="AL1862" s="9">
        <v>17.3</v>
      </c>
      <c r="AM1862" s="9">
        <v>11.1</v>
      </c>
      <c r="AN1862" s="9">
        <v>2.16</v>
      </c>
      <c r="AO1862" s="9">
        <v>9.2999999999999999E-2</v>
      </c>
      <c r="AP1862"/>
    </row>
    <row r="1863" spans="1:42" x14ac:dyDescent="0.3">
      <c r="A1863" t="s">
        <v>437</v>
      </c>
      <c r="B1863" s="1" t="s">
        <v>1607</v>
      </c>
      <c r="C1863">
        <v>80</v>
      </c>
      <c r="D1863" s="8">
        <v>1.4403999999999999</v>
      </c>
      <c r="E1863">
        <v>32</v>
      </c>
      <c r="F1863">
        <v>14</v>
      </c>
      <c r="H1863" t="s">
        <v>987</v>
      </c>
      <c r="K1863" s="4">
        <v>1</v>
      </c>
      <c r="L1863" t="s">
        <v>140</v>
      </c>
      <c r="M1863" t="s">
        <v>28</v>
      </c>
      <c r="N1863" s="3">
        <v>0.6</v>
      </c>
      <c r="O1863" s="3">
        <v>0</v>
      </c>
      <c r="P1863">
        <v>21</v>
      </c>
      <c r="Q1863">
        <v>6.5</v>
      </c>
      <c r="R1863" t="s">
        <v>102</v>
      </c>
      <c r="S1863">
        <v>0</v>
      </c>
      <c r="T1863" s="6">
        <f>10^-(14-Q1863)</f>
        <v>3.1622776601683699E-8</v>
      </c>
      <c r="U1863" s="6">
        <v>0</v>
      </c>
      <c r="V1863" s="6">
        <v>0</v>
      </c>
      <c r="W1863" s="6">
        <v>0</v>
      </c>
      <c r="X1863" s="6">
        <v>0</v>
      </c>
      <c r="Y1863" t="s">
        <v>171</v>
      </c>
      <c r="Z1863" s="5">
        <v>-300</v>
      </c>
      <c r="AD1863">
        <f>1/6</f>
        <v>0.16666666666666666</v>
      </c>
      <c r="AE1863">
        <v>450</v>
      </c>
      <c r="AF1863">
        <v>1</v>
      </c>
      <c r="AG1863" s="9">
        <v>1.7000000000000001E-2</v>
      </c>
      <c r="AH1863" s="9">
        <v>1.07</v>
      </c>
      <c r="AI1863" s="9">
        <v>0.65</v>
      </c>
      <c r="AJ1863" s="9">
        <v>1.9E-2</v>
      </c>
      <c r="AK1863" s="9">
        <v>8.9999999999999993E-3</v>
      </c>
      <c r="AL1863" s="9">
        <v>17.3</v>
      </c>
      <c r="AM1863" s="9">
        <v>11.1</v>
      </c>
      <c r="AN1863" s="9">
        <v>2.16</v>
      </c>
      <c r="AO1863" s="9">
        <v>9.2999999999999999E-2</v>
      </c>
      <c r="AP1863"/>
    </row>
    <row r="1864" spans="1:42" x14ac:dyDescent="0.3">
      <c r="A1864" t="s">
        <v>438</v>
      </c>
      <c r="B1864" s="1" t="s">
        <v>1607</v>
      </c>
      <c r="C1864">
        <v>80</v>
      </c>
      <c r="D1864" s="8">
        <v>1.4403999999999999</v>
      </c>
      <c r="E1864">
        <v>32</v>
      </c>
      <c r="F1864">
        <v>14</v>
      </c>
      <c r="H1864" t="s">
        <v>987</v>
      </c>
      <c r="K1864" s="4">
        <v>1</v>
      </c>
      <c r="L1864" t="s">
        <v>140</v>
      </c>
      <c r="M1864" t="s">
        <v>28</v>
      </c>
      <c r="N1864" s="3">
        <v>0.6</v>
      </c>
      <c r="O1864" s="3">
        <v>0</v>
      </c>
      <c r="P1864">
        <v>21</v>
      </c>
      <c r="Q1864">
        <v>6.5</v>
      </c>
      <c r="R1864" t="s">
        <v>102</v>
      </c>
      <c r="S1864">
        <v>0</v>
      </c>
      <c r="T1864" s="6">
        <f>10^-(14-Q1864)</f>
        <v>3.1622776601683699E-8</v>
      </c>
      <c r="U1864" s="6">
        <v>0</v>
      </c>
      <c r="V1864" s="6">
        <v>0</v>
      </c>
      <c r="W1864" s="6">
        <v>0</v>
      </c>
      <c r="X1864" s="6">
        <v>0</v>
      </c>
      <c r="Y1864" t="s">
        <v>171</v>
      </c>
      <c r="Z1864" s="5">
        <v>-300</v>
      </c>
      <c r="AD1864">
        <f>1/6</f>
        <v>0.16666666666666666</v>
      </c>
      <c r="AE1864">
        <v>150</v>
      </c>
      <c r="AF1864">
        <v>1</v>
      </c>
      <c r="AG1864" s="9">
        <v>1.7000000000000001E-2</v>
      </c>
      <c r="AH1864" s="9">
        <v>1.07</v>
      </c>
      <c r="AI1864" s="9">
        <v>0.65</v>
      </c>
      <c r="AJ1864" s="9">
        <v>1.9E-2</v>
      </c>
      <c r="AK1864" s="9">
        <v>8.9999999999999993E-3</v>
      </c>
      <c r="AL1864" s="9">
        <v>17.3</v>
      </c>
      <c r="AM1864" s="9">
        <v>11.1</v>
      </c>
      <c r="AN1864" s="9">
        <v>2.16</v>
      </c>
      <c r="AO1864" s="9">
        <v>9.2999999999999999E-2</v>
      </c>
      <c r="AP1864"/>
    </row>
    <row r="1865" spans="1:42" x14ac:dyDescent="0.3">
      <c r="A1865" t="s">
        <v>439</v>
      </c>
      <c r="B1865" s="1" t="s">
        <v>1607</v>
      </c>
      <c r="C1865">
        <v>80</v>
      </c>
      <c r="D1865" s="8">
        <v>1.4403999999999999</v>
      </c>
      <c r="E1865">
        <v>32</v>
      </c>
      <c r="F1865">
        <v>14</v>
      </c>
      <c r="H1865" t="s">
        <v>987</v>
      </c>
      <c r="K1865" s="4">
        <v>1</v>
      </c>
      <c r="L1865" t="s">
        <v>140</v>
      </c>
      <c r="M1865" t="s">
        <v>28</v>
      </c>
      <c r="N1865" s="3">
        <v>0.6</v>
      </c>
      <c r="O1865" s="3">
        <v>0</v>
      </c>
      <c r="P1865">
        <v>21</v>
      </c>
      <c r="Q1865">
        <v>6.5</v>
      </c>
      <c r="R1865" t="s">
        <v>102</v>
      </c>
      <c r="S1865">
        <v>0</v>
      </c>
      <c r="T1865" s="6">
        <f>10^-(14-Q1865)</f>
        <v>3.1622776601683699E-8</v>
      </c>
      <c r="U1865" s="6">
        <v>0</v>
      </c>
      <c r="V1865" s="6">
        <v>0</v>
      </c>
      <c r="W1865" s="6">
        <v>0</v>
      </c>
      <c r="X1865" s="6">
        <v>0</v>
      </c>
      <c r="Y1865" t="s">
        <v>171</v>
      </c>
      <c r="Z1865" s="5">
        <v>-300</v>
      </c>
      <c r="AD1865">
        <f>1/6</f>
        <v>0.16666666666666666</v>
      </c>
      <c r="AE1865">
        <v>50</v>
      </c>
      <c r="AF1865">
        <v>1</v>
      </c>
      <c r="AG1865" s="9">
        <v>1.7000000000000001E-2</v>
      </c>
      <c r="AH1865" s="9">
        <v>1.07</v>
      </c>
      <c r="AI1865" s="9">
        <v>0.65</v>
      </c>
      <c r="AJ1865" s="9">
        <v>1.9E-2</v>
      </c>
      <c r="AK1865" s="9">
        <v>8.9999999999999993E-3</v>
      </c>
      <c r="AL1865" s="9">
        <v>17.3</v>
      </c>
      <c r="AM1865" s="9">
        <v>11.1</v>
      </c>
      <c r="AN1865" s="9">
        <v>2.16</v>
      </c>
      <c r="AO1865" s="9">
        <v>9.2999999999999999E-2</v>
      </c>
      <c r="AP1865"/>
    </row>
    <row r="1866" spans="1:42" x14ac:dyDescent="0.3">
      <c r="A1866" t="s">
        <v>440</v>
      </c>
      <c r="B1866" s="1" t="s">
        <v>1607</v>
      </c>
      <c r="C1866">
        <v>80</v>
      </c>
      <c r="D1866" s="8">
        <v>1.4403999999999999</v>
      </c>
      <c r="E1866">
        <v>32</v>
      </c>
      <c r="F1866">
        <v>10</v>
      </c>
      <c r="H1866" t="s">
        <v>987</v>
      </c>
      <c r="K1866" s="4">
        <v>1</v>
      </c>
      <c r="L1866" t="s">
        <v>140</v>
      </c>
      <c r="M1866" t="s">
        <v>28</v>
      </c>
      <c r="N1866" s="3">
        <v>0.6</v>
      </c>
      <c r="O1866" s="3">
        <v>0</v>
      </c>
      <c r="P1866">
        <v>21</v>
      </c>
      <c r="Q1866">
        <v>6.5</v>
      </c>
      <c r="R1866" t="s">
        <v>102</v>
      </c>
      <c r="S1866">
        <v>0</v>
      </c>
      <c r="T1866" s="6">
        <f>10^-(14-Q1866)</f>
        <v>3.1622776601683699E-8</v>
      </c>
      <c r="U1866" s="6">
        <v>0</v>
      </c>
      <c r="V1866" s="6">
        <v>0</v>
      </c>
      <c r="W1866" s="6">
        <v>0</v>
      </c>
      <c r="X1866" s="6">
        <v>0</v>
      </c>
      <c r="Y1866" t="s">
        <v>171</v>
      </c>
      <c r="Z1866" s="5">
        <v>-250</v>
      </c>
      <c r="AD1866">
        <f>1/6</f>
        <v>0.16666666666666666</v>
      </c>
      <c r="AE1866">
        <v>750</v>
      </c>
      <c r="AF1866">
        <v>1</v>
      </c>
      <c r="AG1866" s="9">
        <v>1.7000000000000001E-2</v>
      </c>
      <c r="AH1866" s="9">
        <v>1.07</v>
      </c>
      <c r="AI1866" s="9">
        <v>0.65</v>
      </c>
      <c r="AJ1866" s="9">
        <v>1.9E-2</v>
      </c>
      <c r="AK1866" s="9">
        <v>8.9999999999999993E-3</v>
      </c>
      <c r="AL1866" s="9">
        <v>17.3</v>
      </c>
      <c r="AM1866" s="9">
        <v>11.1</v>
      </c>
      <c r="AN1866" s="9">
        <v>2.16</v>
      </c>
      <c r="AO1866" s="9">
        <v>9.2999999999999999E-2</v>
      </c>
      <c r="AP1866"/>
    </row>
    <row r="1867" spans="1:42" x14ac:dyDescent="0.3">
      <c r="A1867" t="s">
        <v>441</v>
      </c>
      <c r="B1867" s="1" t="s">
        <v>1607</v>
      </c>
      <c r="C1867">
        <v>80</v>
      </c>
      <c r="D1867" s="8">
        <v>1.4403999999999999</v>
      </c>
      <c r="E1867">
        <v>32</v>
      </c>
      <c r="F1867">
        <v>10</v>
      </c>
      <c r="H1867" t="s">
        <v>987</v>
      </c>
      <c r="K1867" s="4">
        <v>1</v>
      </c>
      <c r="L1867" t="s">
        <v>140</v>
      </c>
      <c r="M1867" t="s">
        <v>28</v>
      </c>
      <c r="N1867" s="3">
        <v>0.6</v>
      </c>
      <c r="O1867" s="3">
        <v>0</v>
      </c>
      <c r="P1867">
        <v>21</v>
      </c>
      <c r="Q1867">
        <v>6.5</v>
      </c>
      <c r="R1867" t="s">
        <v>102</v>
      </c>
      <c r="S1867">
        <v>0</v>
      </c>
      <c r="T1867" s="6">
        <f>10^-(14-Q1867)</f>
        <v>3.1622776601683699E-8</v>
      </c>
      <c r="U1867" s="6">
        <v>0</v>
      </c>
      <c r="V1867" s="6">
        <v>0</v>
      </c>
      <c r="W1867" s="6">
        <v>0</v>
      </c>
      <c r="X1867" s="6">
        <v>0</v>
      </c>
      <c r="Y1867" t="s">
        <v>171</v>
      </c>
      <c r="Z1867" s="5">
        <v>-250</v>
      </c>
      <c r="AD1867">
        <f>1/6</f>
        <v>0.16666666666666666</v>
      </c>
      <c r="AE1867">
        <v>675</v>
      </c>
      <c r="AF1867">
        <v>1</v>
      </c>
      <c r="AG1867" s="9">
        <v>1.7000000000000001E-2</v>
      </c>
      <c r="AH1867" s="9">
        <v>1.07</v>
      </c>
      <c r="AI1867" s="9">
        <v>0.65</v>
      </c>
      <c r="AJ1867" s="9">
        <v>1.9E-2</v>
      </c>
      <c r="AK1867" s="9">
        <v>8.9999999999999993E-3</v>
      </c>
      <c r="AL1867" s="9">
        <v>17.3</v>
      </c>
      <c r="AM1867" s="9">
        <v>11.1</v>
      </c>
      <c r="AN1867" s="9">
        <v>2.16</v>
      </c>
      <c r="AO1867" s="9">
        <v>9.2999999999999999E-2</v>
      </c>
      <c r="AP1867"/>
    </row>
    <row r="1868" spans="1:42" x14ac:dyDescent="0.3">
      <c r="A1868" t="s">
        <v>442</v>
      </c>
      <c r="B1868" s="1" t="s">
        <v>1607</v>
      </c>
      <c r="C1868">
        <v>80</v>
      </c>
      <c r="D1868" s="8">
        <v>1.4403999999999999</v>
      </c>
      <c r="E1868">
        <v>32</v>
      </c>
      <c r="F1868">
        <v>10</v>
      </c>
      <c r="H1868" t="s">
        <v>987</v>
      </c>
      <c r="K1868" s="4">
        <v>1</v>
      </c>
      <c r="L1868" t="s">
        <v>140</v>
      </c>
      <c r="M1868" t="s">
        <v>28</v>
      </c>
      <c r="N1868" s="3">
        <v>0.6</v>
      </c>
      <c r="O1868" s="3">
        <v>0</v>
      </c>
      <c r="P1868">
        <v>21</v>
      </c>
      <c r="Q1868">
        <v>6.5</v>
      </c>
      <c r="R1868" t="s">
        <v>102</v>
      </c>
      <c r="S1868">
        <v>0</v>
      </c>
      <c r="T1868" s="6">
        <f>10^-(14-Q1868)</f>
        <v>3.1622776601683699E-8</v>
      </c>
      <c r="U1868" s="6">
        <v>0</v>
      </c>
      <c r="V1868" s="6">
        <v>0</v>
      </c>
      <c r="W1868" s="6">
        <v>0</v>
      </c>
      <c r="X1868" s="6">
        <v>0</v>
      </c>
      <c r="Y1868" t="s">
        <v>171</v>
      </c>
      <c r="Z1868" s="5">
        <v>-250</v>
      </c>
      <c r="AD1868">
        <f>1/6</f>
        <v>0.16666666666666666</v>
      </c>
      <c r="AE1868">
        <v>600</v>
      </c>
      <c r="AF1868">
        <v>1</v>
      </c>
      <c r="AG1868" s="9">
        <v>1.7000000000000001E-2</v>
      </c>
      <c r="AH1868" s="9">
        <v>1.07</v>
      </c>
      <c r="AI1868" s="9">
        <v>0.65</v>
      </c>
      <c r="AJ1868" s="9">
        <v>1.9E-2</v>
      </c>
      <c r="AK1868" s="9">
        <v>8.9999999999999993E-3</v>
      </c>
      <c r="AL1868" s="9">
        <v>17.3</v>
      </c>
      <c r="AM1868" s="9">
        <v>11.1</v>
      </c>
      <c r="AN1868" s="9">
        <v>2.16</v>
      </c>
      <c r="AO1868" s="9">
        <v>9.2999999999999999E-2</v>
      </c>
      <c r="AP1868"/>
    </row>
    <row r="1869" spans="1:42" x14ac:dyDescent="0.3">
      <c r="A1869" t="s">
        <v>443</v>
      </c>
      <c r="B1869" s="1" t="s">
        <v>1607</v>
      </c>
      <c r="C1869">
        <v>80</v>
      </c>
      <c r="D1869" s="8">
        <v>1.4403999999999999</v>
      </c>
      <c r="E1869">
        <v>32</v>
      </c>
      <c r="F1869">
        <v>10</v>
      </c>
      <c r="H1869" t="s">
        <v>987</v>
      </c>
      <c r="K1869" s="4">
        <v>1</v>
      </c>
      <c r="L1869" t="s">
        <v>140</v>
      </c>
      <c r="M1869" t="s">
        <v>28</v>
      </c>
      <c r="N1869" s="3">
        <v>0.6</v>
      </c>
      <c r="O1869" s="3">
        <v>0</v>
      </c>
      <c r="P1869">
        <v>21</v>
      </c>
      <c r="Q1869">
        <v>6.5</v>
      </c>
      <c r="R1869" t="s">
        <v>102</v>
      </c>
      <c r="S1869">
        <v>0</v>
      </c>
      <c r="T1869" s="6">
        <f>10^-(14-Q1869)</f>
        <v>3.1622776601683699E-8</v>
      </c>
      <c r="U1869" s="6">
        <v>0</v>
      </c>
      <c r="V1869" s="6">
        <v>0</v>
      </c>
      <c r="W1869" s="6">
        <v>0</v>
      </c>
      <c r="X1869" s="6">
        <v>0</v>
      </c>
      <c r="Y1869" t="s">
        <v>171</v>
      </c>
      <c r="Z1869" s="5">
        <v>-250</v>
      </c>
      <c r="AD1869">
        <f>1/6</f>
        <v>0.16666666666666666</v>
      </c>
      <c r="AE1869">
        <v>550</v>
      </c>
      <c r="AF1869">
        <v>1</v>
      </c>
      <c r="AG1869" s="9">
        <v>1.7000000000000001E-2</v>
      </c>
      <c r="AH1869" s="9">
        <v>1.07</v>
      </c>
      <c r="AI1869" s="9">
        <v>0.65</v>
      </c>
      <c r="AJ1869" s="9">
        <v>1.9E-2</v>
      </c>
      <c r="AK1869" s="9">
        <v>8.9999999999999993E-3</v>
      </c>
      <c r="AL1869" s="9">
        <v>17.3</v>
      </c>
      <c r="AM1869" s="9">
        <v>11.1</v>
      </c>
      <c r="AN1869" s="9">
        <v>2.16</v>
      </c>
      <c r="AO1869" s="9">
        <v>9.2999999999999999E-2</v>
      </c>
      <c r="AP1869"/>
    </row>
    <row r="1870" spans="1:42" x14ac:dyDescent="0.3">
      <c r="A1870" t="s">
        <v>444</v>
      </c>
      <c r="B1870" s="1" t="s">
        <v>1607</v>
      </c>
      <c r="C1870">
        <v>80</v>
      </c>
      <c r="D1870" s="8">
        <v>1.4403999999999999</v>
      </c>
      <c r="E1870">
        <v>32</v>
      </c>
      <c r="F1870">
        <v>10</v>
      </c>
      <c r="H1870" t="s">
        <v>987</v>
      </c>
      <c r="K1870" s="4">
        <v>1</v>
      </c>
      <c r="L1870" t="s">
        <v>140</v>
      </c>
      <c r="M1870" t="s">
        <v>28</v>
      </c>
      <c r="N1870" s="3">
        <v>0.6</v>
      </c>
      <c r="O1870" s="3">
        <v>0</v>
      </c>
      <c r="P1870">
        <v>21</v>
      </c>
      <c r="Q1870">
        <v>6.5</v>
      </c>
      <c r="R1870" t="s">
        <v>102</v>
      </c>
      <c r="S1870">
        <v>0</v>
      </c>
      <c r="T1870" s="6">
        <f>10^-(14-Q1870)</f>
        <v>3.1622776601683699E-8</v>
      </c>
      <c r="U1870" s="6">
        <v>0</v>
      </c>
      <c r="V1870" s="6">
        <v>0</v>
      </c>
      <c r="W1870" s="6">
        <v>0</v>
      </c>
      <c r="X1870" s="6">
        <v>0</v>
      </c>
      <c r="Y1870" t="s">
        <v>171</v>
      </c>
      <c r="Z1870" s="5">
        <v>-250</v>
      </c>
      <c r="AD1870">
        <f>1/6</f>
        <v>0.16666666666666666</v>
      </c>
      <c r="AE1870">
        <v>450</v>
      </c>
      <c r="AF1870">
        <v>1</v>
      </c>
      <c r="AG1870" s="9">
        <v>1.7000000000000001E-2</v>
      </c>
      <c r="AH1870" s="9">
        <v>1.07</v>
      </c>
      <c r="AI1870" s="9">
        <v>0.65</v>
      </c>
      <c r="AJ1870" s="9">
        <v>1.9E-2</v>
      </c>
      <c r="AK1870" s="9">
        <v>8.9999999999999993E-3</v>
      </c>
      <c r="AL1870" s="9">
        <v>17.3</v>
      </c>
      <c r="AM1870" s="9">
        <v>11.1</v>
      </c>
      <c r="AN1870" s="9">
        <v>2.16</v>
      </c>
      <c r="AO1870" s="9">
        <v>9.2999999999999999E-2</v>
      </c>
      <c r="AP1870"/>
    </row>
    <row r="1871" spans="1:42" x14ac:dyDescent="0.3">
      <c r="A1871" t="s">
        <v>445</v>
      </c>
      <c r="B1871" s="1" t="s">
        <v>1607</v>
      </c>
      <c r="C1871">
        <v>80</v>
      </c>
      <c r="D1871" s="8">
        <v>1.4403999999999999</v>
      </c>
      <c r="E1871">
        <v>32</v>
      </c>
      <c r="F1871">
        <v>14</v>
      </c>
      <c r="H1871" t="s">
        <v>987</v>
      </c>
      <c r="K1871" s="4">
        <v>1</v>
      </c>
      <c r="L1871" t="s">
        <v>140</v>
      </c>
      <c r="M1871" t="s">
        <v>28</v>
      </c>
      <c r="N1871" s="3">
        <v>0.6</v>
      </c>
      <c r="O1871" s="3">
        <v>0</v>
      </c>
      <c r="P1871">
        <v>21</v>
      </c>
      <c r="Q1871">
        <v>6.5</v>
      </c>
      <c r="R1871" t="s">
        <v>102</v>
      </c>
      <c r="S1871">
        <v>0</v>
      </c>
      <c r="T1871" s="6">
        <f>10^-(14-Q1871)</f>
        <v>3.1622776601683699E-8</v>
      </c>
      <c r="U1871" s="6">
        <v>0</v>
      </c>
      <c r="V1871" s="6">
        <v>0</v>
      </c>
      <c r="W1871" s="6">
        <v>0</v>
      </c>
      <c r="X1871" s="6">
        <v>0</v>
      </c>
      <c r="Y1871" t="s">
        <v>171</v>
      </c>
      <c r="AD1871">
        <f>1/6</f>
        <v>0.16666666666666666</v>
      </c>
      <c r="AE1871">
        <v>500</v>
      </c>
      <c r="AF1871">
        <v>1</v>
      </c>
      <c r="AG1871" s="9">
        <v>1.7000000000000001E-2</v>
      </c>
      <c r="AH1871" s="9">
        <v>1.07</v>
      </c>
      <c r="AI1871" s="9">
        <v>0.65</v>
      </c>
      <c r="AJ1871" s="9">
        <v>1.9E-2</v>
      </c>
      <c r="AK1871" s="9">
        <v>8.9999999999999993E-3</v>
      </c>
      <c r="AL1871" s="9">
        <v>17.3</v>
      </c>
      <c r="AM1871" s="9">
        <v>11.1</v>
      </c>
      <c r="AN1871" s="9">
        <v>2.16</v>
      </c>
      <c r="AO1871" s="9">
        <v>9.2999999999999999E-2</v>
      </c>
      <c r="AP1871"/>
    </row>
    <row r="1872" spans="1:42" x14ac:dyDescent="0.3">
      <c r="A1872" t="s">
        <v>446</v>
      </c>
      <c r="B1872" s="1" t="s">
        <v>1607</v>
      </c>
      <c r="C1872">
        <v>80</v>
      </c>
      <c r="D1872" s="8">
        <v>1.4403999999999999</v>
      </c>
      <c r="E1872">
        <v>32</v>
      </c>
      <c r="F1872">
        <v>14</v>
      </c>
      <c r="H1872" t="s">
        <v>987</v>
      </c>
      <c r="K1872" s="4">
        <v>1</v>
      </c>
      <c r="L1872" t="s">
        <v>140</v>
      </c>
      <c r="M1872" t="s">
        <v>28</v>
      </c>
      <c r="N1872" s="3">
        <v>0.6</v>
      </c>
      <c r="O1872" s="3">
        <v>0</v>
      </c>
      <c r="P1872">
        <v>21</v>
      </c>
      <c r="Q1872">
        <v>6.5</v>
      </c>
      <c r="R1872" t="s">
        <v>102</v>
      </c>
      <c r="S1872">
        <v>0</v>
      </c>
      <c r="T1872" s="6">
        <f>10^-(14-Q1872)</f>
        <v>3.1622776601683699E-8</v>
      </c>
      <c r="U1872" s="6">
        <v>0</v>
      </c>
      <c r="V1872" s="6">
        <v>0</v>
      </c>
      <c r="W1872" s="6">
        <v>0</v>
      </c>
      <c r="X1872" s="6">
        <v>0</v>
      </c>
      <c r="Y1872" t="s">
        <v>171</v>
      </c>
      <c r="AD1872">
        <f>1/6</f>
        <v>0.16666666666666666</v>
      </c>
      <c r="AE1872">
        <v>450</v>
      </c>
      <c r="AF1872">
        <v>1</v>
      </c>
      <c r="AG1872" s="9">
        <v>1.7000000000000001E-2</v>
      </c>
      <c r="AH1872" s="9">
        <v>1.07</v>
      </c>
      <c r="AI1872" s="9">
        <v>0.65</v>
      </c>
      <c r="AJ1872" s="9">
        <v>1.9E-2</v>
      </c>
      <c r="AK1872" s="9">
        <v>8.9999999999999993E-3</v>
      </c>
      <c r="AL1872" s="9">
        <v>17.3</v>
      </c>
      <c r="AM1872" s="9">
        <v>11.1</v>
      </c>
      <c r="AN1872" s="9">
        <v>2.16</v>
      </c>
      <c r="AO1872" s="9">
        <v>9.2999999999999999E-2</v>
      </c>
      <c r="AP1872"/>
    </row>
    <row r="1873" spans="1:42" x14ac:dyDescent="0.3">
      <c r="A1873" t="s">
        <v>447</v>
      </c>
      <c r="B1873" s="1" t="s">
        <v>1607</v>
      </c>
      <c r="C1873">
        <v>80</v>
      </c>
      <c r="D1873" s="8">
        <v>1.4403999999999999</v>
      </c>
      <c r="E1873">
        <v>32</v>
      </c>
      <c r="F1873">
        <v>14</v>
      </c>
      <c r="H1873" t="s">
        <v>987</v>
      </c>
      <c r="K1873" s="4">
        <v>1</v>
      </c>
      <c r="L1873" t="s">
        <v>140</v>
      </c>
      <c r="M1873" t="s">
        <v>28</v>
      </c>
      <c r="N1873" s="3">
        <v>0.6</v>
      </c>
      <c r="O1873" s="3">
        <v>0</v>
      </c>
      <c r="P1873">
        <v>21</v>
      </c>
      <c r="Q1873">
        <v>6.5</v>
      </c>
      <c r="R1873" t="s">
        <v>102</v>
      </c>
      <c r="S1873">
        <v>0</v>
      </c>
      <c r="T1873" s="6">
        <f>10^-(14-Q1873)</f>
        <v>3.1622776601683699E-8</v>
      </c>
      <c r="U1873" s="6">
        <v>0</v>
      </c>
      <c r="V1873" s="6">
        <v>0</v>
      </c>
      <c r="W1873" s="6">
        <v>0</v>
      </c>
      <c r="X1873" s="6">
        <v>0</v>
      </c>
      <c r="Y1873" t="s">
        <v>171</v>
      </c>
      <c r="AD1873">
        <f>1/6</f>
        <v>0.16666666666666666</v>
      </c>
      <c r="AE1873">
        <v>400</v>
      </c>
      <c r="AF1873">
        <v>1</v>
      </c>
      <c r="AG1873" s="9">
        <v>1.7000000000000001E-2</v>
      </c>
      <c r="AH1873" s="9">
        <v>1.07</v>
      </c>
      <c r="AI1873" s="9">
        <v>0.65</v>
      </c>
      <c r="AJ1873" s="9">
        <v>1.9E-2</v>
      </c>
      <c r="AK1873" s="9">
        <v>8.9999999999999993E-3</v>
      </c>
      <c r="AL1873" s="9">
        <v>17.3</v>
      </c>
      <c r="AM1873" s="9">
        <v>11.1</v>
      </c>
      <c r="AN1873" s="9">
        <v>2.16</v>
      </c>
      <c r="AO1873" s="9">
        <v>9.2999999999999999E-2</v>
      </c>
      <c r="AP1873"/>
    </row>
    <row r="1874" spans="1:42" x14ac:dyDescent="0.3">
      <c r="A1874" t="s">
        <v>448</v>
      </c>
      <c r="B1874" s="1" t="s">
        <v>1607</v>
      </c>
      <c r="C1874">
        <v>80</v>
      </c>
      <c r="D1874" s="8">
        <v>1.4403999999999999</v>
      </c>
      <c r="E1874">
        <v>32</v>
      </c>
      <c r="F1874">
        <v>14</v>
      </c>
      <c r="H1874" t="s">
        <v>987</v>
      </c>
      <c r="K1874" s="4">
        <v>1</v>
      </c>
      <c r="L1874" t="s">
        <v>140</v>
      </c>
      <c r="M1874" t="s">
        <v>28</v>
      </c>
      <c r="N1874" s="3">
        <v>0.6</v>
      </c>
      <c r="O1874" s="3">
        <v>0</v>
      </c>
      <c r="P1874">
        <v>21</v>
      </c>
      <c r="Q1874">
        <v>6.5</v>
      </c>
      <c r="R1874" t="s">
        <v>102</v>
      </c>
      <c r="S1874">
        <v>0</v>
      </c>
      <c r="T1874" s="6">
        <f>10^-(14-Q1874)</f>
        <v>3.1622776601683699E-8</v>
      </c>
      <c r="U1874" s="6">
        <v>0</v>
      </c>
      <c r="V1874" s="6">
        <v>0</v>
      </c>
      <c r="W1874" s="6">
        <v>0</v>
      </c>
      <c r="X1874" s="6">
        <v>0</v>
      </c>
      <c r="Y1874" t="s">
        <v>171</v>
      </c>
      <c r="AD1874">
        <f>1/6</f>
        <v>0.16666666666666666</v>
      </c>
      <c r="AE1874">
        <v>250</v>
      </c>
      <c r="AF1874">
        <v>1</v>
      </c>
      <c r="AG1874" s="9">
        <v>1.7000000000000001E-2</v>
      </c>
      <c r="AH1874" s="9">
        <v>1.07</v>
      </c>
      <c r="AI1874" s="9">
        <v>0.65</v>
      </c>
      <c r="AJ1874" s="9">
        <v>1.9E-2</v>
      </c>
      <c r="AK1874" s="9">
        <v>8.9999999999999993E-3</v>
      </c>
      <c r="AL1874" s="9">
        <v>17.3</v>
      </c>
      <c r="AM1874" s="9">
        <v>11.1</v>
      </c>
      <c r="AN1874" s="9">
        <v>2.16</v>
      </c>
      <c r="AO1874" s="9">
        <v>9.2999999999999999E-2</v>
      </c>
      <c r="AP1874"/>
    </row>
    <row r="1875" spans="1:42" x14ac:dyDescent="0.3">
      <c r="A1875" t="s">
        <v>449</v>
      </c>
      <c r="B1875" s="1" t="s">
        <v>1607</v>
      </c>
      <c r="C1875">
        <v>80</v>
      </c>
      <c r="D1875" s="8">
        <v>1.4403999999999999</v>
      </c>
      <c r="E1875">
        <v>32</v>
      </c>
      <c r="F1875">
        <v>14</v>
      </c>
      <c r="H1875" t="s">
        <v>987</v>
      </c>
      <c r="K1875" s="4">
        <v>1</v>
      </c>
      <c r="L1875" t="s">
        <v>140</v>
      </c>
      <c r="M1875" t="s">
        <v>28</v>
      </c>
      <c r="N1875" s="3">
        <v>0.6</v>
      </c>
      <c r="O1875" s="3">
        <v>0</v>
      </c>
      <c r="P1875">
        <v>21</v>
      </c>
      <c r="Q1875">
        <v>6.5</v>
      </c>
      <c r="R1875" t="s">
        <v>102</v>
      </c>
      <c r="S1875">
        <v>0</v>
      </c>
      <c r="T1875" s="6">
        <f>10^-(14-Q1875)</f>
        <v>3.1622776601683699E-8</v>
      </c>
      <c r="U1875" s="6">
        <v>0</v>
      </c>
      <c r="V1875" s="6">
        <v>0</v>
      </c>
      <c r="W1875" s="6">
        <v>0</v>
      </c>
      <c r="X1875" s="6">
        <v>0</v>
      </c>
      <c r="Y1875" t="s">
        <v>171</v>
      </c>
      <c r="AD1875">
        <f>1/6</f>
        <v>0.16666666666666666</v>
      </c>
      <c r="AE1875">
        <v>150</v>
      </c>
      <c r="AF1875">
        <v>1</v>
      </c>
      <c r="AG1875" s="9">
        <v>1.7000000000000001E-2</v>
      </c>
      <c r="AH1875" s="9">
        <v>1.07</v>
      </c>
      <c r="AI1875" s="9">
        <v>0.65</v>
      </c>
      <c r="AJ1875" s="9">
        <v>1.9E-2</v>
      </c>
      <c r="AK1875" s="9">
        <v>8.9999999999999993E-3</v>
      </c>
      <c r="AL1875" s="9">
        <v>17.3</v>
      </c>
      <c r="AM1875" s="9">
        <v>11.1</v>
      </c>
      <c r="AN1875" s="9">
        <v>2.16</v>
      </c>
      <c r="AO1875" s="9">
        <v>9.2999999999999999E-2</v>
      </c>
      <c r="AP1875"/>
    </row>
    <row r="1876" spans="1:42" x14ac:dyDescent="0.3">
      <c r="A1876" t="s">
        <v>450</v>
      </c>
      <c r="B1876" s="1" t="s">
        <v>1607</v>
      </c>
      <c r="C1876">
        <v>80</v>
      </c>
      <c r="D1876" s="8">
        <v>1.4403999999999999</v>
      </c>
      <c r="E1876">
        <v>32</v>
      </c>
      <c r="F1876">
        <v>22</v>
      </c>
      <c r="H1876" t="s">
        <v>987</v>
      </c>
      <c r="K1876" s="4">
        <v>1</v>
      </c>
      <c r="L1876" t="s">
        <v>140</v>
      </c>
      <c r="M1876" t="s">
        <v>28</v>
      </c>
      <c r="N1876" s="3">
        <v>0.6</v>
      </c>
      <c r="O1876" s="3">
        <v>0</v>
      </c>
      <c r="P1876">
        <v>21</v>
      </c>
      <c r="Q1876">
        <v>6.5</v>
      </c>
      <c r="R1876" t="s">
        <v>102</v>
      </c>
      <c r="S1876">
        <v>0</v>
      </c>
      <c r="T1876" s="6">
        <f>10^-(14-Q1876)</f>
        <v>3.1622776601683699E-8</v>
      </c>
      <c r="U1876" s="6">
        <v>0</v>
      </c>
      <c r="V1876" s="6">
        <v>0</v>
      </c>
      <c r="W1876" s="6">
        <v>0</v>
      </c>
      <c r="X1876" s="6">
        <v>0</v>
      </c>
      <c r="Y1876" t="s">
        <v>171</v>
      </c>
      <c r="AD1876">
        <f>1/6</f>
        <v>0.16666666666666666</v>
      </c>
      <c r="AE1876">
        <v>300</v>
      </c>
      <c r="AF1876">
        <v>1</v>
      </c>
      <c r="AG1876" s="9">
        <v>1.7000000000000001E-2</v>
      </c>
      <c r="AH1876" s="9">
        <v>1.07</v>
      </c>
      <c r="AI1876" s="9">
        <v>0.65</v>
      </c>
      <c r="AJ1876" s="9">
        <v>1.9E-2</v>
      </c>
      <c r="AK1876" s="9">
        <v>8.9999999999999993E-3</v>
      </c>
      <c r="AL1876" s="9">
        <v>17.3</v>
      </c>
      <c r="AM1876" s="9">
        <v>11.1</v>
      </c>
      <c r="AN1876" s="9">
        <v>2.16</v>
      </c>
      <c r="AO1876" s="9">
        <v>9.2999999999999999E-2</v>
      </c>
      <c r="AP1876"/>
    </row>
    <row r="1877" spans="1:42" x14ac:dyDescent="0.3">
      <c r="A1877" t="s">
        <v>451</v>
      </c>
      <c r="B1877" s="1" t="s">
        <v>1607</v>
      </c>
      <c r="C1877">
        <v>80</v>
      </c>
      <c r="D1877" s="8">
        <v>1.4403999999999999</v>
      </c>
      <c r="E1877">
        <v>32</v>
      </c>
      <c r="F1877">
        <v>22</v>
      </c>
      <c r="H1877" t="s">
        <v>987</v>
      </c>
      <c r="K1877" s="4">
        <v>1</v>
      </c>
      <c r="L1877" t="s">
        <v>140</v>
      </c>
      <c r="M1877" t="s">
        <v>28</v>
      </c>
      <c r="N1877" s="3">
        <v>0.6</v>
      </c>
      <c r="O1877" s="3">
        <v>0</v>
      </c>
      <c r="P1877">
        <v>21</v>
      </c>
      <c r="Q1877">
        <v>6.5</v>
      </c>
      <c r="R1877" t="s">
        <v>102</v>
      </c>
      <c r="S1877">
        <v>0</v>
      </c>
      <c r="T1877" s="6">
        <f>10^-(14-Q1877)</f>
        <v>3.1622776601683699E-8</v>
      </c>
      <c r="U1877" s="6">
        <v>0</v>
      </c>
      <c r="V1877" s="6">
        <v>0</v>
      </c>
      <c r="W1877" s="6">
        <v>0</v>
      </c>
      <c r="X1877" s="6">
        <v>0</v>
      </c>
      <c r="Y1877" t="s">
        <v>171</v>
      </c>
      <c r="AD1877">
        <f>1/6</f>
        <v>0.16666666666666666</v>
      </c>
      <c r="AE1877">
        <v>150</v>
      </c>
      <c r="AF1877">
        <v>1</v>
      </c>
      <c r="AG1877" s="9">
        <v>1.7000000000000001E-2</v>
      </c>
      <c r="AH1877" s="9">
        <v>1.07</v>
      </c>
      <c r="AI1877" s="9">
        <v>0.65</v>
      </c>
      <c r="AJ1877" s="9">
        <v>1.9E-2</v>
      </c>
      <c r="AK1877" s="9">
        <v>8.9999999999999993E-3</v>
      </c>
      <c r="AL1877" s="9">
        <v>17.3</v>
      </c>
      <c r="AM1877" s="9">
        <v>11.1</v>
      </c>
      <c r="AN1877" s="9">
        <v>2.16</v>
      </c>
      <c r="AO1877" s="9">
        <v>9.2999999999999999E-2</v>
      </c>
      <c r="AP1877"/>
    </row>
    <row r="1878" spans="1:42" x14ac:dyDescent="0.3">
      <c r="A1878" t="s">
        <v>452</v>
      </c>
      <c r="B1878" s="1" t="s">
        <v>1607</v>
      </c>
      <c r="C1878">
        <v>80</v>
      </c>
      <c r="D1878" s="8">
        <v>1.4403999999999999</v>
      </c>
      <c r="E1878">
        <v>32</v>
      </c>
      <c r="F1878">
        <v>22</v>
      </c>
      <c r="H1878" t="s">
        <v>987</v>
      </c>
      <c r="K1878" s="4">
        <v>1</v>
      </c>
      <c r="L1878" t="s">
        <v>140</v>
      </c>
      <c r="M1878" t="s">
        <v>28</v>
      </c>
      <c r="N1878" s="3">
        <v>0.6</v>
      </c>
      <c r="O1878" s="3">
        <v>0</v>
      </c>
      <c r="P1878">
        <v>21</v>
      </c>
      <c r="Q1878">
        <v>6.5</v>
      </c>
      <c r="R1878" t="s">
        <v>102</v>
      </c>
      <c r="S1878">
        <v>0</v>
      </c>
      <c r="T1878" s="6">
        <f>10^-(14-Q1878)</f>
        <v>3.1622776601683699E-8</v>
      </c>
      <c r="U1878" s="6">
        <v>0</v>
      </c>
      <c r="V1878" s="6">
        <v>0</v>
      </c>
      <c r="W1878" s="6">
        <v>0</v>
      </c>
      <c r="X1878" s="6">
        <v>0</v>
      </c>
      <c r="Y1878" t="s">
        <v>171</v>
      </c>
      <c r="AD1878">
        <f>1/6</f>
        <v>0.16666666666666666</v>
      </c>
      <c r="AE1878">
        <v>125</v>
      </c>
      <c r="AF1878">
        <v>1</v>
      </c>
      <c r="AG1878" s="9">
        <v>1.7000000000000001E-2</v>
      </c>
      <c r="AH1878" s="9">
        <v>1.07</v>
      </c>
      <c r="AI1878" s="9">
        <v>0.65</v>
      </c>
      <c r="AJ1878" s="9">
        <v>1.9E-2</v>
      </c>
      <c r="AK1878" s="9">
        <v>8.9999999999999993E-3</v>
      </c>
      <c r="AL1878" s="9">
        <v>17.3</v>
      </c>
      <c r="AM1878" s="9">
        <v>11.1</v>
      </c>
      <c r="AN1878" s="9">
        <v>2.16</v>
      </c>
      <c r="AO1878" s="9">
        <v>9.2999999999999999E-2</v>
      </c>
      <c r="AP1878"/>
    </row>
    <row r="1879" spans="1:42" x14ac:dyDescent="0.3">
      <c r="A1879" t="s">
        <v>453</v>
      </c>
      <c r="B1879" s="1" t="s">
        <v>1607</v>
      </c>
      <c r="C1879">
        <v>80</v>
      </c>
      <c r="D1879" s="8">
        <v>1.4403999999999999</v>
      </c>
      <c r="E1879">
        <v>32</v>
      </c>
      <c r="F1879">
        <v>22</v>
      </c>
      <c r="H1879" t="s">
        <v>987</v>
      </c>
      <c r="K1879" s="4">
        <v>1</v>
      </c>
      <c r="L1879" t="s">
        <v>140</v>
      </c>
      <c r="M1879" t="s">
        <v>28</v>
      </c>
      <c r="N1879" s="3">
        <v>0.6</v>
      </c>
      <c r="O1879" s="3">
        <v>0</v>
      </c>
      <c r="P1879">
        <v>21</v>
      </c>
      <c r="Q1879">
        <v>6.5</v>
      </c>
      <c r="R1879" t="s">
        <v>102</v>
      </c>
      <c r="S1879">
        <v>0</v>
      </c>
      <c r="T1879" s="6">
        <f>10^-(14-Q1879)</f>
        <v>3.1622776601683699E-8</v>
      </c>
      <c r="U1879" s="6">
        <v>0</v>
      </c>
      <c r="V1879" s="6">
        <v>0</v>
      </c>
      <c r="W1879" s="6">
        <v>0</v>
      </c>
      <c r="X1879" s="6">
        <v>0</v>
      </c>
      <c r="Y1879" t="s">
        <v>171</v>
      </c>
      <c r="AD1879">
        <f>1/6</f>
        <v>0.16666666666666666</v>
      </c>
      <c r="AE1879">
        <v>100</v>
      </c>
      <c r="AF1879">
        <v>1</v>
      </c>
      <c r="AG1879" s="9">
        <v>1.7000000000000001E-2</v>
      </c>
      <c r="AH1879" s="9">
        <v>1.07</v>
      </c>
      <c r="AI1879" s="9">
        <v>0.65</v>
      </c>
      <c r="AJ1879" s="9">
        <v>1.9E-2</v>
      </c>
      <c r="AK1879" s="9">
        <v>8.9999999999999993E-3</v>
      </c>
      <c r="AL1879" s="9">
        <v>17.3</v>
      </c>
      <c r="AM1879" s="9">
        <v>11.1</v>
      </c>
      <c r="AN1879" s="9">
        <v>2.16</v>
      </c>
      <c r="AO1879" s="9">
        <v>9.2999999999999999E-2</v>
      </c>
      <c r="AP1879"/>
    </row>
    <row r="1880" spans="1:42" x14ac:dyDescent="0.3">
      <c r="A1880" t="s">
        <v>454</v>
      </c>
      <c r="B1880" s="1" t="s">
        <v>1607</v>
      </c>
      <c r="C1880">
        <v>80</v>
      </c>
      <c r="D1880" s="8">
        <v>1.4403999999999999</v>
      </c>
      <c r="E1880">
        <v>32</v>
      </c>
      <c r="F1880">
        <v>22</v>
      </c>
      <c r="H1880" t="s">
        <v>987</v>
      </c>
      <c r="K1880" s="4">
        <v>1</v>
      </c>
      <c r="L1880" t="s">
        <v>140</v>
      </c>
      <c r="M1880" t="s">
        <v>28</v>
      </c>
      <c r="N1880" s="3">
        <v>0.6</v>
      </c>
      <c r="O1880" s="3">
        <v>0</v>
      </c>
      <c r="P1880">
        <v>21</v>
      </c>
      <c r="Q1880">
        <v>6.5</v>
      </c>
      <c r="R1880" t="s">
        <v>102</v>
      </c>
      <c r="S1880">
        <v>0</v>
      </c>
      <c r="T1880" s="6">
        <f>10^-(14-Q1880)</f>
        <v>3.1622776601683699E-8</v>
      </c>
      <c r="U1880" s="6">
        <v>0</v>
      </c>
      <c r="V1880" s="6">
        <v>0</v>
      </c>
      <c r="W1880" s="6">
        <v>0</v>
      </c>
      <c r="X1880" s="6">
        <v>0</v>
      </c>
      <c r="Y1880" t="s">
        <v>171</v>
      </c>
      <c r="AD1880">
        <f>1/6</f>
        <v>0.16666666666666666</v>
      </c>
      <c r="AE1880">
        <v>50</v>
      </c>
      <c r="AF1880">
        <v>1</v>
      </c>
      <c r="AG1880" s="9">
        <v>1.7000000000000001E-2</v>
      </c>
      <c r="AH1880" s="9">
        <v>1.07</v>
      </c>
      <c r="AI1880" s="9">
        <v>0.65</v>
      </c>
      <c r="AJ1880" s="9">
        <v>1.9E-2</v>
      </c>
      <c r="AK1880" s="9">
        <v>8.9999999999999993E-3</v>
      </c>
      <c r="AL1880" s="9">
        <v>17.3</v>
      </c>
      <c r="AM1880" s="9">
        <v>11.1</v>
      </c>
      <c r="AN1880" s="9">
        <v>2.16</v>
      </c>
      <c r="AO1880" s="9">
        <v>9.2999999999999999E-2</v>
      </c>
      <c r="AP1880"/>
    </row>
    <row r="1881" spans="1:42" x14ac:dyDescent="0.3">
      <c r="A1881" t="s">
        <v>455</v>
      </c>
      <c r="B1881" s="1" t="s">
        <v>1607</v>
      </c>
      <c r="C1881">
        <v>80</v>
      </c>
      <c r="D1881" s="8">
        <v>1.4403999999999999</v>
      </c>
      <c r="E1881">
        <v>32</v>
      </c>
      <c r="F1881">
        <v>14</v>
      </c>
      <c r="G1881" t="s">
        <v>31</v>
      </c>
      <c r="H1881">
        <v>-1.2</v>
      </c>
      <c r="I1881" s="4">
        <v>1</v>
      </c>
      <c r="J1881" s="3">
        <v>0.5</v>
      </c>
      <c r="K1881" s="4">
        <v>1</v>
      </c>
      <c r="L1881" t="s">
        <v>140</v>
      </c>
      <c r="M1881" t="s">
        <v>28</v>
      </c>
      <c r="N1881" s="3">
        <v>0.6</v>
      </c>
      <c r="O1881" s="3">
        <v>0</v>
      </c>
      <c r="P1881">
        <v>21</v>
      </c>
      <c r="Q1881">
        <v>6.5</v>
      </c>
      <c r="R1881" t="s">
        <v>102</v>
      </c>
      <c r="S1881">
        <v>0</v>
      </c>
      <c r="T1881" s="6">
        <f>10^-(14-Q1881)</f>
        <v>3.1622776601683699E-8</v>
      </c>
      <c r="U1881" s="6">
        <v>0</v>
      </c>
      <c r="V1881" s="6">
        <v>0</v>
      </c>
      <c r="W1881" s="6">
        <v>0</v>
      </c>
      <c r="X1881" s="6">
        <v>0</v>
      </c>
      <c r="Y1881" t="s">
        <v>171</v>
      </c>
      <c r="Z1881" s="5">
        <v>-75</v>
      </c>
      <c r="AD1881">
        <f>1/6</f>
        <v>0.16666666666666666</v>
      </c>
      <c r="AE1881">
        <v>800</v>
      </c>
      <c r="AF1881">
        <v>1</v>
      </c>
      <c r="AG1881" s="9">
        <v>1.7000000000000001E-2</v>
      </c>
      <c r="AH1881" s="9">
        <v>1.07</v>
      </c>
      <c r="AI1881" s="9">
        <v>0.65</v>
      </c>
      <c r="AJ1881" s="9">
        <v>1.9E-2</v>
      </c>
      <c r="AK1881" s="9">
        <v>8.9999999999999993E-3</v>
      </c>
      <c r="AL1881" s="9">
        <v>17.3</v>
      </c>
      <c r="AM1881" s="9">
        <v>11.1</v>
      </c>
      <c r="AN1881" s="9">
        <v>2.16</v>
      </c>
      <c r="AO1881" s="9">
        <v>9.2999999999999999E-2</v>
      </c>
      <c r="AP1881"/>
    </row>
    <row r="1882" spans="1:42" x14ac:dyDescent="0.3">
      <c r="A1882" t="s">
        <v>456</v>
      </c>
      <c r="B1882" s="1" t="s">
        <v>1607</v>
      </c>
      <c r="C1882">
        <v>80</v>
      </c>
      <c r="D1882" s="8">
        <v>1.4403999999999999</v>
      </c>
      <c r="E1882">
        <v>32</v>
      </c>
      <c r="F1882">
        <v>14</v>
      </c>
      <c r="G1882" t="s">
        <v>31</v>
      </c>
      <c r="H1882">
        <v>-1.2</v>
      </c>
      <c r="I1882" s="4">
        <v>1</v>
      </c>
      <c r="J1882" s="3">
        <v>0.5</v>
      </c>
      <c r="K1882" s="4">
        <v>1</v>
      </c>
      <c r="L1882" t="s">
        <v>140</v>
      </c>
      <c r="M1882" t="s">
        <v>28</v>
      </c>
      <c r="N1882" s="3">
        <v>0.6</v>
      </c>
      <c r="O1882" s="3">
        <v>0</v>
      </c>
      <c r="P1882">
        <v>21</v>
      </c>
      <c r="Q1882">
        <v>6.5</v>
      </c>
      <c r="R1882" t="s">
        <v>102</v>
      </c>
      <c r="S1882">
        <v>0</v>
      </c>
      <c r="T1882" s="6">
        <f>10^-(14-Q1882)</f>
        <v>3.1622776601683699E-8</v>
      </c>
      <c r="U1882" s="6">
        <v>0</v>
      </c>
      <c r="V1882" s="6">
        <v>0</v>
      </c>
      <c r="W1882" s="6">
        <v>0</v>
      </c>
      <c r="X1882" s="6">
        <v>0</v>
      </c>
      <c r="Y1882" t="s">
        <v>171</v>
      </c>
      <c r="Z1882" s="5">
        <v>-75</v>
      </c>
      <c r="AD1882">
        <f>1/6</f>
        <v>0.16666666666666666</v>
      </c>
      <c r="AE1882">
        <v>550</v>
      </c>
      <c r="AF1882">
        <v>1</v>
      </c>
      <c r="AG1882" s="9">
        <v>1.7000000000000001E-2</v>
      </c>
      <c r="AH1882" s="9">
        <v>1.07</v>
      </c>
      <c r="AI1882" s="9">
        <v>0.65</v>
      </c>
      <c r="AJ1882" s="9">
        <v>1.9E-2</v>
      </c>
      <c r="AK1882" s="9">
        <v>8.9999999999999993E-3</v>
      </c>
      <c r="AL1882" s="9">
        <v>17.3</v>
      </c>
      <c r="AM1882" s="9">
        <v>11.1</v>
      </c>
      <c r="AN1882" s="9">
        <v>2.16</v>
      </c>
      <c r="AO1882" s="9">
        <v>9.2999999999999999E-2</v>
      </c>
      <c r="AP1882"/>
    </row>
    <row r="1883" spans="1:42" x14ac:dyDescent="0.3">
      <c r="A1883" t="s">
        <v>457</v>
      </c>
      <c r="B1883" s="1" t="s">
        <v>1607</v>
      </c>
      <c r="C1883">
        <v>80</v>
      </c>
      <c r="D1883" s="8">
        <v>1.4403999999999999</v>
      </c>
      <c r="E1883">
        <v>32</v>
      </c>
      <c r="F1883">
        <v>14</v>
      </c>
      <c r="G1883" t="s">
        <v>31</v>
      </c>
      <c r="H1883">
        <v>-1.2</v>
      </c>
      <c r="I1883" s="4">
        <v>1</v>
      </c>
      <c r="J1883" s="3">
        <v>0.5</v>
      </c>
      <c r="K1883" s="4">
        <v>1</v>
      </c>
      <c r="L1883" t="s">
        <v>140</v>
      </c>
      <c r="M1883" t="s">
        <v>28</v>
      </c>
      <c r="N1883" s="3">
        <v>0.6</v>
      </c>
      <c r="O1883" s="3">
        <v>0</v>
      </c>
      <c r="P1883">
        <v>21</v>
      </c>
      <c r="Q1883">
        <v>6.5</v>
      </c>
      <c r="R1883" t="s">
        <v>102</v>
      </c>
      <c r="S1883">
        <v>0</v>
      </c>
      <c r="T1883" s="6">
        <f>10^-(14-Q1883)</f>
        <v>3.1622776601683699E-8</v>
      </c>
      <c r="U1883" s="6">
        <v>0</v>
      </c>
      <c r="V1883" s="6">
        <v>0</v>
      </c>
      <c r="W1883" s="6">
        <v>0</v>
      </c>
      <c r="X1883" s="6">
        <v>0</v>
      </c>
      <c r="Y1883" t="s">
        <v>171</v>
      </c>
      <c r="Z1883" s="5">
        <v>-75</v>
      </c>
      <c r="AD1883">
        <f>1/6</f>
        <v>0.16666666666666666</v>
      </c>
      <c r="AE1883">
        <v>450</v>
      </c>
      <c r="AF1883">
        <v>1</v>
      </c>
      <c r="AG1883" s="9">
        <v>1.7000000000000001E-2</v>
      </c>
      <c r="AH1883" s="9">
        <v>1.07</v>
      </c>
      <c r="AI1883" s="9">
        <v>0.65</v>
      </c>
      <c r="AJ1883" s="9">
        <v>1.9E-2</v>
      </c>
      <c r="AK1883" s="9">
        <v>8.9999999999999993E-3</v>
      </c>
      <c r="AL1883" s="9">
        <v>17.3</v>
      </c>
      <c r="AM1883" s="9">
        <v>11.1</v>
      </c>
      <c r="AN1883" s="9">
        <v>2.16</v>
      </c>
      <c r="AO1883" s="9">
        <v>9.2999999999999999E-2</v>
      </c>
      <c r="AP1883"/>
    </row>
    <row r="1884" spans="1:42" x14ac:dyDescent="0.3">
      <c r="A1884" t="s">
        <v>458</v>
      </c>
      <c r="B1884" s="1" t="s">
        <v>1607</v>
      </c>
      <c r="C1884">
        <v>80</v>
      </c>
      <c r="D1884" s="8">
        <v>1.4403999999999999</v>
      </c>
      <c r="E1884">
        <v>32</v>
      </c>
      <c r="F1884">
        <v>14</v>
      </c>
      <c r="G1884" t="s">
        <v>31</v>
      </c>
      <c r="H1884">
        <v>-1.2</v>
      </c>
      <c r="I1884" s="4">
        <v>1</v>
      </c>
      <c r="J1884" s="3">
        <v>0.5</v>
      </c>
      <c r="K1884" s="4">
        <v>1</v>
      </c>
      <c r="L1884" t="s">
        <v>140</v>
      </c>
      <c r="M1884" t="s">
        <v>28</v>
      </c>
      <c r="N1884" s="3">
        <v>0.6</v>
      </c>
      <c r="O1884" s="3">
        <v>0</v>
      </c>
      <c r="P1884">
        <v>21</v>
      </c>
      <c r="Q1884">
        <v>6.5</v>
      </c>
      <c r="R1884" t="s">
        <v>102</v>
      </c>
      <c r="S1884">
        <v>0</v>
      </c>
      <c r="T1884" s="6">
        <f>10^-(14-Q1884)</f>
        <v>3.1622776601683699E-8</v>
      </c>
      <c r="U1884" s="6">
        <v>0</v>
      </c>
      <c r="V1884" s="6">
        <v>0</v>
      </c>
      <c r="W1884" s="6">
        <v>0</v>
      </c>
      <c r="X1884" s="6">
        <v>0</v>
      </c>
      <c r="Y1884" t="s">
        <v>171</v>
      </c>
      <c r="Z1884" s="5">
        <v>-75</v>
      </c>
      <c r="AD1884">
        <f>1/6</f>
        <v>0.16666666666666666</v>
      </c>
      <c r="AE1884">
        <v>150</v>
      </c>
      <c r="AF1884">
        <v>1</v>
      </c>
      <c r="AG1884" s="9">
        <v>1.7000000000000001E-2</v>
      </c>
      <c r="AH1884" s="9">
        <v>1.07</v>
      </c>
      <c r="AI1884" s="9">
        <v>0.65</v>
      </c>
      <c r="AJ1884" s="9">
        <v>1.9E-2</v>
      </c>
      <c r="AK1884" s="9">
        <v>8.9999999999999993E-3</v>
      </c>
      <c r="AL1884" s="9">
        <v>17.3</v>
      </c>
      <c r="AM1884" s="9">
        <v>11.1</v>
      </c>
      <c r="AN1884" s="9">
        <v>2.16</v>
      </c>
      <c r="AO1884" s="9">
        <v>9.2999999999999999E-2</v>
      </c>
      <c r="AP1884"/>
    </row>
    <row r="1885" spans="1:42" x14ac:dyDescent="0.3">
      <c r="A1885" t="s">
        <v>459</v>
      </c>
      <c r="B1885" s="1" t="s">
        <v>1607</v>
      </c>
      <c r="C1885">
        <v>80</v>
      </c>
      <c r="D1885" s="8">
        <v>1.4403999999999999</v>
      </c>
      <c r="E1885">
        <v>32</v>
      </c>
      <c r="F1885">
        <v>14</v>
      </c>
      <c r="G1885" t="s">
        <v>31</v>
      </c>
      <c r="H1885">
        <v>-1.2</v>
      </c>
      <c r="I1885" s="4">
        <v>1</v>
      </c>
      <c r="J1885" s="3">
        <v>0.5</v>
      </c>
      <c r="K1885" s="4">
        <v>1</v>
      </c>
      <c r="L1885" t="s">
        <v>140</v>
      </c>
      <c r="M1885" t="s">
        <v>28</v>
      </c>
      <c r="N1885" s="3">
        <v>0.6</v>
      </c>
      <c r="O1885" s="3">
        <v>0</v>
      </c>
      <c r="P1885">
        <v>21</v>
      </c>
      <c r="Q1885">
        <v>6.5</v>
      </c>
      <c r="R1885" t="s">
        <v>102</v>
      </c>
      <c r="S1885">
        <v>0</v>
      </c>
      <c r="T1885" s="6">
        <f>10^-(14-Q1885)</f>
        <v>3.1622776601683699E-8</v>
      </c>
      <c r="U1885" s="6">
        <v>0</v>
      </c>
      <c r="V1885" s="6">
        <v>0</v>
      </c>
      <c r="W1885" s="6">
        <v>0</v>
      </c>
      <c r="X1885" s="6">
        <v>0</v>
      </c>
      <c r="Y1885" t="s">
        <v>171</v>
      </c>
      <c r="Z1885" s="5">
        <v>-75</v>
      </c>
      <c r="AD1885">
        <f>1/6</f>
        <v>0.16666666666666666</v>
      </c>
      <c r="AE1885">
        <v>50</v>
      </c>
      <c r="AF1885">
        <v>1</v>
      </c>
      <c r="AG1885" s="9">
        <v>1.7000000000000001E-2</v>
      </c>
      <c r="AH1885" s="9">
        <v>1.07</v>
      </c>
      <c r="AI1885" s="9">
        <v>0.65</v>
      </c>
      <c r="AJ1885" s="9">
        <v>1.9E-2</v>
      </c>
      <c r="AK1885" s="9">
        <v>8.9999999999999993E-3</v>
      </c>
      <c r="AL1885" s="9">
        <v>17.3</v>
      </c>
      <c r="AM1885" s="9">
        <v>11.1</v>
      </c>
      <c r="AN1885" s="9">
        <v>2.16</v>
      </c>
      <c r="AO1885" s="9">
        <v>9.2999999999999999E-2</v>
      </c>
      <c r="AP1885"/>
    </row>
    <row r="1886" spans="1:42" x14ac:dyDescent="0.3">
      <c r="A1886" t="s">
        <v>460</v>
      </c>
      <c r="B1886" s="1" t="s">
        <v>1607</v>
      </c>
      <c r="C1886">
        <v>80</v>
      </c>
      <c r="D1886" s="8">
        <v>1.4403999999999999</v>
      </c>
      <c r="E1886">
        <v>32</v>
      </c>
      <c r="F1886">
        <v>10</v>
      </c>
      <c r="G1886" t="s">
        <v>31</v>
      </c>
      <c r="H1886">
        <v>-1.2</v>
      </c>
      <c r="I1886" s="4">
        <v>1</v>
      </c>
      <c r="J1886" s="3">
        <v>0.5</v>
      </c>
      <c r="K1886" s="4">
        <v>1</v>
      </c>
      <c r="L1886" t="s">
        <v>140</v>
      </c>
      <c r="M1886" t="s">
        <v>28</v>
      </c>
      <c r="N1886" s="3">
        <v>0.6</v>
      </c>
      <c r="O1886" s="3">
        <v>0</v>
      </c>
      <c r="P1886">
        <v>21</v>
      </c>
      <c r="Q1886">
        <v>6.5</v>
      </c>
      <c r="R1886" t="s">
        <v>102</v>
      </c>
      <c r="S1886">
        <v>0</v>
      </c>
      <c r="T1886" s="6">
        <f>10^-(14-Q1886)</f>
        <v>3.1622776601683699E-8</v>
      </c>
      <c r="U1886" s="6">
        <v>0</v>
      </c>
      <c r="V1886" s="6">
        <v>0</v>
      </c>
      <c r="W1886" s="6">
        <v>0</v>
      </c>
      <c r="X1886" s="6">
        <v>0</v>
      </c>
      <c r="Y1886" t="s">
        <v>171</v>
      </c>
      <c r="Z1886" s="5">
        <v>-100</v>
      </c>
      <c r="AD1886">
        <f>1/6</f>
        <v>0.16666666666666666</v>
      </c>
      <c r="AE1886">
        <v>750</v>
      </c>
      <c r="AF1886">
        <v>1</v>
      </c>
      <c r="AG1886" s="9">
        <v>1.7000000000000001E-2</v>
      </c>
      <c r="AH1886" s="9">
        <v>1.07</v>
      </c>
      <c r="AI1886" s="9">
        <v>0.65</v>
      </c>
      <c r="AJ1886" s="9">
        <v>1.9E-2</v>
      </c>
      <c r="AK1886" s="9">
        <v>8.9999999999999993E-3</v>
      </c>
      <c r="AL1886" s="9">
        <v>17.3</v>
      </c>
      <c r="AM1886" s="9">
        <v>11.1</v>
      </c>
      <c r="AN1886" s="9">
        <v>2.16</v>
      </c>
      <c r="AO1886" s="9">
        <v>9.2999999999999999E-2</v>
      </c>
      <c r="AP1886"/>
    </row>
    <row r="1887" spans="1:42" x14ac:dyDescent="0.3">
      <c r="A1887" t="s">
        <v>461</v>
      </c>
      <c r="B1887" s="1" t="s">
        <v>1607</v>
      </c>
      <c r="C1887">
        <v>80</v>
      </c>
      <c r="D1887" s="8">
        <v>1.4403999999999999</v>
      </c>
      <c r="E1887">
        <v>32</v>
      </c>
      <c r="F1887">
        <v>10</v>
      </c>
      <c r="G1887" t="s">
        <v>31</v>
      </c>
      <c r="H1887">
        <v>-1.2</v>
      </c>
      <c r="I1887" s="4">
        <v>1</v>
      </c>
      <c r="J1887" s="3">
        <v>0.5</v>
      </c>
      <c r="K1887" s="4">
        <v>1</v>
      </c>
      <c r="L1887" t="s">
        <v>140</v>
      </c>
      <c r="M1887" t="s">
        <v>28</v>
      </c>
      <c r="N1887" s="3">
        <v>0.6</v>
      </c>
      <c r="O1887" s="3">
        <v>0</v>
      </c>
      <c r="P1887">
        <v>21</v>
      </c>
      <c r="Q1887">
        <v>6.5</v>
      </c>
      <c r="R1887" t="s">
        <v>102</v>
      </c>
      <c r="S1887">
        <v>0</v>
      </c>
      <c r="T1887" s="6">
        <f>10^-(14-Q1887)</f>
        <v>3.1622776601683699E-8</v>
      </c>
      <c r="U1887" s="6">
        <v>0</v>
      </c>
      <c r="V1887" s="6">
        <v>0</v>
      </c>
      <c r="W1887" s="6">
        <v>0</v>
      </c>
      <c r="X1887" s="6">
        <v>0</v>
      </c>
      <c r="Y1887" t="s">
        <v>171</v>
      </c>
      <c r="Z1887" s="5">
        <v>-100</v>
      </c>
      <c r="AD1887">
        <f>1/6</f>
        <v>0.16666666666666666</v>
      </c>
      <c r="AE1887">
        <v>675</v>
      </c>
      <c r="AF1887">
        <v>1</v>
      </c>
      <c r="AG1887" s="9">
        <v>1.7000000000000001E-2</v>
      </c>
      <c r="AH1887" s="9">
        <v>1.07</v>
      </c>
      <c r="AI1887" s="9">
        <v>0.65</v>
      </c>
      <c r="AJ1887" s="9">
        <v>1.9E-2</v>
      </c>
      <c r="AK1887" s="9">
        <v>8.9999999999999993E-3</v>
      </c>
      <c r="AL1887" s="9">
        <v>17.3</v>
      </c>
      <c r="AM1887" s="9">
        <v>11.1</v>
      </c>
      <c r="AN1887" s="9">
        <v>2.16</v>
      </c>
      <c r="AO1887" s="9">
        <v>9.2999999999999999E-2</v>
      </c>
      <c r="AP1887"/>
    </row>
    <row r="1888" spans="1:42" x14ac:dyDescent="0.3">
      <c r="A1888" t="s">
        <v>462</v>
      </c>
      <c r="B1888" s="1" t="s">
        <v>1607</v>
      </c>
      <c r="C1888">
        <v>80</v>
      </c>
      <c r="D1888" s="8">
        <v>1.4403999999999999</v>
      </c>
      <c r="E1888">
        <v>32</v>
      </c>
      <c r="F1888">
        <v>10</v>
      </c>
      <c r="G1888" t="s">
        <v>31</v>
      </c>
      <c r="H1888">
        <v>-1.2</v>
      </c>
      <c r="I1888" s="4">
        <v>1</v>
      </c>
      <c r="J1888" s="3">
        <v>0.5</v>
      </c>
      <c r="K1888" s="4">
        <v>1</v>
      </c>
      <c r="L1888" t="s">
        <v>140</v>
      </c>
      <c r="M1888" t="s">
        <v>28</v>
      </c>
      <c r="N1888" s="3">
        <v>0.6</v>
      </c>
      <c r="O1888" s="3">
        <v>0</v>
      </c>
      <c r="P1888">
        <v>21</v>
      </c>
      <c r="Q1888">
        <v>6.5</v>
      </c>
      <c r="R1888" t="s">
        <v>102</v>
      </c>
      <c r="S1888">
        <v>0</v>
      </c>
      <c r="T1888" s="6">
        <f>10^-(14-Q1888)</f>
        <v>3.1622776601683699E-8</v>
      </c>
      <c r="U1888" s="6">
        <v>0</v>
      </c>
      <c r="V1888" s="6">
        <v>0</v>
      </c>
      <c r="W1888" s="6">
        <v>0</v>
      </c>
      <c r="X1888" s="6">
        <v>0</v>
      </c>
      <c r="Y1888" t="s">
        <v>171</v>
      </c>
      <c r="Z1888" s="5">
        <v>-100</v>
      </c>
      <c r="AD1888">
        <f>1/6</f>
        <v>0.16666666666666666</v>
      </c>
      <c r="AE1888">
        <v>600</v>
      </c>
      <c r="AF1888">
        <v>1</v>
      </c>
      <c r="AG1888" s="9">
        <v>1.7000000000000001E-2</v>
      </c>
      <c r="AH1888" s="9">
        <v>1.07</v>
      </c>
      <c r="AI1888" s="9">
        <v>0.65</v>
      </c>
      <c r="AJ1888" s="9">
        <v>1.9E-2</v>
      </c>
      <c r="AK1888" s="9">
        <v>8.9999999999999993E-3</v>
      </c>
      <c r="AL1888" s="9">
        <v>17.3</v>
      </c>
      <c r="AM1888" s="9">
        <v>11.1</v>
      </c>
      <c r="AN1888" s="9">
        <v>2.16</v>
      </c>
      <c r="AO1888" s="9">
        <v>9.2999999999999999E-2</v>
      </c>
      <c r="AP1888"/>
    </row>
    <row r="1889" spans="1:42" x14ac:dyDescent="0.3">
      <c r="A1889" t="s">
        <v>463</v>
      </c>
      <c r="B1889" s="1" t="s">
        <v>1607</v>
      </c>
      <c r="C1889">
        <v>80</v>
      </c>
      <c r="D1889" s="8">
        <v>1.4403999999999999</v>
      </c>
      <c r="E1889">
        <v>32</v>
      </c>
      <c r="F1889">
        <v>10</v>
      </c>
      <c r="G1889" t="s">
        <v>31</v>
      </c>
      <c r="H1889">
        <v>-1.2</v>
      </c>
      <c r="I1889" s="4">
        <v>1</v>
      </c>
      <c r="J1889" s="3">
        <v>0.5</v>
      </c>
      <c r="K1889" s="4">
        <v>1</v>
      </c>
      <c r="L1889" t="s">
        <v>140</v>
      </c>
      <c r="M1889" t="s">
        <v>28</v>
      </c>
      <c r="N1889" s="3">
        <v>0.6</v>
      </c>
      <c r="O1889" s="3">
        <v>0</v>
      </c>
      <c r="P1889">
        <v>21</v>
      </c>
      <c r="Q1889">
        <v>6.5</v>
      </c>
      <c r="R1889" t="s">
        <v>102</v>
      </c>
      <c r="S1889">
        <v>0</v>
      </c>
      <c r="T1889" s="6">
        <f>10^-(14-Q1889)</f>
        <v>3.1622776601683699E-8</v>
      </c>
      <c r="U1889" s="6">
        <v>0</v>
      </c>
      <c r="V1889" s="6">
        <v>0</v>
      </c>
      <c r="W1889" s="6">
        <v>0</v>
      </c>
      <c r="X1889" s="6">
        <v>0</v>
      </c>
      <c r="Y1889" t="s">
        <v>171</v>
      </c>
      <c r="Z1889" s="5">
        <v>-100</v>
      </c>
      <c r="AD1889">
        <f>1/6</f>
        <v>0.16666666666666666</v>
      </c>
      <c r="AE1889">
        <v>550</v>
      </c>
      <c r="AF1889">
        <v>1</v>
      </c>
      <c r="AG1889" s="9">
        <v>1.7000000000000001E-2</v>
      </c>
      <c r="AH1889" s="9">
        <v>1.07</v>
      </c>
      <c r="AI1889" s="9">
        <v>0.65</v>
      </c>
      <c r="AJ1889" s="9">
        <v>1.9E-2</v>
      </c>
      <c r="AK1889" s="9">
        <v>8.9999999999999993E-3</v>
      </c>
      <c r="AL1889" s="9">
        <v>17.3</v>
      </c>
      <c r="AM1889" s="9">
        <v>11.1</v>
      </c>
      <c r="AN1889" s="9">
        <v>2.16</v>
      </c>
      <c r="AO1889" s="9">
        <v>9.2999999999999999E-2</v>
      </c>
      <c r="AP1889"/>
    </row>
    <row r="1890" spans="1:42" x14ac:dyDescent="0.3">
      <c r="A1890" t="s">
        <v>464</v>
      </c>
      <c r="B1890" s="1" t="s">
        <v>1607</v>
      </c>
      <c r="C1890">
        <v>80</v>
      </c>
      <c r="D1890" s="8">
        <v>1.4403999999999999</v>
      </c>
      <c r="E1890">
        <v>32</v>
      </c>
      <c r="F1890">
        <v>10</v>
      </c>
      <c r="G1890" t="s">
        <v>31</v>
      </c>
      <c r="H1890">
        <v>-1.2</v>
      </c>
      <c r="I1890" s="4">
        <v>1</v>
      </c>
      <c r="J1890" s="3">
        <v>0.5</v>
      </c>
      <c r="K1890" s="4">
        <v>1</v>
      </c>
      <c r="L1890" t="s">
        <v>140</v>
      </c>
      <c r="M1890" t="s">
        <v>28</v>
      </c>
      <c r="N1890" s="3">
        <v>0.6</v>
      </c>
      <c r="O1890" s="3">
        <v>0</v>
      </c>
      <c r="P1890">
        <v>21</v>
      </c>
      <c r="Q1890">
        <v>6.5</v>
      </c>
      <c r="R1890" t="s">
        <v>102</v>
      </c>
      <c r="S1890">
        <v>0</v>
      </c>
      <c r="T1890" s="6">
        <f>10^-(14-Q1890)</f>
        <v>3.1622776601683699E-8</v>
      </c>
      <c r="U1890" s="6">
        <v>0</v>
      </c>
      <c r="V1890" s="6">
        <v>0</v>
      </c>
      <c r="W1890" s="6">
        <v>0</v>
      </c>
      <c r="X1890" s="6">
        <v>0</v>
      </c>
      <c r="Y1890" t="s">
        <v>171</v>
      </c>
      <c r="Z1890" s="5">
        <v>-100</v>
      </c>
      <c r="AD1890">
        <f>1/6</f>
        <v>0.16666666666666666</v>
      </c>
      <c r="AE1890">
        <v>450</v>
      </c>
      <c r="AF1890">
        <v>1</v>
      </c>
      <c r="AG1890" s="9">
        <v>1.7000000000000001E-2</v>
      </c>
      <c r="AH1890" s="9">
        <v>1.07</v>
      </c>
      <c r="AI1890" s="9">
        <v>0.65</v>
      </c>
      <c r="AJ1890" s="9">
        <v>1.9E-2</v>
      </c>
      <c r="AK1890" s="9">
        <v>8.9999999999999993E-3</v>
      </c>
      <c r="AL1890" s="9">
        <v>17.3</v>
      </c>
      <c r="AM1890" s="9">
        <v>11.1</v>
      </c>
      <c r="AN1890" s="9">
        <v>2.16</v>
      </c>
      <c r="AO1890" s="9">
        <v>9.2999999999999999E-2</v>
      </c>
      <c r="AP1890"/>
    </row>
    <row r="1891" spans="1:42" x14ac:dyDescent="0.3">
      <c r="A1891" t="s">
        <v>465</v>
      </c>
      <c r="B1891" s="1" t="s">
        <v>1607</v>
      </c>
      <c r="C1891">
        <v>80</v>
      </c>
      <c r="D1891" s="8">
        <v>1.4403999999999999</v>
      </c>
      <c r="E1891">
        <v>32</v>
      </c>
      <c r="F1891">
        <v>14</v>
      </c>
      <c r="G1891" t="s">
        <v>31</v>
      </c>
      <c r="H1891">
        <v>-1.2</v>
      </c>
      <c r="I1891" s="4">
        <v>1</v>
      </c>
      <c r="J1891" s="3">
        <v>0.5</v>
      </c>
      <c r="K1891" s="4">
        <v>1</v>
      </c>
      <c r="L1891" t="s">
        <v>140</v>
      </c>
      <c r="M1891" t="s">
        <v>28</v>
      </c>
      <c r="N1891" s="3">
        <v>0.6</v>
      </c>
      <c r="O1891" s="3">
        <v>0</v>
      </c>
      <c r="P1891">
        <v>21</v>
      </c>
      <c r="Q1891">
        <v>6.5</v>
      </c>
      <c r="R1891" t="s">
        <v>102</v>
      </c>
      <c r="S1891">
        <v>0</v>
      </c>
      <c r="T1891" s="6">
        <f>10^-(14-Q1891)</f>
        <v>3.1622776601683699E-8</v>
      </c>
      <c r="U1891" s="6">
        <v>0</v>
      </c>
      <c r="V1891" s="6">
        <v>0</v>
      </c>
      <c r="W1891" s="6">
        <v>0</v>
      </c>
      <c r="X1891" s="6">
        <v>0</v>
      </c>
      <c r="Y1891" t="s">
        <v>171</v>
      </c>
      <c r="AD1891">
        <f>1/6</f>
        <v>0.16666666666666666</v>
      </c>
      <c r="AE1891">
        <v>500</v>
      </c>
      <c r="AF1891">
        <v>1</v>
      </c>
      <c r="AG1891" s="9">
        <v>1.7000000000000001E-2</v>
      </c>
      <c r="AH1891" s="9">
        <v>1.07</v>
      </c>
      <c r="AI1891" s="9">
        <v>0.65</v>
      </c>
      <c r="AJ1891" s="9">
        <v>1.9E-2</v>
      </c>
      <c r="AK1891" s="9">
        <v>8.9999999999999993E-3</v>
      </c>
      <c r="AL1891" s="9">
        <v>17.3</v>
      </c>
      <c r="AM1891" s="9">
        <v>11.1</v>
      </c>
      <c r="AN1891" s="9">
        <v>2.16</v>
      </c>
      <c r="AO1891" s="9">
        <v>9.2999999999999999E-2</v>
      </c>
      <c r="AP1891"/>
    </row>
    <row r="1892" spans="1:42" x14ac:dyDescent="0.3">
      <c r="A1892" t="s">
        <v>466</v>
      </c>
      <c r="B1892" s="1" t="s">
        <v>1607</v>
      </c>
      <c r="C1892">
        <v>80</v>
      </c>
      <c r="D1892" s="8">
        <v>1.4403999999999999</v>
      </c>
      <c r="E1892">
        <v>32</v>
      </c>
      <c r="F1892">
        <v>14</v>
      </c>
      <c r="G1892" t="s">
        <v>31</v>
      </c>
      <c r="H1892">
        <v>-1.2</v>
      </c>
      <c r="I1892" s="4">
        <v>1</v>
      </c>
      <c r="J1892" s="3">
        <v>0.5</v>
      </c>
      <c r="K1892" s="4">
        <v>1</v>
      </c>
      <c r="L1892" t="s">
        <v>140</v>
      </c>
      <c r="M1892" t="s">
        <v>28</v>
      </c>
      <c r="N1892" s="3">
        <v>0.6</v>
      </c>
      <c r="O1892" s="3">
        <v>0</v>
      </c>
      <c r="P1892">
        <v>21</v>
      </c>
      <c r="Q1892">
        <v>6.5</v>
      </c>
      <c r="R1892" t="s">
        <v>102</v>
      </c>
      <c r="S1892">
        <v>0</v>
      </c>
      <c r="T1892" s="6">
        <f>10^-(14-Q1892)</f>
        <v>3.1622776601683699E-8</v>
      </c>
      <c r="U1892" s="6">
        <v>0</v>
      </c>
      <c r="V1892" s="6">
        <v>0</v>
      </c>
      <c r="W1892" s="6">
        <v>0</v>
      </c>
      <c r="X1892" s="6">
        <v>0</v>
      </c>
      <c r="Y1892" t="s">
        <v>171</v>
      </c>
      <c r="AD1892">
        <f>1/6</f>
        <v>0.16666666666666666</v>
      </c>
      <c r="AE1892">
        <v>450</v>
      </c>
      <c r="AF1892">
        <v>1</v>
      </c>
      <c r="AG1892" s="9">
        <v>1.7000000000000001E-2</v>
      </c>
      <c r="AH1892" s="9">
        <v>1.07</v>
      </c>
      <c r="AI1892" s="9">
        <v>0.65</v>
      </c>
      <c r="AJ1892" s="9">
        <v>1.9E-2</v>
      </c>
      <c r="AK1892" s="9">
        <v>8.9999999999999993E-3</v>
      </c>
      <c r="AL1892" s="9">
        <v>17.3</v>
      </c>
      <c r="AM1892" s="9">
        <v>11.1</v>
      </c>
      <c r="AN1892" s="9">
        <v>2.16</v>
      </c>
      <c r="AO1892" s="9">
        <v>9.2999999999999999E-2</v>
      </c>
      <c r="AP1892"/>
    </row>
    <row r="1893" spans="1:42" x14ac:dyDescent="0.3">
      <c r="A1893" t="s">
        <v>467</v>
      </c>
      <c r="B1893" s="1" t="s">
        <v>1607</v>
      </c>
      <c r="C1893">
        <v>80</v>
      </c>
      <c r="D1893" s="8">
        <v>1.4403999999999999</v>
      </c>
      <c r="E1893">
        <v>32</v>
      </c>
      <c r="F1893">
        <v>14</v>
      </c>
      <c r="G1893" t="s">
        <v>31</v>
      </c>
      <c r="H1893">
        <v>-1.2</v>
      </c>
      <c r="I1893" s="4">
        <v>1</v>
      </c>
      <c r="J1893" s="3">
        <v>0.5</v>
      </c>
      <c r="K1893" s="4">
        <v>1</v>
      </c>
      <c r="L1893" t="s">
        <v>140</v>
      </c>
      <c r="M1893" t="s">
        <v>28</v>
      </c>
      <c r="N1893" s="3">
        <v>0.6</v>
      </c>
      <c r="O1893" s="3">
        <v>0</v>
      </c>
      <c r="P1893">
        <v>21</v>
      </c>
      <c r="Q1893">
        <v>6.5</v>
      </c>
      <c r="R1893" t="s">
        <v>102</v>
      </c>
      <c r="S1893">
        <v>0</v>
      </c>
      <c r="T1893" s="6">
        <f>10^-(14-Q1893)</f>
        <v>3.1622776601683699E-8</v>
      </c>
      <c r="U1893" s="6">
        <v>0</v>
      </c>
      <c r="V1893" s="6">
        <v>0</v>
      </c>
      <c r="W1893" s="6">
        <v>0</v>
      </c>
      <c r="X1893" s="6">
        <v>0</v>
      </c>
      <c r="Y1893" t="s">
        <v>171</v>
      </c>
      <c r="AD1893">
        <f>1/6</f>
        <v>0.16666666666666666</v>
      </c>
      <c r="AE1893">
        <v>400</v>
      </c>
      <c r="AF1893">
        <v>1</v>
      </c>
      <c r="AG1893" s="9">
        <v>1.7000000000000001E-2</v>
      </c>
      <c r="AH1893" s="9">
        <v>1.07</v>
      </c>
      <c r="AI1893" s="9">
        <v>0.65</v>
      </c>
      <c r="AJ1893" s="9">
        <v>1.9E-2</v>
      </c>
      <c r="AK1893" s="9">
        <v>8.9999999999999993E-3</v>
      </c>
      <c r="AL1893" s="9">
        <v>17.3</v>
      </c>
      <c r="AM1893" s="9">
        <v>11.1</v>
      </c>
      <c r="AN1893" s="9">
        <v>2.16</v>
      </c>
      <c r="AO1893" s="9">
        <v>9.2999999999999999E-2</v>
      </c>
      <c r="AP1893"/>
    </row>
    <row r="1894" spans="1:42" x14ac:dyDescent="0.3">
      <c r="A1894" t="s">
        <v>468</v>
      </c>
      <c r="B1894" s="1" t="s">
        <v>1607</v>
      </c>
      <c r="C1894">
        <v>80</v>
      </c>
      <c r="D1894" s="8">
        <v>1.4403999999999999</v>
      </c>
      <c r="E1894">
        <v>32</v>
      </c>
      <c r="F1894">
        <v>14</v>
      </c>
      <c r="G1894" t="s">
        <v>31</v>
      </c>
      <c r="H1894">
        <v>-1.2</v>
      </c>
      <c r="I1894" s="4">
        <v>1</v>
      </c>
      <c r="J1894" s="3">
        <v>0.5</v>
      </c>
      <c r="K1894" s="4">
        <v>1</v>
      </c>
      <c r="L1894" t="s">
        <v>140</v>
      </c>
      <c r="M1894" t="s">
        <v>28</v>
      </c>
      <c r="N1894" s="3">
        <v>0.6</v>
      </c>
      <c r="O1894" s="3">
        <v>0</v>
      </c>
      <c r="P1894">
        <v>21</v>
      </c>
      <c r="Q1894">
        <v>6.5</v>
      </c>
      <c r="R1894" t="s">
        <v>102</v>
      </c>
      <c r="S1894">
        <v>0</v>
      </c>
      <c r="T1894" s="6">
        <f>10^-(14-Q1894)</f>
        <v>3.1622776601683699E-8</v>
      </c>
      <c r="U1894" s="6">
        <v>0</v>
      </c>
      <c r="V1894" s="6">
        <v>0</v>
      </c>
      <c r="W1894" s="6">
        <v>0</v>
      </c>
      <c r="X1894" s="6">
        <v>0</v>
      </c>
      <c r="Y1894" t="s">
        <v>171</v>
      </c>
      <c r="AD1894">
        <f>1/6</f>
        <v>0.16666666666666666</v>
      </c>
      <c r="AE1894">
        <v>250</v>
      </c>
      <c r="AF1894">
        <v>1</v>
      </c>
      <c r="AG1894" s="9">
        <v>1.7000000000000001E-2</v>
      </c>
      <c r="AH1894" s="9">
        <v>1.07</v>
      </c>
      <c r="AI1894" s="9">
        <v>0.65</v>
      </c>
      <c r="AJ1894" s="9">
        <v>1.9E-2</v>
      </c>
      <c r="AK1894" s="9">
        <v>8.9999999999999993E-3</v>
      </c>
      <c r="AL1894" s="9">
        <v>17.3</v>
      </c>
      <c r="AM1894" s="9">
        <v>11.1</v>
      </c>
      <c r="AN1894" s="9">
        <v>2.16</v>
      </c>
      <c r="AO1894" s="9">
        <v>9.2999999999999999E-2</v>
      </c>
      <c r="AP1894"/>
    </row>
    <row r="1895" spans="1:42" x14ac:dyDescent="0.3">
      <c r="A1895" t="s">
        <v>469</v>
      </c>
      <c r="B1895" s="1" t="s">
        <v>1607</v>
      </c>
      <c r="C1895">
        <v>80</v>
      </c>
      <c r="D1895" s="8">
        <v>1.4403999999999999</v>
      </c>
      <c r="E1895">
        <v>32</v>
      </c>
      <c r="F1895">
        <v>14</v>
      </c>
      <c r="G1895" t="s">
        <v>31</v>
      </c>
      <c r="H1895">
        <v>-1.2</v>
      </c>
      <c r="I1895" s="4">
        <v>1</v>
      </c>
      <c r="J1895" s="3">
        <v>0.5</v>
      </c>
      <c r="K1895" s="4">
        <v>1</v>
      </c>
      <c r="L1895" t="s">
        <v>140</v>
      </c>
      <c r="M1895" t="s">
        <v>28</v>
      </c>
      <c r="N1895" s="3">
        <v>0.6</v>
      </c>
      <c r="O1895" s="3">
        <v>0</v>
      </c>
      <c r="P1895">
        <v>21</v>
      </c>
      <c r="Q1895">
        <v>6.5</v>
      </c>
      <c r="R1895" t="s">
        <v>102</v>
      </c>
      <c r="S1895">
        <v>0</v>
      </c>
      <c r="T1895" s="6">
        <f>10^-(14-Q1895)</f>
        <v>3.1622776601683699E-8</v>
      </c>
      <c r="U1895" s="6">
        <v>0</v>
      </c>
      <c r="V1895" s="6">
        <v>0</v>
      </c>
      <c r="W1895" s="6">
        <v>0</v>
      </c>
      <c r="X1895" s="6">
        <v>0</v>
      </c>
      <c r="Y1895" t="s">
        <v>171</v>
      </c>
      <c r="AD1895">
        <f>1/6</f>
        <v>0.16666666666666666</v>
      </c>
      <c r="AE1895">
        <v>150</v>
      </c>
      <c r="AF1895">
        <v>1</v>
      </c>
      <c r="AG1895" s="9">
        <v>1.7000000000000001E-2</v>
      </c>
      <c r="AH1895" s="9">
        <v>1.07</v>
      </c>
      <c r="AI1895" s="9">
        <v>0.65</v>
      </c>
      <c r="AJ1895" s="9">
        <v>1.9E-2</v>
      </c>
      <c r="AK1895" s="9">
        <v>8.9999999999999993E-3</v>
      </c>
      <c r="AL1895" s="9">
        <v>17.3</v>
      </c>
      <c r="AM1895" s="9">
        <v>11.1</v>
      </c>
      <c r="AN1895" s="9">
        <v>2.16</v>
      </c>
      <c r="AO1895" s="9">
        <v>9.2999999999999999E-2</v>
      </c>
      <c r="AP1895"/>
    </row>
    <row r="1896" spans="1:42" x14ac:dyDescent="0.3">
      <c r="A1896" t="s">
        <v>470</v>
      </c>
      <c r="B1896" s="1" t="s">
        <v>1607</v>
      </c>
      <c r="C1896">
        <v>80</v>
      </c>
      <c r="D1896" s="8">
        <v>1.4403999999999999</v>
      </c>
      <c r="E1896">
        <v>32</v>
      </c>
      <c r="F1896">
        <v>22</v>
      </c>
      <c r="G1896" t="s">
        <v>31</v>
      </c>
      <c r="H1896">
        <v>-1.2</v>
      </c>
      <c r="I1896" s="4">
        <v>1</v>
      </c>
      <c r="J1896" s="3">
        <v>0.5</v>
      </c>
      <c r="K1896" s="4">
        <v>1</v>
      </c>
      <c r="L1896" t="s">
        <v>140</v>
      </c>
      <c r="M1896" t="s">
        <v>28</v>
      </c>
      <c r="N1896" s="3">
        <v>0.6</v>
      </c>
      <c r="O1896" s="3">
        <v>0</v>
      </c>
      <c r="P1896">
        <v>21</v>
      </c>
      <c r="Q1896">
        <v>6.5</v>
      </c>
      <c r="R1896" t="s">
        <v>102</v>
      </c>
      <c r="S1896">
        <v>0</v>
      </c>
      <c r="T1896" s="6">
        <f>10^-(14-Q1896)</f>
        <v>3.1622776601683699E-8</v>
      </c>
      <c r="U1896" s="6">
        <v>0</v>
      </c>
      <c r="V1896" s="6">
        <v>0</v>
      </c>
      <c r="W1896" s="6">
        <v>0</v>
      </c>
      <c r="X1896" s="6">
        <v>0</v>
      </c>
      <c r="Y1896" t="s">
        <v>171</v>
      </c>
      <c r="AD1896">
        <f>1/6</f>
        <v>0.16666666666666666</v>
      </c>
      <c r="AE1896">
        <v>300</v>
      </c>
      <c r="AF1896">
        <v>1</v>
      </c>
      <c r="AG1896" s="9">
        <v>1.7000000000000001E-2</v>
      </c>
      <c r="AH1896" s="9">
        <v>1.07</v>
      </c>
      <c r="AI1896" s="9">
        <v>0.65</v>
      </c>
      <c r="AJ1896" s="9">
        <v>1.9E-2</v>
      </c>
      <c r="AK1896" s="9">
        <v>8.9999999999999993E-3</v>
      </c>
      <c r="AL1896" s="9">
        <v>17.3</v>
      </c>
      <c r="AM1896" s="9">
        <v>11.1</v>
      </c>
      <c r="AN1896" s="9">
        <v>2.16</v>
      </c>
      <c r="AO1896" s="9">
        <v>9.2999999999999999E-2</v>
      </c>
      <c r="AP1896"/>
    </row>
    <row r="1897" spans="1:42" x14ac:dyDescent="0.3">
      <c r="A1897" t="s">
        <v>471</v>
      </c>
      <c r="B1897" s="1" t="s">
        <v>1607</v>
      </c>
      <c r="C1897">
        <v>80</v>
      </c>
      <c r="D1897" s="8">
        <v>1.4403999999999999</v>
      </c>
      <c r="E1897">
        <v>32</v>
      </c>
      <c r="F1897">
        <v>22</v>
      </c>
      <c r="G1897" t="s">
        <v>31</v>
      </c>
      <c r="H1897">
        <v>-1.2</v>
      </c>
      <c r="I1897" s="4">
        <v>1</v>
      </c>
      <c r="J1897" s="3">
        <v>0.5</v>
      </c>
      <c r="K1897" s="4">
        <v>1</v>
      </c>
      <c r="L1897" t="s">
        <v>140</v>
      </c>
      <c r="M1897" t="s">
        <v>28</v>
      </c>
      <c r="N1897" s="3">
        <v>0.6</v>
      </c>
      <c r="O1897" s="3">
        <v>0</v>
      </c>
      <c r="P1897">
        <v>21</v>
      </c>
      <c r="Q1897">
        <v>6.5</v>
      </c>
      <c r="R1897" t="s">
        <v>102</v>
      </c>
      <c r="S1897">
        <v>0</v>
      </c>
      <c r="T1897" s="6">
        <f>10^-(14-Q1897)</f>
        <v>3.1622776601683699E-8</v>
      </c>
      <c r="U1897" s="6">
        <v>0</v>
      </c>
      <c r="V1897" s="6">
        <v>0</v>
      </c>
      <c r="W1897" s="6">
        <v>0</v>
      </c>
      <c r="X1897" s="6">
        <v>0</v>
      </c>
      <c r="Y1897" t="s">
        <v>171</v>
      </c>
      <c r="AD1897">
        <f>1/6</f>
        <v>0.16666666666666666</v>
      </c>
      <c r="AE1897">
        <v>150</v>
      </c>
      <c r="AF1897">
        <v>1</v>
      </c>
      <c r="AG1897" s="9">
        <v>1.7000000000000001E-2</v>
      </c>
      <c r="AH1897" s="9">
        <v>1.07</v>
      </c>
      <c r="AI1897" s="9">
        <v>0.65</v>
      </c>
      <c r="AJ1897" s="9">
        <v>1.9E-2</v>
      </c>
      <c r="AK1897" s="9">
        <v>8.9999999999999993E-3</v>
      </c>
      <c r="AL1897" s="9">
        <v>17.3</v>
      </c>
      <c r="AM1897" s="9">
        <v>11.1</v>
      </c>
      <c r="AN1897" s="9">
        <v>2.16</v>
      </c>
      <c r="AO1897" s="9">
        <v>9.2999999999999999E-2</v>
      </c>
      <c r="AP1897"/>
    </row>
    <row r="1898" spans="1:42" x14ac:dyDescent="0.3">
      <c r="A1898" t="s">
        <v>472</v>
      </c>
      <c r="B1898" s="1" t="s">
        <v>1607</v>
      </c>
      <c r="C1898">
        <v>80</v>
      </c>
      <c r="D1898" s="8">
        <v>1.4403999999999999</v>
      </c>
      <c r="E1898">
        <v>32</v>
      </c>
      <c r="F1898">
        <v>22</v>
      </c>
      <c r="G1898" t="s">
        <v>31</v>
      </c>
      <c r="H1898">
        <v>-1.2</v>
      </c>
      <c r="I1898" s="4">
        <v>1</v>
      </c>
      <c r="J1898" s="3">
        <v>0.5</v>
      </c>
      <c r="K1898" s="4">
        <v>1</v>
      </c>
      <c r="L1898" t="s">
        <v>140</v>
      </c>
      <c r="M1898" t="s">
        <v>28</v>
      </c>
      <c r="N1898" s="3">
        <v>0.6</v>
      </c>
      <c r="O1898" s="3">
        <v>0</v>
      </c>
      <c r="P1898">
        <v>21</v>
      </c>
      <c r="Q1898">
        <v>6.5</v>
      </c>
      <c r="R1898" t="s">
        <v>102</v>
      </c>
      <c r="S1898">
        <v>0</v>
      </c>
      <c r="T1898" s="6">
        <f>10^-(14-Q1898)</f>
        <v>3.1622776601683699E-8</v>
      </c>
      <c r="U1898" s="6">
        <v>0</v>
      </c>
      <c r="V1898" s="6">
        <v>0</v>
      </c>
      <c r="W1898" s="6">
        <v>0</v>
      </c>
      <c r="X1898" s="6">
        <v>0</v>
      </c>
      <c r="Y1898" t="s">
        <v>171</v>
      </c>
      <c r="AD1898">
        <f>1/6</f>
        <v>0.16666666666666666</v>
      </c>
      <c r="AE1898">
        <v>125</v>
      </c>
      <c r="AF1898">
        <v>1</v>
      </c>
      <c r="AG1898" s="9">
        <v>1.7000000000000001E-2</v>
      </c>
      <c r="AH1898" s="9">
        <v>1.07</v>
      </c>
      <c r="AI1898" s="9">
        <v>0.65</v>
      </c>
      <c r="AJ1898" s="9">
        <v>1.9E-2</v>
      </c>
      <c r="AK1898" s="9">
        <v>8.9999999999999993E-3</v>
      </c>
      <c r="AL1898" s="9">
        <v>17.3</v>
      </c>
      <c r="AM1898" s="9">
        <v>11.1</v>
      </c>
      <c r="AN1898" s="9">
        <v>2.16</v>
      </c>
      <c r="AO1898" s="9">
        <v>9.2999999999999999E-2</v>
      </c>
      <c r="AP1898"/>
    </row>
    <row r="1899" spans="1:42" x14ac:dyDescent="0.3">
      <c r="A1899" t="s">
        <v>473</v>
      </c>
      <c r="B1899" s="1" t="s">
        <v>1607</v>
      </c>
      <c r="C1899">
        <v>80</v>
      </c>
      <c r="D1899" s="8">
        <v>1.4403999999999999</v>
      </c>
      <c r="E1899">
        <v>32</v>
      </c>
      <c r="F1899">
        <v>22</v>
      </c>
      <c r="G1899" t="s">
        <v>31</v>
      </c>
      <c r="H1899">
        <v>-1.2</v>
      </c>
      <c r="I1899" s="4">
        <v>1</v>
      </c>
      <c r="J1899" s="3">
        <v>0.5</v>
      </c>
      <c r="K1899" s="4">
        <v>1</v>
      </c>
      <c r="L1899" t="s">
        <v>140</v>
      </c>
      <c r="M1899" t="s">
        <v>28</v>
      </c>
      <c r="N1899" s="3">
        <v>0.6</v>
      </c>
      <c r="O1899" s="3">
        <v>0</v>
      </c>
      <c r="P1899">
        <v>21</v>
      </c>
      <c r="Q1899">
        <v>6.5</v>
      </c>
      <c r="R1899" t="s">
        <v>102</v>
      </c>
      <c r="S1899">
        <v>0</v>
      </c>
      <c r="T1899" s="6">
        <f>10^-(14-Q1899)</f>
        <v>3.1622776601683699E-8</v>
      </c>
      <c r="U1899" s="6">
        <v>0</v>
      </c>
      <c r="V1899" s="6">
        <v>0</v>
      </c>
      <c r="W1899" s="6">
        <v>0</v>
      </c>
      <c r="X1899" s="6">
        <v>0</v>
      </c>
      <c r="Y1899" t="s">
        <v>171</v>
      </c>
      <c r="AD1899">
        <f>1/6</f>
        <v>0.16666666666666666</v>
      </c>
      <c r="AE1899">
        <v>100</v>
      </c>
      <c r="AF1899">
        <v>1</v>
      </c>
      <c r="AG1899" s="9">
        <v>1.7000000000000001E-2</v>
      </c>
      <c r="AH1899" s="9">
        <v>1.07</v>
      </c>
      <c r="AI1899" s="9">
        <v>0.65</v>
      </c>
      <c r="AJ1899" s="9">
        <v>1.9E-2</v>
      </c>
      <c r="AK1899" s="9">
        <v>8.9999999999999993E-3</v>
      </c>
      <c r="AL1899" s="9">
        <v>17.3</v>
      </c>
      <c r="AM1899" s="9">
        <v>11.1</v>
      </c>
      <c r="AN1899" s="9">
        <v>2.16</v>
      </c>
      <c r="AO1899" s="9">
        <v>9.2999999999999999E-2</v>
      </c>
      <c r="AP1899"/>
    </row>
    <row r="1900" spans="1:42" x14ac:dyDescent="0.3">
      <c r="A1900" t="s">
        <v>474</v>
      </c>
      <c r="B1900" s="1" t="s">
        <v>1607</v>
      </c>
      <c r="C1900">
        <v>80</v>
      </c>
      <c r="D1900" s="8">
        <v>1.4403999999999999</v>
      </c>
      <c r="E1900">
        <v>32</v>
      </c>
      <c r="F1900">
        <v>22</v>
      </c>
      <c r="G1900" t="s">
        <v>31</v>
      </c>
      <c r="H1900">
        <v>-1.2</v>
      </c>
      <c r="I1900" s="4">
        <v>1</v>
      </c>
      <c r="J1900" s="3">
        <v>0.5</v>
      </c>
      <c r="K1900" s="4">
        <v>1</v>
      </c>
      <c r="L1900" t="s">
        <v>140</v>
      </c>
      <c r="M1900" t="s">
        <v>28</v>
      </c>
      <c r="N1900" s="3">
        <v>0.6</v>
      </c>
      <c r="O1900" s="3">
        <v>0</v>
      </c>
      <c r="P1900">
        <v>21</v>
      </c>
      <c r="Q1900">
        <v>6.5</v>
      </c>
      <c r="R1900" t="s">
        <v>102</v>
      </c>
      <c r="S1900">
        <v>0</v>
      </c>
      <c r="T1900" s="6">
        <f>10^-(14-Q1900)</f>
        <v>3.1622776601683699E-8</v>
      </c>
      <c r="U1900" s="6">
        <v>0</v>
      </c>
      <c r="V1900" s="6">
        <v>0</v>
      </c>
      <c r="W1900" s="6">
        <v>0</v>
      </c>
      <c r="X1900" s="6">
        <v>0</v>
      </c>
      <c r="Y1900" t="s">
        <v>171</v>
      </c>
      <c r="AD1900">
        <f>1/6</f>
        <v>0.16666666666666666</v>
      </c>
      <c r="AE1900">
        <v>50</v>
      </c>
      <c r="AF1900">
        <v>1</v>
      </c>
      <c r="AG1900" s="9">
        <v>1.7000000000000001E-2</v>
      </c>
      <c r="AH1900" s="9">
        <v>1.07</v>
      </c>
      <c r="AI1900" s="9">
        <v>0.65</v>
      </c>
      <c r="AJ1900" s="9">
        <v>1.9E-2</v>
      </c>
      <c r="AK1900" s="9">
        <v>8.9999999999999993E-3</v>
      </c>
      <c r="AL1900" s="9">
        <v>17.3</v>
      </c>
      <c r="AM1900" s="9">
        <v>11.1</v>
      </c>
      <c r="AN1900" s="9">
        <v>2.16</v>
      </c>
      <c r="AO1900" s="9">
        <v>9.2999999999999999E-2</v>
      </c>
      <c r="AP1900"/>
    </row>
    <row r="1901" spans="1:42" x14ac:dyDescent="0.3">
      <c r="A1901" t="s">
        <v>475</v>
      </c>
      <c r="B1901" s="1" t="s">
        <v>1607</v>
      </c>
      <c r="C1901">
        <v>80</v>
      </c>
      <c r="D1901" s="8">
        <v>1.4403999999999999</v>
      </c>
      <c r="E1901">
        <v>32</v>
      </c>
      <c r="F1901">
        <v>12</v>
      </c>
      <c r="H1901" t="s">
        <v>987</v>
      </c>
      <c r="K1901" s="4">
        <v>1</v>
      </c>
      <c r="L1901" t="s">
        <v>140</v>
      </c>
      <c r="M1901" t="s">
        <v>28</v>
      </c>
      <c r="N1901" s="3">
        <v>0.6</v>
      </c>
      <c r="O1901" s="3">
        <v>0</v>
      </c>
      <c r="P1901">
        <v>21</v>
      </c>
      <c r="Q1901">
        <v>6.5</v>
      </c>
      <c r="R1901" t="s">
        <v>102</v>
      </c>
      <c r="S1901">
        <v>0</v>
      </c>
      <c r="T1901" s="6">
        <f>10^-(14-Q1901)</f>
        <v>3.1622776601683699E-8</v>
      </c>
      <c r="U1901" s="6">
        <v>0</v>
      </c>
      <c r="V1901" s="6">
        <v>0</v>
      </c>
      <c r="W1901" s="6">
        <v>0</v>
      </c>
      <c r="X1901" s="6">
        <v>0</v>
      </c>
      <c r="Y1901" t="s">
        <v>171</v>
      </c>
      <c r="Z1901" s="5">
        <v>-75</v>
      </c>
      <c r="AD1901">
        <f>1/6</f>
        <v>0.16666666666666666</v>
      </c>
      <c r="AE1901">
        <v>650</v>
      </c>
      <c r="AF1901">
        <v>1</v>
      </c>
      <c r="AG1901" s="9">
        <v>1.7000000000000001E-2</v>
      </c>
      <c r="AH1901" s="9">
        <v>1.07</v>
      </c>
      <c r="AI1901" s="9">
        <v>0.65</v>
      </c>
      <c r="AJ1901" s="9">
        <v>1.9E-2</v>
      </c>
      <c r="AK1901" s="9">
        <v>8.9999999999999993E-3</v>
      </c>
      <c r="AL1901" s="9">
        <v>17.3</v>
      </c>
      <c r="AM1901" s="9">
        <v>11.1</v>
      </c>
      <c r="AN1901" s="9">
        <v>2.16</v>
      </c>
      <c r="AO1901" s="9">
        <v>9.2999999999999999E-2</v>
      </c>
      <c r="AP1901"/>
    </row>
    <row r="1902" spans="1:42" x14ac:dyDescent="0.3">
      <c r="A1902" t="s">
        <v>476</v>
      </c>
      <c r="B1902" s="1" t="s">
        <v>1607</v>
      </c>
      <c r="C1902">
        <v>80</v>
      </c>
      <c r="D1902" s="8">
        <v>1.4403999999999999</v>
      </c>
      <c r="E1902">
        <v>32</v>
      </c>
      <c r="F1902">
        <v>12</v>
      </c>
      <c r="H1902" t="s">
        <v>987</v>
      </c>
      <c r="K1902" s="4">
        <v>1</v>
      </c>
      <c r="L1902" t="s">
        <v>140</v>
      </c>
      <c r="M1902" t="s">
        <v>28</v>
      </c>
      <c r="N1902" s="3">
        <v>0.6</v>
      </c>
      <c r="O1902" s="3">
        <v>0</v>
      </c>
      <c r="P1902">
        <v>21</v>
      </c>
      <c r="Q1902">
        <v>6.5</v>
      </c>
      <c r="R1902" t="s">
        <v>102</v>
      </c>
      <c r="S1902">
        <v>0</v>
      </c>
      <c r="T1902" s="6">
        <f>10^-(14-Q1902)</f>
        <v>3.1622776601683699E-8</v>
      </c>
      <c r="U1902" s="6">
        <v>0</v>
      </c>
      <c r="V1902" s="6">
        <v>0</v>
      </c>
      <c r="W1902" s="6">
        <v>0</v>
      </c>
      <c r="X1902" s="6">
        <v>0</v>
      </c>
      <c r="Y1902" t="s">
        <v>171</v>
      </c>
      <c r="Z1902" s="5">
        <v>-75</v>
      </c>
      <c r="AD1902">
        <f>1/6</f>
        <v>0.16666666666666666</v>
      </c>
      <c r="AE1902">
        <v>600</v>
      </c>
      <c r="AF1902">
        <v>1</v>
      </c>
      <c r="AG1902" s="9">
        <v>1.7000000000000001E-2</v>
      </c>
      <c r="AH1902" s="9">
        <v>1.07</v>
      </c>
      <c r="AI1902" s="9">
        <v>0.65</v>
      </c>
      <c r="AJ1902" s="9">
        <v>1.9E-2</v>
      </c>
      <c r="AK1902" s="9">
        <v>8.9999999999999993E-3</v>
      </c>
      <c r="AL1902" s="9">
        <v>17.3</v>
      </c>
      <c r="AM1902" s="9">
        <v>11.1</v>
      </c>
      <c r="AN1902" s="9">
        <v>2.16</v>
      </c>
      <c r="AO1902" s="9">
        <v>9.2999999999999999E-2</v>
      </c>
      <c r="AP1902"/>
    </row>
    <row r="1903" spans="1:42" x14ac:dyDescent="0.3">
      <c r="A1903" t="s">
        <v>477</v>
      </c>
      <c r="B1903" s="1" t="s">
        <v>1607</v>
      </c>
      <c r="C1903">
        <v>80</v>
      </c>
      <c r="D1903" s="8">
        <v>1.4403999999999999</v>
      </c>
      <c r="E1903">
        <v>32</v>
      </c>
      <c r="F1903">
        <v>12</v>
      </c>
      <c r="H1903" t="s">
        <v>987</v>
      </c>
      <c r="K1903" s="4">
        <v>1</v>
      </c>
      <c r="L1903" t="s">
        <v>140</v>
      </c>
      <c r="M1903" t="s">
        <v>28</v>
      </c>
      <c r="N1903" s="3">
        <v>0.6</v>
      </c>
      <c r="O1903" s="3">
        <v>0</v>
      </c>
      <c r="P1903">
        <v>21</v>
      </c>
      <c r="Q1903">
        <v>6.5</v>
      </c>
      <c r="R1903" t="s">
        <v>102</v>
      </c>
      <c r="S1903">
        <v>0</v>
      </c>
      <c r="T1903" s="6">
        <f>10^-(14-Q1903)</f>
        <v>3.1622776601683699E-8</v>
      </c>
      <c r="U1903" s="6">
        <v>0</v>
      </c>
      <c r="V1903" s="6">
        <v>0</v>
      </c>
      <c r="W1903" s="6">
        <v>0</v>
      </c>
      <c r="X1903" s="6">
        <v>0</v>
      </c>
      <c r="Y1903" t="s">
        <v>171</v>
      </c>
      <c r="Z1903" s="5">
        <v>-75</v>
      </c>
      <c r="AD1903">
        <f>1/6</f>
        <v>0.16666666666666666</v>
      </c>
      <c r="AE1903">
        <v>550</v>
      </c>
      <c r="AF1903">
        <v>1</v>
      </c>
      <c r="AG1903" s="9">
        <v>1.7000000000000001E-2</v>
      </c>
      <c r="AH1903" s="9">
        <v>1.07</v>
      </c>
      <c r="AI1903" s="9">
        <v>0.65</v>
      </c>
      <c r="AJ1903" s="9">
        <v>1.9E-2</v>
      </c>
      <c r="AK1903" s="9">
        <v>8.9999999999999993E-3</v>
      </c>
      <c r="AL1903" s="9">
        <v>17.3</v>
      </c>
      <c r="AM1903" s="9">
        <v>11.1</v>
      </c>
      <c r="AN1903" s="9">
        <v>2.16</v>
      </c>
      <c r="AO1903" s="9">
        <v>9.2999999999999999E-2</v>
      </c>
      <c r="AP1903"/>
    </row>
    <row r="1904" spans="1:42" x14ac:dyDescent="0.3">
      <c r="A1904" t="s">
        <v>478</v>
      </c>
      <c r="B1904" s="1" t="s">
        <v>1607</v>
      </c>
      <c r="C1904">
        <v>80</v>
      </c>
      <c r="D1904" s="8">
        <v>1.4403999999999999</v>
      </c>
      <c r="E1904">
        <v>32</v>
      </c>
      <c r="F1904">
        <v>12</v>
      </c>
      <c r="H1904" t="s">
        <v>987</v>
      </c>
      <c r="K1904" s="4">
        <v>1</v>
      </c>
      <c r="L1904" t="s">
        <v>140</v>
      </c>
      <c r="M1904" t="s">
        <v>28</v>
      </c>
      <c r="N1904" s="3">
        <v>0.6</v>
      </c>
      <c r="O1904" s="3">
        <v>0</v>
      </c>
      <c r="P1904">
        <v>21</v>
      </c>
      <c r="Q1904">
        <v>6.5</v>
      </c>
      <c r="R1904" t="s">
        <v>102</v>
      </c>
      <c r="S1904">
        <v>0</v>
      </c>
      <c r="T1904" s="6">
        <f>10^-(14-Q1904)</f>
        <v>3.1622776601683699E-8</v>
      </c>
      <c r="U1904" s="6">
        <v>0</v>
      </c>
      <c r="V1904" s="6">
        <v>0</v>
      </c>
      <c r="W1904" s="6">
        <v>0</v>
      </c>
      <c r="X1904" s="6">
        <v>0</v>
      </c>
      <c r="Y1904" t="s">
        <v>171</v>
      </c>
      <c r="Z1904" s="5">
        <v>-75</v>
      </c>
      <c r="AD1904">
        <f>1/6</f>
        <v>0.16666666666666666</v>
      </c>
      <c r="AE1904">
        <v>450</v>
      </c>
      <c r="AF1904">
        <v>1</v>
      </c>
      <c r="AG1904" s="9">
        <v>1.7000000000000001E-2</v>
      </c>
      <c r="AH1904" s="9">
        <v>1.07</v>
      </c>
      <c r="AI1904" s="9">
        <v>0.65</v>
      </c>
      <c r="AJ1904" s="9">
        <v>1.9E-2</v>
      </c>
      <c r="AK1904" s="9">
        <v>8.9999999999999993E-3</v>
      </c>
      <c r="AL1904" s="9">
        <v>17.3</v>
      </c>
      <c r="AM1904" s="9">
        <v>11.1</v>
      </c>
      <c r="AN1904" s="9">
        <v>2.16</v>
      </c>
      <c r="AO1904" s="9">
        <v>9.2999999999999999E-2</v>
      </c>
      <c r="AP1904"/>
    </row>
    <row r="1905" spans="1:42" x14ac:dyDescent="0.3">
      <c r="A1905" t="s">
        <v>479</v>
      </c>
      <c r="B1905" s="1" t="s">
        <v>1607</v>
      </c>
      <c r="C1905">
        <v>80</v>
      </c>
      <c r="D1905" s="8">
        <v>1.4403999999999999</v>
      </c>
      <c r="E1905">
        <v>32</v>
      </c>
      <c r="F1905">
        <v>12</v>
      </c>
      <c r="H1905" t="s">
        <v>987</v>
      </c>
      <c r="K1905" s="4">
        <v>1</v>
      </c>
      <c r="L1905" t="s">
        <v>140</v>
      </c>
      <c r="M1905" t="s">
        <v>28</v>
      </c>
      <c r="N1905" s="3">
        <v>0.6</v>
      </c>
      <c r="O1905" s="3">
        <v>0</v>
      </c>
      <c r="P1905">
        <v>21</v>
      </c>
      <c r="Q1905">
        <v>6.5</v>
      </c>
      <c r="R1905" t="s">
        <v>102</v>
      </c>
      <c r="S1905">
        <v>0</v>
      </c>
      <c r="T1905" s="6">
        <f>10^-(14-Q1905)</f>
        <v>3.1622776601683699E-8</v>
      </c>
      <c r="U1905" s="6">
        <v>0</v>
      </c>
      <c r="V1905" s="6">
        <v>0</v>
      </c>
      <c r="W1905" s="6">
        <v>0</v>
      </c>
      <c r="X1905" s="6">
        <v>0</v>
      </c>
      <c r="Y1905" t="s">
        <v>171</v>
      </c>
      <c r="Z1905" s="5">
        <v>-75</v>
      </c>
      <c r="AD1905">
        <f>1/6</f>
        <v>0.16666666666666666</v>
      </c>
      <c r="AE1905">
        <v>450</v>
      </c>
      <c r="AF1905">
        <v>1</v>
      </c>
      <c r="AG1905" s="9">
        <v>1.7000000000000001E-2</v>
      </c>
      <c r="AH1905" s="9">
        <v>1.07</v>
      </c>
      <c r="AI1905" s="9">
        <v>0.65</v>
      </c>
      <c r="AJ1905" s="9">
        <v>1.9E-2</v>
      </c>
      <c r="AK1905" s="9">
        <v>8.9999999999999993E-3</v>
      </c>
      <c r="AL1905" s="9">
        <v>17.3</v>
      </c>
      <c r="AM1905" s="9">
        <v>11.1</v>
      </c>
      <c r="AN1905" s="9">
        <v>2.16</v>
      </c>
      <c r="AO1905" s="9">
        <v>9.2999999999999999E-2</v>
      </c>
      <c r="AP1905"/>
    </row>
    <row r="1906" spans="1:42" x14ac:dyDescent="0.3">
      <c r="A1906" t="s">
        <v>480</v>
      </c>
      <c r="B1906" s="1" t="s">
        <v>1607</v>
      </c>
      <c r="C1906">
        <v>80</v>
      </c>
      <c r="D1906" s="8">
        <v>1.4403999999999999</v>
      </c>
      <c r="E1906">
        <v>32</v>
      </c>
      <c r="F1906">
        <v>12</v>
      </c>
      <c r="H1906" t="s">
        <v>987</v>
      </c>
      <c r="K1906" s="4">
        <v>1</v>
      </c>
      <c r="L1906" t="s">
        <v>140</v>
      </c>
      <c r="M1906" t="s">
        <v>28</v>
      </c>
      <c r="N1906" s="3">
        <v>0.6</v>
      </c>
      <c r="O1906" s="3">
        <v>0</v>
      </c>
      <c r="P1906">
        <v>21</v>
      </c>
      <c r="Q1906">
        <v>6.5</v>
      </c>
      <c r="R1906" t="s">
        <v>102</v>
      </c>
      <c r="S1906">
        <v>0</v>
      </c>
      <c r="T1906" s="6">
        <f>10^-(14-Q1906)</f>
        <v>3.1622776601683699E-8</v>
      </c>
      <c r="U1906" s="6">
        <v>0</v>
      </c>
      <c r="V1906" s="6">
        <v>0</v>
      </c>
      <c r="W1906" s="6">
        <v>0</v>
      </c>
      <c r="X1906" s="6">
        <v>0</v>
      </c>
      <c r="Y1906" t="s">
        <v>171</v>
      </c>
      <c r="Z1906" s="5">
        <v>-75</v>
      </c>
      <c r="AD1906">
        <f>1/6</f>
        <v>0.16666666666666666</v>
      </c>
      <c r="AE1906">
        <v>300</v>
      </c>
      <c r="AF1906">
        <v>1</v>
      </c>
      <c r="AG1906" s="9">
        <v>1.7000000000000001E-2</v>
      </c>
      <c r="AH1906" s="9">
        <v>1.07</v>
      </c>
      <c r="AI1906" s="9">
        <v>0.65</v>
      </c>
      <c r="AJ1906" s="9">
        <v>1.9E-2</v>
      </c>
      <c r="AK1906" s="9">
        <v>8.9999999999999993E-3</v>
      </c>
      <c r="AL1906" s="9">
        <v>17.3</v>
      </c>
      <c r="AM1906" s="9">
        <v>11.1</v>
      </c>
      <c r="AN1906" s="9">
        <v>2.16</v>
      </c>
      <c r="AO1906" s="9">
        <v>9.2999999999999999E-2</v>
      </c>
      <c r="AP1906"/>
    </row>
    <row r="1907" spans="1:42" x14ac:dyDescent="0.3">
      <c r="A1907" t="s">
        <v>481</v>
      </c>
      <c r="B1907" s="1" t="s">
        <v>1607</v>
      </c>
      <c r="C1907">
        <v>80</v>
      </c>
      <c r="D1907" s="8">
        <v>1.4403999999999999</v>
      </c>
      <c r="E1907">
        <v>32</v>
      </c>
      <c r="F1907">
        <v>12</v>
      </c>
      <c r="H1907" t="s">
        <v>987</v>
      </c>
      <c r="K1907" s="4">
        <v>1</v>
      </c>
      <c r="L1907" t="s">
        <v>140</v>
      </c>
      <c r="M1907" t="s">
        <v>28</v>
      </c>
      <c r="N1907" s="3">
        <v>0.6</v>
      </c>
      <c r="O1907" s="3">
        <v>0</v>
      </c>
      <c r="P1907">
        <v>21</v>
      </c>
      <c r="Q1907">
        <v>6.5</v>
      </c>
      <c r="R1907" t="s">
        <v>102</v>
      </c>
      <c r="S1907">
        <v>0</v>
      </c>
      <c r="T1907" s="6">
        <f>10^-(14-Q1907)</f>
        <v>3.1622776601683699E-8</v>
      </c>
      <c r="U1907" s="6">
        <v>0</v>
      </c>
      <c r="V1907" s="6">
        <v>0</v>
      </c>
      <c r="W1907" s="6">
        <v>0</v>
      </c>
      <c r="X1907" s="6">
        <v>0</v>
      </c>
      <c r="Y1907" t="s">
        <v>171</v>
      </c>
      <c r="Z1907" s="5">
        <v>-75</v>
      </c>
      <c r="AD1907">
        <f>1/6</f>
        <v>0.16666666666666666</v>
      </c>
      <c r="AE1907">
        <v>250</v>
      </c>
      <c r="AF1907">
        <v>1</v>
      </c>
      <c r="AG1907" s="9">
        <v>1.7000000000000001E-2</v>
      </c>
      <c r="AH1907" s="9">
        <v>1.07</v>
      </c>
      <c r="AI1907" s="9">
        <v>0.65</v>
      </c>
      <c r="AJ1907" s="9">
        <v>1.9E-2</v>
      </c>
      <c r="AK1907" s="9">
        <v>8.9999999999999993E-3</v>
      </c>
      <c r="AL1907" s="9">
        <v>17.3</v>
      </c>
      <c r="AM1907" s="9">
        <v>11.1</v>
      </c>
      <c r="AN1907" s="9">
        <v>2.16</v>
      </c>
      <c r="AO1907" s="9">
        <v>9.2999999999999999E-2</v>
      </c>
      <c r="AP1907"/>
    </row>
    <row r="1908" spans="1:42" x14ac:dyDescent="0.3">
      <c r="A1908" t="s">
        <v>482</v>
      </c>
      <c r="B1908" s="1" t="s">
        <v>1607</v>
      </c>
      <c r="C1908">
        <v>80</v>
      </c>
      <c r="D1908" s="8">
        <v>1.4403999999999999</v>
      </c>
      <c r="E1908">
        <v>32</v>
      </c>
      <c r="F1908">
        <v>10</v>
      </c>
      <c r="H1908" t="s">
        <v>987</v>
      </c>
      <c r="K1908" s="4">
        <v>1</v>
      </c>
      <c r="L1908" t="s">
        <v>140</v>
      </c>
      <c r="M1908" t="s">
        <v>28</v>
      </c>
      <c r="N1908" s="3">
        <v>0.6</v>
      </c>
      <c r="O1908" s="3">
        <v>0</v>
      </c>
      <c r="P1908">
        <v>21</v>
      </c>
      <c r="Q1908">
        <v>6.5</v>
      </c>
      <c r="R1908" t="s">
        <v>102</v>
      </c>
      <c r="S1908">
        <v>0</v>
      </c>
      <c r="T1908" s="6">
        <f>10^-(14-Q1908)</f>
        <v>3.1622776601683699E-8</v>
      </c>
      <c r="U1908" s="6">
        <v>0</v>
      </c>
      <c r="V1908" s="6">
        <v>0</v>
      </c>
      <c r="W1908" s="6">
        <v>0</v>
      </c>
      <c r="X1908" s="6">
        <v>0</v>
      </c>
      <c r="Y1908" t="s">
        <v>171</v>
      </c>
      <c r="Z1908" s="5">
        <v>-100</v>
      </c>
      <c r="AD1908">
        <f>1/6</f>
        <v>0.16666666666666666</v>
      </c>
      <c r="AE1908">
        <v>1200</v>
      </c>
      <c r="AF1908">
        <v>2</v>
      </c>
      <c r="AG1908" s="9">
        <v>1.7000000000000001E-2</v>
      </c>
      <c r="AH1908" s="9">
        <v>1.07</v>
      </c>
      <c r="AI1908" s="9">
        <v>0.65</v>
      </c>
      <c r="AJ1908" s="9">
        <v>1.9E-2</v>
      </c>
      <c r="AK1908" s="9">
        <v>8.9999999999999993E-3</v>
      </c>
      <c r="AL1908" s="9">
        <v>17.3</v>
      </c>
      <c r="AM1908" s="9">
        <v>11.1</v>
      </c>
      <c r="AN1908" s="9">
        <v>2.16</v>
      </c>
      <c r="AO1908" s="9">
        <v>9.2999999999999999E-2</v>
      </c>
      <c r="AP1908"/>
    </row>
    <row r="1909" spans="1:42" x14ac:dyDescent="0.3">
      <c r="A1909" t="s">
        <v>483</v>
      </c>
      <c r="B1909" s="1" t="s">
        <v>1607</v>
      </c>
      <c r="C1909">
        <v>80</v>
      </c>
      <c r="D1909" s="8">
        <v>1.4403999999999999</v>
      </c>
      <c r="E1909">
        <v>32</v>
      </c>
      <c r="F1909">
        <v>10</v>
      </c>
      <c r="H1909" t="s">
        <v>987</v>
      </c>
      <c r="K1909" s="4">
        <v>1</v>
      </c>
      <c r="L1909" t="s">
        <v>140</v>
      </c>
      <c r="M1909" t="s">
        <v>28</v>
      </c>
      <c r="N1909" s="3">
        <v>0.6</v>
      </c>
      <c r="O1909" s="3">
        <v>0</v>
      </c>
      <c r="P1909">
        <v>21</v>
      </c>
      <c r="Q1909">
        <v>6.5</v>
      </c>
      <c r="R1909" t="s">
        <v>102</v>
      </c>
      <c r="S1909">
        <v>0</v>
      </c>
      <c r="T1909" s="6">
        <f>10^-(14-Q1909)</f>
        <v>3.1622776601683699E-8</v>
      </c>
      <c r="U1909" s="6">
        <v>0</v>
      </c>
      <c r="V1909" s="6">
        <v>0</v>
      </c>
      <c r="W1909" s="6">
        <v>0</v>
      </c>
      <c r="X1909" s="6">
        <v>0</v>
      </c>
      <c r="Y1909" t="s">
        <v>171</v>
      </c>
      <c r="Z1909" s="5">
        <v>-100</v>
      </c>
      <c r="AD1909">
        <f>1/6</f>
        <v>0.16666666666666666</v>
      </c>
      <c r="AE1909">
        <v>1050</v>
      </c>
      <c r="AF1909">
        <v>1</v>
      </c>
      <c r="AG1909" s="9">
        <v>1.7000000000000001E-2</v>
      </c>
      <c r="AH1909" s="9">
        <v>1.07</v>
      </c>
      <c r="AI1909" s="9">
        <v>0.65</v>
      </c>
      <c r="AJ1909" s="9">
        <v>1.9E-2</v>
      </c>
      <c r="AK1909" s="9">
        <v>8.9999999999999993E-3</v>
      </c>
      <c r="AL1909" s="9">
        <v>17.3</v>
      </c>
      <c r="AM1909" s="9">
        <v>11.1</v>
      </c>
      <c r="AN1909" s="9">
        <v>2.16</v>
      </c>
      <c r="AO1909" s="9">
        <v>9.2999999999999999E-2</v>
      </c>
      <c r="AP1909"/>
    </row>
    <row r="1910" spans="1:42" x14ac:dyDescent="0.3">
      <c r="A1910" t="s">
        <v>484</v>
      </c>
      <c r="B1910" s="1" t="s">
        <v>1607</v>
      </c>
      <c r="C1910">
        <v>80</v>
      </c>
      <c r="D1910" s="8">
        <v>1.4403999999999999</v>
      </c>
      <c r="E1910">
        <v>32</v>
      </c>
      <c r="F1910">
        <v>10</v>
      </c>
      <c r="H1910" t="s">
        <v>987</v>
      </c>
      <c r="K1910" s="4">
        <v>1</v>
      </c>
      <c r="L1910" t="s">
        <v>140</v>
      </c>
      <c r="M1910" t="s">
        <v>28</v>
      </c>
      <c r="N1910" s="3">
        <v>0.6</v>
      </c>
      <c r="O1910" s="3">
        <v>0</v>
      </c>
      <c r="P1910">
        <v>21</v>
      </c>
      <c r="Q1910">
        <v>6.5</v>
      </c>
      <c r="R1910" t="s">
        <v>102</v>
      </c>
      <c r="S1910">
        <v>0</v>
      </c>
      <c r="T1910" s="6">
        <f>10^-(14-Q1910)</f>
        <v>3.1622776601683699E-8</v>
      </c>
      <c r="U1910" s="6">
        <v>0</v>
      </c>
      <c r="V1910" s="6">
        <v>0</v>
      </c>
      <c r="W1910" s="6">
        <v>0</v>
      </c>
      <c r="X1910" s="6">
        <v>0</v>
      </c>
      <c r="Y1910" t="s">
        <v>171</v>
      </c>
      <c r="Z1910" s="5">
        <v>-100</v>
      </c>
      <c r="AD1910">
        <f>1/6</f>
        <v>0.16666666666666666</v>
      </c>
      <c r="AE1910">
        <v>950</v>
      </c>
      <c r="AF1910">
        <v>1</v>
      </c>
      <c r="AG1910" s="9">
        <v>1.7000000000000001E-2</v>
      </c>
      <c r="AH1910" s="9">
        <v>1.07</v>
      </c>
      <c r="AI1910" s="9">
        <v>0.65</v>
      </c>
      <c r="AJ1910" s="9">
        <v>1.9E-2</v>
      </c>
      <c r="AK1910" s="9">
        <v>8.9999999999999993E-3</v>
      </c>
      <c r="AL1910" s="9">
        <v>17.3</v>
      </c>
      <c r="AM1910" s="9">
        <v>11.1</v>
      </c>
      <c r="AN1910" s="9">
        <v>2.16</v>
      </c>
      <c r="AO1910" s="9">
        <v>9.2999999999999999E-2</v>
      </c>
      <c r="AP1910"/>
    </row>
    <row r="1911" spans="1:42" x14ac:dyDescent="0.3">
      <c r="A1911" t="s">
        <v>485</v>
      </c>
      <c r="B1911" s="1" t="s">
        <v>1607</v>
      </c>
      <c r="C1911">
        <v>80</v>
      </c>
      <c r="D1911" s="8">
        <v>1.4403999999999999</v>
      </c>
      <c r="E1911">
        <v>32</v>
      </c>
      <c r="F1911">
        <v>10</v>
      </c>
      <c r="H1911" t="s">
        <v>987</v>
      </c>
      <c r="K1911" s="4">
        <v>1</v>
      </c>
      <c r="L1911" t="s">
        <v>140</v>
      </c>
      <c r="M1911" t="s">
        <v>28</v>
      </c>
      <c r="N1911" s="3">
        <v>0.6</v>
      </c>
      <c r="O1911" s="3">
        <v>0</v>
      </c>
      <c r="P1911">
        <v>21</v>
      </c>
      <c r="Q1911">
        <v>6.5</v>
      </c>
      <c r="R1911" t="s">
        <v>102</v>
      </c>
      <c r="S1911">
        <v>0</v>
      </c>
      <c r="T1911" s="6">
        <f>10^-(14-Q1911)</f>
        <v>3.1622776601683699E-8</v>
      </c>
      <c r="U1911" s="6">
        <v>0</v>
      </c>
      <c r="V1911" s="6">
        <v>0</v>
      </c>
      <c r="W1911" s="6">
        <v>0</v>
      </c>
      <c r="X1911" s="6">
        <v>0</v>
      </c>
      <c r="Y1911" t="s">
        <v>171</v>
      </c>
      <c r="Z1911" s="5">
        <v>-100</v>
      </c>
      <c r="AD1911">
        <f>1/6</f>
        <v>0.16666666666666666</v>
      </c>
      <c r="AE1911">
        <v>850</v>
      </c>
      <c r="AF1911">
        <v>1</v>
      </c>
      <c r="AG1911" s="9">
        <v>1.7000000000000001E-2</v>
      </c>
      <c r="AH1911" s="9">
        <v>1.07</v>
      </c>
      <c r="AI1911" s="9">
        <v>0.65</v>
      </c>
      <c r="AJ1911" s="9">
        <v>1.9E-2</v>
      </c>
      <c r="AK1911" s="9">
        <v>8.9999999999999993E-3</v>
      </c>
      <c r="AL1911" s="9">
        <v>17.3</v>
      </c>
      <c r="AM1911" s="9">
        <v>11.1</v>
      </c>
      <c r="AN1911" s="9">
        <v>2.16</v>
      </c>
      <c r="AO1911" s="9">
        <v>9.2999999999999999E-2</v>
      </c>
      <c r="AP1911"/>
    </row>
    <row r="1912" spans="1:42" x14ac:dyDescent="0.3">
      <c r="A1912" t="s">
        <v>486</v>
      </c>
      <c r="B1912" s="1" t="s">
        <v>1607</v>
      </c>
      <c r="C1912">
        <v>80</v>
      </c>
      <c r="D1912" s="8">
        <v>1.4403999999999999</v>
      </c>
      <c r="E1912">
        <v>32</v>
      </c>
      <c r="F1912">
        <v>10</v>
      </c>
      <c r="H1912" t="s">
        <v>987</v>
      </c>
      <c r="K1912" s="4">
        <v>1</v>
      </c>
      <c r="L1912" t="s">
        <v>140</v>
      </c>
      <c r="M1912" t="s">
        <v>28</v>
      </c>
      <c r="N1912" s="3">
        <v>0.6</v>
      </c>
      <c r="O1912" s="3">
        <v>0</v>
      </c>
      <c r="P1912">
        <v>21</v>
      </c>
      <c r="Q1912">
        <v>6.5</v>
      </c>
      <c r="R1912" t="s">
        <v>102</v>
      </c>
      <c r="S1912">
        <v>0</v>
      </c>
      <c r="T1912" s="6">
        <f>10^-(14-Q1912)</f>
        <v>3.1622776601683699E-8</v>
      </c>
      <c r="U1912" s="6">
        <v>0</v>
      </c>
      <c r="V1912" s="6">
        <v>0</v>
      </c>
      <c r="W1912" s="6">
        <v>0</v>
      </c>
      <c r="X1912" s="6">
        <v>0</v>
      </c>
      <c r="Y1912" t="s">
        <v>171</v>
      </c>
      <c r="Z1912" s="5">
        <v>-100</v>
      </c>
      <c r="AD1912">
        <f>1/6</f>
        <v>0.16666666666666666</v>
      </c>
      <c r="AE1912">
        <v>750</v>
      </c>
      <c r="AF1912">
        <v>1</v>
      </c>
      <c r="AG1912" s="9">
        <v>1.7000000000000001E-2</v>
      </c>
      <c r="AH1912" s="9">
        <v>1.07</v>
      </c>
      <c r="AI1912" s="9">
        <v>0.65</v>
      </c>
      <c r="AJ1912" s="9">
        <v>1.9E-2</v>
      </c>
      <c r="AK1912" s="9">
        <v>8.9999999999999993E-3</v>
      </c>
      <c r="AL1912" s="9">
        <v>17.3</v>
      </c>
      <c r="AM1912" s="9">
        <v>11.1</v>
      </c>
      <c r="AN1912" s="9">
        <v>2.16</v>
      </c>
      <c r="AO1912" s="9">
        <v>9.2999999999999999E-2</v>
      </c>
      <c r="AP1912"/>
    </row>
    <row r="1913" spans="1:42" x14ac:dyDescent="0.3">
      <c r="A1913" t="s">
        <v>487</v>
      </c>
      <c r="B1913" s="1" t="s">
        <v>1607</v>
      </c>
      <c r="C1913">
        <v>80</v>
      </c>
      <c r="D1913" s="8">
        <v>1.4403999999999999</v>
      </c>
      <c r="E1913">
        <v>32</v>
      </c>
      <c r="F1913">
        <v>10</v>
      </c>
      <c r="H1913" t="s">
        <v>987</v>
      </c>
      <c r="K1913" s="4">
        <v>1</v>
      </c>
      <c r="L1913" t="s">
        <v>140</v>
      </c>
      <c r="M1913" t="s">
        <v>28</v>
      </c>
      <c r="N1913" s="3">
        <v>0.6</v>
      </c>
      <c r="O1913" s="3">
        <v>0</v>
      </c>
      <c r="P1913">
        <v>21</v>
      </c>
      <c r="Q1913">
        <v>6.5</v>
      </c>
      <c r="R1913" t="s">
        <v>102</v>
      </c>
      <c r="S1913">
        <v>0</v>
      </c>
      <c r="T1913" s="6">
        <f>10^-(14-Q1913)</f>
        <v>3.1622776601683699E-8</v>
      </c>
      <c r="U1913" s="6">
        <v>0</v>
      </c>
      <c r="V1913" s="6">
        <v>0</v>
      </c>
      <c r="W1913" s="6">
        <v>0</v>
      </c>
      <c r="X1913" s="6">
        <v>0</v>
      </c>
      <c r="Y1913" t="s">
        <v>171</v>
      </c>
      <c r="Z1913" s="5">
        <v>-100</v>
      </c>
      <c r="AD1913">
        <f>1/6</f>
        <v>0.16666666666666666</v>
      </c>
      <c r="AE1913">
        <v>750</v>
      </c>
      <c r="AF1913">
        <v>1</v>
      </c>
      <c r="AG1913" s="9">
        <v>1.7000000000000001E-2</v>
      </c>
      <c r="AH1913" s="9">
        <v>1.07</v>
      </c>
      <c r="AI1913" s="9">
        <v>0.65</v>
      </c>
      <c r="AJ1913" s="9">
        <v>1.9E-2</v>
      </c>
      <c r="AK1913" s="9">
        <v>8.9999999999999993E-3</v>
      </c>
      <c r="AL1913" s="9">
        <v>17.3</v>
      </c>
      <c r="AM1913" s="9">
        <v>11.1</v>
      </c>
      <c r="AN1913" s="9">
        <v>2.16</v>
      </c>
      <c r="AO1913" s="9">
        <v>9.2999999999999999E-2</v>
      </c>
      <c r="AP1913"/>
    </row>
    <row r="1914" spans="1:42" x14ac:dyDescent="0.3">
      <c r="A1914" t="s">
        <v>488</v>
      </c>
      <c r="B1914" s="1" t="s">
        <v>1607</v>
      </c>
      <c r="C1914">
        <v>80</v>
      </c>
      <c r="D1914" s="8">
        <v>1.4403999999999999</v>
      </c>
      <c r="E1914">
        <v>32</v>
      </c>
      <c r="F1914">
        <v>10</v>
      </c>
      <c r="H1914" t="s">
        <v>987</v>
      </c>
      <c r="K1914" s="4">
        <v>1</v>
      </c>
      <c r="L1914" t="s">
        <v>140</v>
      </c>
      <c r="M1914" t="s">
        <v>28</v>
      </c>
      <c r="N1914" s="3">
        <v>0.6</v>
      </c>
      <c r="O1914" s="3">
        <v>0</v>
      </c>
      <c r="P1914">
        <v>21</v>
      </c>
      <c r="Q1914">
        <v>6.5</v>
      </c>
      <c r="R1914" t="s">
        <v>102</v>
      </c>
      <c r="S1914">
        <v>0</v>
      </c>
      <c r="T1914" s="6">
        <f>10^-(14-Q1914)</f>
        <v>3.1622776601683699E-8</v>
      </c>
      <c r="U1914" s="6">
        <v>0</v>
      </c>
      <c r="V1914" s="6">
        <v>0</v>
      </c>
      <c r="W1914" s="6">
        <v>0</v>
      </c>
      <c r="X1914" s="6">
        <v>0</v>
      </c>
      <c r="Y1914" t="s">
        <v>171</v>
      </c>
      <c r="Z1914" s="5">
        <v>-100</v>
      </c>
      <c r="AD1914">
        <f>1/6</f>
        <v>0.16666666666666666</v>
      </c>
      <c r="AE1914">
        <v>700</v>
      </c>
      <c r="AF1914">
        <v>1</v>
      </c>
      <c r="AG1914" s="9">
        <v>1.7000000000000001E-2</v>
      </c>
      <c r="AH1914" s="9">
        <v>1.07</v>
      </c>
      <c r="AI1914" s="9">
        <v>0.65</v>
      </c>
      <c r="AJ1914" s="9">
        <v>1.9E-2</v>
      </c>
      <c r="AK1914" s="9">
        <v>8.9999999999999993E-3</v>
      </c>
      <c r="AL1914" s="9">
        <v>17.3</v>
      </c>
      <c r="AM1914" s="9">
        <v>11.1</v>
      </c>
      <c r="AN1914" s="9">
        <v>2.16</v>
      </c>
      <c r="AO1914" s="9">
        <v>9.2999999999999999E-2</v>
      </c>
      <c r="AP1914"/>
    </row>
    <row r="1915" spans="1:42" x14ac:dyDescent="0.3">
      <c r="A1915" t="s">
        <v>489</v>
      </c>
      <c r="B1915" s="1" t="s">
        <v>1607</v>
      </c>
      <c r="C1915">
        <v>80</v>
      </c>
      <c r="D1915" s="8">
        <v>1.4403999999999999</v>
      </c>
      <c r="E1915">
        <v>32</v>
      </c>
      <c r="F1915">
        <v>12.5</v>
      </c>
      <c r="H1915" t="s">
        <v>987</v>
      </c>
      <c r="K1915" s="4">
        <v>1</v>
      </c>
      <c r="L1915" t="s">
        <v>140</v>
      </c>
      <c r="M1915" t="s">
        <v>28</v>
      </c>
      <c r="N1915" s="3">
        <v>0.6</v>
      </c>
      <c r="O1915" s="3">
        <v>0</v>
      </c>
      <c r="P1915">
        <v>21</v>
      </c>
      <c r="Q1915">
        <v>6.5</v>
      </c>
      <c r="R1915" t="s">
        <v>102</v>
      </c>
      <c r="S1915">
        <v>0</v>
      </c>
      <c r="T1915" s="6">
        <f>10^-(14-Q1915)</f>
        <v>3.1622776601683699E-8</v>
      </c>
      <c r="U1915" s="6">
        <v>0</v>
      </c>
      <c r="V1915" s="6">
        <v>0</v>
      </c>
      <c r="W1915" s="6">
        <v>0</v>
      </c>
      <c r="X1915" s="6">
        <v>0</v>
      </c>
      <c r="Y1915" t="s">
        <v>171</v>
      </c>
      <c r="AD1915">
        <f>1/6</f>
        <v>0.16666666666666666</v>
      </c>
      <c r="AE1915">
        <v>575</v>
      </c>
      <c r="AF1915">
        <v>1</v>
      </c>
      <c r="AG1915" s="9">
        <v>1.7000000000000001E-2</v>
      </c>
      <c r="AH1915" s="9">
        <v>1.07</v>
      </c>
      <c r="AI1915" s="9">
        <v>0.65</v>
      </c>
      <c r="AJ1915" s="9">
        <v>1.9E-2</v>
      </c>
      <c r="AK1915" s="9">
        <v>8.9999999999999993E-3</v>
      </c>
      <c r="AL1915" s="9">
        <v>17.3</v>
      </c>
      <c r="AM1915" s="9">
        <v>11.1</v>
      </c>
      <c r="AN1915" s="9">
        <v>2.16</v>
      </c>
      <c r="AO1915" s="9">
        <v>9.2999999999999999E-2</v>
      </c>
      <c r="AP1915"/>
    </row>
    <row r="1916" spans="1:42" x14ac:dyDescent="0.3">
      <c r="A1916" t="s">
        <v>490</v>
      </c>
      <c r="B1916" s="1" t="s">
        <v>1607</v>
      </c>
      <c r="C1916">
        <v>80</v>
      </c>
      <c r="D1916" s="8">
        <v>1.4403999999999999</v>
      </c>
      <c r="E1916">
        <v>32</v>
      </c>
      <c r="F1916">
        <v>12.5</v>
      </c>
      <c r="H1916" t="s">
        <v>987</v>
      </c>
      <c r="K1916" s="4">
        <v>1</v>
      </c>
      <c r="L1916" t="s">
        <v>140</v>
      </c>
      <c r="M1916" t="s">
        <v>28</v>
      </c>
      <c r="N1916" s="3">
        <v>0.6</v>
      </c>
      <c r="O1916" s="3">
        <v>0</v>
      </c>
      <c r="P1916">
        <v>21</v>
      </c>
      <c r="Q1916">
        <v>6.5</v>
      </c>
      <c r="R1916" t="s">
        <v>102</v>
      </c>
      <c r="S1916">
        <v>0</v>
      </c>
      <c r="T1916" s="6">
        <f>10^-(14-Q1916)</f>
        <v>3.1622776601683699E-8</v>
      </c>
      <c r="U1916" s="6">
        <v>0</v>
      </c>
      <c r="V1916" s="6">
        <v>0</v>
      </c>
      <c r="W1916" s="6">
        <v>0</v>
      </c>
      <c r="X1916" s="6">
        <v>0</v>
      </c>
      <c r="Y1916" t="s">
        <v>171</v>
      </c>
      <c r="AD1916">
        <f>1/6</f>
        <v>0.16666666666666666</v>
      </c>
      <c r="AE1916">
        <v>500</v>
      </c>
      <c r="AF1916">
        <v>1</v>
      </c>
      <c r="AG1916" s="9">
        <v>1.7000000000000001E-2</v>
      </c>
      <c r="AH1916" s="9">
        <v>1.07</v>
      </c>
      <c r="AI1916" s="9">
        <v>0.65</v>
      </c>
      <c r="AJ1916" s="9">
        <v>1.9E-2</v>
      </c>
      <c r="AK1916" s="9">
        <v>8.9999999999999993E-3</v>
      </c>
      <c r="AL1916" s="9">
        <v>17.3</v>
      </c>
      <c r="AM1916" s="9">
        <v>11.1</v>
      </c>
      <c r="AN1916" s="9">
        <v>2.16</v>
      </c>
      <c r="AO1916" s="9">
        <v>9.2999999999999999E-2</v>
      </c>
      <c r="AP1916"/>
    </row>
    <row r="1917" spans="1:42" x14ac:dyDescent="0.3">
      <c r="A1917" t="s">
        <v>491</v>
      </c>
      <c r="B1917" s="1" t="s">
        <v>1607</v>
      </c>
      <c r="C1917">
        <v>80</v>
      </c>
      <c r="D1917" s="8">
        <v>1.4403999999999999</v>
      </c>
      <c r="E1917">
        <v>32</v>
      </c>
      <c r="F1917">
        <v>12.5</v>
      </c>
      <c r="H1917" t="s">
        <v>987</v>
      </c>
      <c r="K1917" s="4">
        <v>1</v>
      </c>
      <c r="L1917" t="s">
        <v>140</v>
      </c>
      <c r="M1917" t="s">
        <v>28</v>
      </c>
      <c r="N1917" s="3">
        <v>0.6</v>
      </c>
      <c r="O1917" s="3">
        <v>0</v>
      </c>
      <c r="P1917">
        <v>21</v>
      </c>
      <c r="Q1917">
        <v>6.5</v>
      </c>
      <c r="R1917" t="s">
        <v>102</v>
      </c>
      <c r="S1917">
        <v>0</v>
      </c>
      <c r="T1917" s="6">
        <f>10^-(14-Q1917)</f>
        <v>3.1622776601683699E-8</v>
      </c>
      <c r="U1917" s="6">
        <v>0</v>
      </c>
      <c r="V1917" s="6">
        <v>0</v>
      </c>
      <c r="W1917" s="6">
        <v>0</v>
      </c>
      <c r="X1917" s="6">
        <v>0</v>
      </c>
      <c r="Y1917" t="s">
        <v>171</v>
      </c>
      <c r="AD1917">
        <f>1/6</f>
        <v>0.16666666666666666</v>
      </c>
      <c r="AE1917">
        <v>400</v>
      </c>
      <c r="AF1917">
        <v>1</v>
      </c>
      <c r="AG1917" s="9">
        <v>1.7000000000000001E-2</v>
      </c>
      <c r="AH1917" s="9">
        <v>1.07</v>
      </c>
      <c r="AI1917" s="9">
        <v>0.65</v>
      </c>
      <c r="AJ1917" s="9">
        <v>1.9E-2</v>
      </c>
      <c r="AK1917" s="9">
        <v>8.9999999999999993E-3</v>
      </c>
      <c r="AL1917" s="9">
        <v>17.3</v>
      </c>
      <c r="AM1917" s="9">
        <v>11.1</v>
      </c>
      <c r="AN1917" s="9">
        <v>2.16</v>
      </c>
      <c r="AO1917" s="9">
        <v>9.2999999999999999E-2</v>
      </c>
      <c r="AP1917"/>
    </row>
    <row r="1918" spans="1:42" x14ac:dyDescent="0.3">
      <c r="A1918" t="s">
        <v>492</v>
      </c>
      <c r="B1918" s="1" t="s">
        <v>1607</v>
      </c>
      <c r="C1918">
        <v>80</v>
      </c>
      <c r="D1918" s="8">
        <v>1.4403999999999999</v>
      </c>
      <c r="E1918">
        <v>32</v>
      </c>
      <c r="F1918">
        <v>12.5</v>
      </c>
      <c r="H1918" t="s">
        <v>987</v>
      </c>
      <c r="K1918" s="4">
        <v>1</v>
      </c>
      <c r="L1918" t="s">
        <v>140</v>
      </c>
      <c r="M1918" t="s">
        <v>28</v>
      </c>
      <c r="N1918" s="3">
        <v>0.6</v>
      </c>
      <c r="O1918" s="3">
        <v>0</v>
      </c>
      <c r="P1918">
        <v>21</v>
      </c>
      <c r="Q1918">
        <v>6.5</v>
      </c>
      <c r="R1918" t="s">
        <v>102</v>
      </c>
      <c r="S1918">
        <v>0</v>
      </c>
      <c r="T1918" s="6">
        <f>10^-(14-Q1918)</f>
        <v>3.1622776601683699E-8</v>
      </c>
      <c r="U1918" s="6">
        <v>0</v>
      </c>
      <c r="V1918" s="6">
        <v>0</v>
      </c>
      <c r="W1918" s="6">
        <v>0</v>
      </c>
      <c r="X1918" s="6">
        <v>0</v>
      </c>
      <c r="Y1918" t="s">
        <v>171</v>
      </c>
      <c r="AD1918">
        <f>1/6</f>
        <v>0.16666666666666666</v>
      </c>
      <c r="AE1918">
        <v>350</v>
      </c>
      <c r="AF1918">
        <v>1</v>
      </c>
      <c r="AG1918" s="9">
        <v>1.7000000000000001E-2</v>
      </c>
      <c r="AH1918" s="9">
        <v>1.07</v>
      </c>
      <c r="AI1918" s="9">
        <v>0.65</v>
      </c>
      <c r="AJ1918" s="9">
        <v>1.9E-2</v>
      </c>
      <c r="AK1918" s="9">
        <v>8.9999999999999993E-3</v>
      </c>
      <c r="AL1918" s="9">
        <v>17.3</v>
      </c>
      <c r="AM1918" s="9">
        <v>11.1</v>
      </c>
      <c r="AN1918" s="9">
        <v>2.16</v>
      </c>
      <c r="AO1918" s="9">
        <v>9.2999999999999999E-2</v>
      </c>
      <c r="AP1918"/>
    </row>
    <row r="1919" spans="1:42" x14ac:dyDescent="0.3">
      <c r="A1919" t="s">
        <v>493</v>
      </c>
      <c r="B1919" s="1" t="s">
        <v>1607</v>
      </c>
      <c r="C1919">
        <v>80</v>
      </c>
      <c r="D1919" s="8">
        <v>1.4403999999999999</v>
      </c>
      <c r="E1919">
        <v>32</v>
      </c>
      <c r="F1919">
        <v>12.5</v>
      </c>
      <c r="H1919" t="s">
        <v>987</v>
      </c>
      <c r="K1919" s="4">
        <v>1</v>
      </c>
      <c r="L1919" t="s">
        <v>140</v>
      </c>
      <c r="M1919" t="s">
        <v>28</v>
      </c>
      <c r="N1919" s="3">
        <v>0.6</v>
      </c>
      <c r="O1919" s="3">
        <v>0</v>
      </c>
      <c r="P1919">
        <v>21</v>
      </c>
      <c r="Q1919">
        <v>6.5</v>
      </c>
      <c r="R1919" t="s">
        <v>102</v>
      </c>
      <c r="S1919">
        <v>0</v>
      </c>
      <c r="T1919" s="6">
        <f>10^-(14-Q1919)</f>
        <v>3.1622776601683699E-8</v>
      </c>
      <c r="U1919" s="6">
        <v>0</v>
      </c>
      <c r="V1919" s="6">
        <v>0</v>
      </c>
      <c r="W1919" s="6">
        <v>0</v>
      </c>
      <c r="X1919" s="6">
        <v>0</v>
      </c>
      <c r="Y1919" t="s">
        <v>171</v>
      </c>
      <c r="AD1919">
        <f>1/6</f>
        <v>0.16666666666666666</v>
      </c>
      <c r="AE1919">
        <v>250</v>
      </c>
      <c r="AF1919">
        <v>1</v>
      </c>
      <c r="AG1919" s="9">
        <v>1.7000000000000001E-2</v>
      </c>
      <c r="AH1919" s="9">
        <v>1.07</v>
      </c>
      <c r="AI1919" s="9">
        <v>0.65</v>
      </c>
      <c r="AJ1919" s="9">
        <v>1.9E-2</v>
      </c>
      <c r="AK1919" s="9">
        <v>8.9999999999999993E-3</v>
      </c>
      <c r="AL1919" s="9">
        <v>17.3</v>
      </c>
      <c r="AM1919" s="9">
        <v>11.1</v>
      </c>
      <c r="AN1919" s="9">
        <v>2.16</v>
      </c>
      <c r="AO1919" s="9">
        <v>9.2999999999999999E-2</v>
      </c>
      <c r="AP1919"/>
    </row>
    <row r="1920" spans="1:42" x14ac:dyDescent="0.3">
      <c r="A1920" t="s">
        <v>494</v>
      </c>
      <c r="B1920" s="1" t="s">
        <v>1607</v>
      </c>
      <c r="C1920">
        <v>80</v>
      </c>
      <c r="D1920" s="8">
        <v>1.4403999999999999</v>
      </c>
      <c r="E1920">
        <v>32</v>
      </c>
      <c r="F1920">
        <v>12.5</v>
      </c>
      <c r="H1920" t="s">
        <v>987</v>
      </c>
      <c r="K1920" s="4">
        <v>1</v>
      </c>
      <c r="L1920" t="s">
        <v>140</v>
      </c>
      <c r="M1920" t="s">
        <v>28</v>
      </c>
      <c r="N1920" s="3">
        <v>0.6</v>
      </c>
      <c r="O1920" s="3">
        <v>0</v>
      </c>
      <c r="P1920">
        <v>21</v>
      </c>
      <c r="Q1920">
        <v>6.5</v>
      </c>
      <c r="R1920" t="s">
        <v>102</v>
      </c>
      <c r="S1920">
        <v>0</v>
      </c>
      <c r="T1920" s="6">
        <f>10^-(14-Q1920)</f>
        <v>3.1622776601683699E-8</v>
      </c>
      <c r="U1920" s="6">
        <v>0</v>
      </c>
      <c r="V1920" s="6">
        <v>0</v>
      </c>
      <c r="W1920" s="6">
        <v>0</v>
      </c>
      <c r="X1920" s="6">
        <v>0</v>
      </c>
      <c r="Y1920" t="s">
        <v>171</v>
      </c>
      <c r="AD1920">
        <f>1/6</f>
        <v>0.16666666666666666</v>
      </c>
      <c r="AE1920">
        <v>150</v>
      </c>
      <c r="AF1920">
        <v>1</v>
      </c>
      <c r="AG1920" s="9">
        <v>1.7000000000000001E-2</v>
      </c>
      <c r="AH1920" s="9">
        <v>1.07</v>
      </c>
      <c r="AI1920" s="9">
        <v>0.65</v>
      </c>
      <c r="AJ1920" s="9">
        <v>1.9E-2</v>
      </c>
      <c r="AK1920" s="9">
        <v>8.9999999999999993E-3</v>
      </c>
      <c r="AL1920" s="9">
        <v>17.3</v>
      </c>
      <c r="AM1920" s="9">
        <v>11.1</v>
      </c>
      <c r="AN1920" s="9">
        <v>2.16</v>
      </c>
      <c r="AO1920" s="9">
        <v>9.2999999999999999E-2</v>
      </c>
      <c r="AP1920"/>
    </row>
    <row r="1921" spans="1:42" x14ac:dyDescent="0.3">
      <c r="A1921" t="s">
        <v>495</v>
      </c>
      <c r="B1921" s="1" t="s">
        <v>1607</v>
      </c>
      <c r="C1921">
        <v>80</v>
      </c>
      <c r="D1921" s="8">
        <v>1.4403999999999999</v>
      </c>
      <c r="E1921">
        <v>32</v>
      </c>
      <c r="F1921">
        <v>18</v>
      </c>
      <c r="H1921" t="s">
        <v>987</v>
      </c>
      <c r="K1921" s="4">
        <v>1</v>
      </c>
      <c r="L1921" t="s">
        <v>140</v>
      </c>
      <c r="M1921" t="s">
        <v>28</v>
      </c>
      <c r="N1921" s="3">
        <v>0.6</v>
      </c>
      <c r="O1921" s="3">
        <v>0</v>
      </c>
      <c r="P1921">
        <v>21</v>
      </c>
      <c r="Q1921">
        <v>6.5</v>
      </c>
      <c r="R1921" t="s">
        <v>102</v>
      </c>
      <c r="S1921">
        <v>0</v>
      </c>
      <c r="T1921" s="6">
        <f>10^-(14-Q1921)</f>
        <v>3.1622776601683699E-8</v>
      </c>
      <c r="U1921" s="6">
        <v>0</v>
      </c>
      <c r="V1921" s="6">
        <v>0</v>
      </c>
      <c r="W1921" s="6">
        <v>0</v>
      </c>
      <c r="X1921" s="6">
        <v>0</v>
      </c>
      <c r="Y1921" t="s">
        <v>171</v>
      </c>
      <c r="AD1921">
        <f>1/6</f>
        <v>0.16666666666666666</v>
      </c>
      <c r="AE1921">
        <v>350</v>
      </c>
      <c r="AF1921">
        <v>1</v>
      </c>
      <c r="AG1921" s="9">
        <v>1.7000000000000001E-2</v>
      </c>
      <c r="AH1921" s="9">
        <v>1.07</v>
      </c>
      <c r="AI1921" s="9">
        <v>0.65</v>
      </c>
      <c r="AJ1921" s="9">
        <v>1.9E-2</v>
      </c>
      <c r="AK1921" s="9">
        <v>8.9999999999999993E-3</v>
      </c>
      <c r="AL1921" s="9">
        <v>17.3</v>
      </c>
      <c r="AM1921" s="9">
        <v>11.1</v>
      </c>
      <c r="AN1921" s="9">
        <v>2.16</v>
      </c>
      <c r="AO1921" s="9">
        <v>9.2999999999999999E-2</v>
      </c>
      <c r="AP1921"/>
    </row>
    <row r="1922" spans="1:42" x14ac:dyDescent="0.3">
      <c r="A1922" t="s">
        <v>496</v>
      </c>
      <c r="B1922" s="1" t="s">
        <v>1607</v>
      </c>
      <c r="C1922">
        <v>80</v>
      </c>
      <c r="D1922" s="8">
        <v>1.4403999999999999</v>
      </c>
      <c r="E1922">
        <v>32</v>
      </c>
      <c r="F1922">
        <v>18</v>
      </c>
      <c r="H1922" t="s">
        <v>987</v>
      </c>
      <c r="K1922" s="4">
        <v>1</v>
      </c>
      <c r="L1922" t="s">
        <v>140</v>
      </c>
      <c r="M1922" t="s">
        <v>28</v>
      </c>
      <c r="N1922" s="3">
        <v>0.6</v>
      </c>
      <c r="O1922" s="3">
        <v>0</v>
      </c>
      <c r="P1922">
        <v>21</v>
      </c>
      <c r="Q1922">
        <v>6.5</v>
      </c>
      <c r="R1922" t="s">
        <v>102</v>
      </c>
      <c r="S1922">
        <v>0</v>
      </c>
      <c r="T1922" s="6">
        <f>10^-(14-Q1922)</f>
        <v>3.1622776601683699E-8</v>
      </c>
      <c r="U1922" s="6">
        <v>0</v>
      </c>
      <c r="V1922" s="6">
        <v>0</v>
      </c>
      <c r="W1922" s="6">
        <v>0</v>
      </c>
      <c r="X1922" s="6">
        <v>0</v>
      </c>
      <c r="Y1922" t="s">
        <v>171</v>
      </c>
      <c r="AD1922">
        <f>1/6</f>
        <v>0.16666666666666666</v>
      </c>
      <c r="AE1922">
        <v>300</v>
      </c>
      <c r="AF1922">
        <v>1</v>
      </c>
      <c r="AG1922" s="9">
        <v>1.7000000000000001E-2</v>
      </c>
      <c r="AH1922" s="9">
        <v>1.07</v>
      </c>
      <c r="AI1922" s="9">
        <v>0.65</v>
      </c>
      <c r="AJ1922" s="9">
        <v>1.9E-2</v>
      </c>
      <c r="AK1922" s="9">
        <v>8.9999999999999993E-3</v>
      </c>
      <c r="AL1922" s="9">
        <v>17.3</v>
      </c>
      <c r="AM1922" s="9">
        <v>11.1</v>
      </c>
      <c r="AN1922" s="9">
        <v>2.16</v>
      </c>
      <c r="AO1922" s="9">
        <v>9.2999999999999999E-2</v>
      </c>
      <c r="AP1922"/>
    </row>
    <row r="1923" spans="1:42" x14ac:dyDescent="0.3">
      <c r="A1923" t="s">
        <v>497</v>
      </c>
      <c r="B1923" s="1" t="s">
        <v>1607</v>
      </c>
      <c r="C1923">
        <v>80</v>
      </c>
      <c r="D1923" s="8">
        <v>1.4403999999999999</v>
      </c>
      <c r="E1923">
        <v>32</v>
      </c>
      <c r="F1923">
        <v>18</v>
      </c>
      <c r="H1923" t="s">
        <v>987</v>
      </c>
      <c r="K1923" s="4">
        <v>1</v>
      </c>
      <c r="L1923" t="s">
        <v>140</v>
      </c>
      <c r="M1923" t="s">
        <v>28</v>
      </c>
      <c r="N1923" s="3">
        <v>0.6</v>
      </c>
      <c r="O1923" s="3">
        <v>0</v>
      </c>
      <c r="P1923">
        <v>21</v>
      </c>
      <c r="Q1923">
        <v>6.5</v>
      </c>
      <c r="R1923" t="s">
        <v>102</v>
      </c>
      <c r="S1923">
        <v>0</v>
      </c>
      <c r="T1923" s="6">
        <f>10^-(14-Q1923)</f>
        <v>3.1622776601683699E-8</v>
      </c>
      <c r="U1923" s="6">
        <v>0</v>
      </c>
      <c r="V1923" s="6">
        <v>0</v>
      </c>
      <c r="W1923" s="6">
        <v>0</v>
      </c>
      <c r="X1923" s="6">
        <v>0</v>
      </c>
      <c r="Y1923" t="s">
        <v>171</v>
      </c>
      <c r="AD1923">
        <f>1/6</f>
        <v>0.16666666666666666</v>
      </c>
      <c r="AE1923">
        <v>250</v>
      </c>
      <c r="AF1923">
        <v>1</v>
      </c>
      <c r="AG1923" s="9">
        <v>1.7000000000000001E-2</v>
      </c>
      <c r="AH1923" s="9">
        <v>1.07</v>
      </c>
      <c r="AI1923" s="9">
        <v>0.65</v>
      </c>
      <c r="AJ1923" s="9">
        <v>1.9E-2</v>
      </c>
      <c r="AK1923" s="9">
        <v>8.9999999999999993E-3</v>
      </c>
      <c r="AL1923" s="9">
        <v>17.3</v>
      </c>
      <c r="AM1923" s="9">
        <v>11.1</v>
      </c>
      <c r="AN1923" s="9">
        <v>2.16</v>
      </c>
      <c r="AO1923" s="9">
        <v>9.2999999999999999E-2</v>
      </c>
      <c r="AP1923"/>
    </row>
    <row r="1924" spans="1:42" x14ac:dyDescent="0.3">
      <c r="A1924" t="s">
        <v>498</v>
      </c>
      <c r="B1924" s="1" t="s">
        <v>1607</v>
      </c>
      <c r="C1924">
        <v>80</v>
      </c>
      <c r="D1924" s="8">
        <v>1.4403999999999999</v>
      </c>
      <c r="E1924">
        <v>32</v>
      </c>
      <c r="F1924">
        <v>18</v>
      </c>
      <c r="H1924" t="s">
        <v>987</v>
      </c>
      <c r="K1924" s="4">
        <v>1</v>
      </c>
      <c r="L1924" t="s">
        <v>140</v>
      </c>
      <c r="M1924" t="s">
        <v>28</v>
      </c>
      <c r="N1924" s="3">
        <v>0.6</v>
      </c>
      <c r="O1924" s="3">
        <v>0</v>
      </c>
      <c r="P1924">
        <v>21</v>
      </c>
      <c r="Q1924">
        <v>6.5</v>
      </c>
      <c r="R1924" t="s">
        <v>102</v>
      </c>
      <c r="S1924">
        <v>0</v>
      </c>
      <c r="T1924" s="6">
        <f>10^-(14-Q1924)</f>
        <v>3.1622776601683699E-8</v>
      </c>
      <c r="U1924" s="6">
        <v>0</v>
      </c>
      <c r="V1924" s="6">
        <v>0</v>
      </c>
      <c r="W1924" s="6">
        <v>0</v>
      </c>
      <c r="X1924" s="6">
        <v>0</v>
      </c>
      <c r="Y1924" t="s">
        <v>171</v>
      </c>
      <c r="AD1924">
        <f>1/6</f>
        <v>0.16666666666666666</v>
      </c>
      <c r="AE1924">
        <v>200</v>
      </c>
      <c r="AF1924">
        <v>1</v>
      </c>
      <c r="AG1924" s="9">
        <v>1.7000000000000001E-2</v>
      </c>
      <c r="AH1924" s="9">
        <v>1.07</v>
      </c>
      <c r="AI1924" s="9">
        <v>0.65</v>
      </c>
      <c r="AJ1924" s="9">
        <v>1.9E-2</v>
      </c>
      <c r="AK1924" s="9">
        <v>8.9999999999999993E-3</v>
      </c>
      <c r="AL1924" s="9">
        <v>17.3</v>
      </c>
      <c r="AM1924" s="9">
        <v>11.1</v>
      </c>
      <c r="AN1924" s="9">
        <v>2.16</v>
      </c>
      <c r="AO1924" s="9">
        <v>9.2999999999999999E-2</v>
      </c>
      <c r="AP1924"/>
    </row>
    <row r="1925" spans="1:42" x14ac:dyDescent="0.3">
      <c r="A1925" t="s">
        <v>499</v>
      </c>
      <c r="B1925" s="1" t="s">
        <v>1607</v>
      </c>
      <c r="C1925">
        <v>80</v>
      </c>
      <c r="D1925" s="8">
        <v>1.4403999999999999</v>
      </c>
      <c r="E1925">
        <v>32</v>
      </c>
      <c r="F1925">
        <v>18</v>
      </c>
      <c r="H1925" t="s">
        <v>987</v>
      </c>
      <c r="K1925" s="4">
        <v>1</v>
      </c>
      <c r="L1925" t="s">
        <v>140</v>
      </c>
      <c r="M1925" t="s">
        <v>28</v>
      </c>
      <c r="N1925" s="3">
        <v>0.6</v>
      </c>
      <c r="O1925" s="3">
        <v>0</v>
      </c>
      <c r="P1925">
        <v>21</v>
      </c>
      <c r="Q1925">
        <v>6.5</v>
      </c>
      <c r="R1925" t="s">
        <v>102</v>
      </c>
      <c r="S1925">
        <v>0</v>
      </c>
      <c r="T1925" s="6">
        <f>10^-(14-Q1925)</f>
        <v>3.1622776601683699E-8</v>
      </c>
      <c r="U1925" s="6">
        <v>0</v>
      </c>
      <c r="V1925" s="6">
        <v>0</v>
      </c>
      <c r="W1925" s="6">
        <v>0</v>
      </c>
      <c r="X1925" s="6">
        <v>0</v>
      </c>
      <c r="Y1925" t="s">
        <v>171</v>
      </c>
      <c r="AD1925">
        <f>1/6</f>
        <v>0.16666666666666666</v>
      </c>
      <c r="AE1925">
        <v>100</v>
      </c>
      <c r="AF1925">
        <v>1</v>
      </c>
      <c r="AG1925" s="9">
        <v>1.7000000000000001E-2</v>
      </c>
      <c r="AH1925" s="9">
        <v>1.07</v>
      </c>
      <c r="AI1925" s="9">
        <v>0.65</v>
      </c>
      <c r="AJ1925" s="9">
        <v>1.9E-2</v>
      </c>
      <c r="AK1925" s="9">
        <v>8.9999999999999993E-3</v>
      </c>
      <c r="AL1925" s="9">
        <v>17.3</v>
      </c>
      <c r="AM1925" s="9">
        <v>11.1</v>
      </c>
      <c r="AN1925" s="9">
        <v>2.16</v>
      </c>
      <c r="AO1925" s="9">
        <v>9.2999999999999999E-2</v>
      </c>
      <c r="AP1925"/>
    </row>
    <row r="1926" spans="1:42" x14ac:dyDescent="0.3">
      <c r="A1926" t="s">
        <v>500</v>
      </c>
      <c r="B1926" s="1" t="s">
        <v>1607</v>
      </c>
      <c r="C1926">
        <v>80</v>
      </c>
      <c r="D1926" s="8">
        <v>1.4403999999999999</v>
      </c>
      <c r="E1926">
        <v>32</v>
      </c>
      <c r="F1926">
        <v>18</v>
      </c>
      <c r="H1926" t="s">
        <v>987</v>
      </c>
      <c r="K1926" s="4">
        <v>1</v>
      </c>
      <c r="L1926" t="s">
        <v>140</v>
      </c>
      <c r="M1926" t="s">
        <v>28</v>
      </c>
      <c r="N1926" s="3">
        <v>0.6</v>
      </c>
      <c r="O1926" s="3">
        <v>0</v>
      </c>
      <c r="P1926">
        <v>21</v>
      </c>
      <c r="Q1926">
        <v>6.5</v>
      </c>
      <c r="R1926" t="s">
        <v>102</v>
      </c>
      <c r="S1926">
        <v>0</v>
      </c>
      <c r="T1926" s="6">
        <f>10^-(14-Q1926)</f>
        <v>3.1622776601683699E-8</v>
      </c>
      <c r="U1926" s="6">
        <v>0</v>
      </c>
      <c r="V1926" s="6">
        <v>0</v>
      </c>
      <c r="W1926" s="6">
        <v>0</v>
      </c>
      <c r="X1926" s="6">
        <v>0</v>
      </c>
      <c r="Y1926" t="s">
        <v>171</v>
      </c>
      <c r="AD1926">
        <f>1/6</f>
        <v>0.16666666666666666</v>
      </c>
      <c r="AE1926">
        <v>100</v>
      </c>
      <c r="AF1926">
        <v>1</v>
      </c>
      <c r="AG1926" s="9">
        <v>1.7000000000000001E-2</v>
      </c>
      <c r="AH1926" s="9">
        <v>1.07</v>
      </c>
      <c r="AI1926" s="9">
        <v>0.65</v>
      </c>
      <c r="AJ1926" s="9">
        <v>1.9E-2</v>
      </c>
      <c r="AK1926" s="9">
        <v>8.9999999999999993E-3</v>
      </c>
      <c r="AL1926" s="9">
        <v>17.3</v>
      </c>
      <c r="AM1926" s="9">
        <v>11.1</v>
      </c>
      <c r="AN1926" s="9">
        <v>2.16</v>
      </c>
      <c r="AO1926" s="9">
        <v>9.2999999999999999E-2</v>
      </c>
      <c r="AP1926"/>
    </row>
    <row r="1927" spans="1:42" x14ac:dyDescent="0.3">
      <c r="A1927" t="s">
        <v>501</v>
      </c>
      <c r="B1927" s="1" t="s">
        <v>1607</v>
      </c>
      <c r="C1927">
        <v>80</v>
      </c>
      <c r="D1927" s="8">
        <v>1.4403999999999999</v>
      </c>
      <c r="E1927">
        <v>14000</v>
      </c>
      <c r="F1927">
        <v>5</v>
      </c>
      <c r="H1927" t="s">
        <v>987</v>
      </c>
      <c r="K1927" s="4">
        <v>1</v>
      </c>
      <c r="L1927" t="s">
        <v>140</v>
      </c>
      <c r="M1927" t="s">
        <v>28</v>
      </c>
      <c r="N1927" s="3">
        <v>0.6</v>
      </c>
      <c r="O1927" s="3">
        <v>0</v>
      </c>
      <c r="P1927">
        <v>21</v>
      </c>
      <c r="Q1927">
        <v>6.5</v>
      </c>
      <c r="R1927" t="s">
        <v>102</v>
      </c>
      <c r="S1927">
        <v>0</v>
      </c>
      <c r="T1927" s="6">
        <f>10^-(14-Q1927)</f>
        <v>3.1622776601683699E-8</v>
      </c>
      <c r="U1927" s="6">
        <v>0</v>
      </c>
      <c r="V1927" s="6">
        <v>0</v>
      </c>
      <c r="W1927" s="6">
        <v>0</v>
      </c>
      <c r="X1927" s="6">
        <v>0</v>
      </c>
      <c r="Y1927" t="s">
        <v>171</v>
      </c>
      <c r="Z1927" s="5">
        <v>20</v>
      </c>
      <c r="AD1927">
        <f>1/6</f>
        <v>0.16666666666666666</v>
      </c>
      <c r="AE1927">
        <v>600</v>
      </c>
      <c r="AF1927">
        <v>1</v>
      </c>
      <c r="AG1927" s="9">
        <v>1.7000000000000001E-2</v>
      </c>
      <c r="AH1927" s="9">
        <v>1.07</v>
      </c>
      <c r="AI1927" s="9">
        <v>0.65</v>
      </c>
      <c r="AJ1927" s="9">
        <v>1.9E-2</v>
      </c>
      <c r="AK1927" s="9">
        <v>8.9999999999999993E-3</v>
      </c>
      <c r="AL1927" s="9">
        <v>17.3</v>
      </c>
      <c r="AM1927" s="9">
        <v>11.1</v>
      </c>
      <c r="AN1927" s="9">
        <v>2.16</v>
      </c>
      <c r="AO1927" s="9">
        <v>9.2999999999999999E-2</v>
      </c>
      <c r="AP1927"/>
    </row>
    <row r="1928" spans="1:42" x14ac:dyDescent="0.3">
      <c r="A1928" t="s">
        <v>502</v>
      </c>
      <c r="B1928" s="1" t="s">
        <v>1607</v>
      </c>
      <c r="C1928">
        <v>80</v>
      </c>
      <c r="D1928" s="8">
        <v>1.4403999999999999</v>
      </c>
      <c r="E1928">
        <v>14000</v>
      </c>
      <c r="F1928">
        <v>5</v>
      </c>
      <c r="H1928" t="s">
        <v>987</v>
      </c>
      <c r="K1928" s="4">
        <v>1</v>
      </c>
      <c r="L1928" t="s">
        <v>140</v>
      </c>
      <c r="M1928" t="s">
        <v>28</v>
      </c>
      <c r="N1928" s="3">
        <v>0.6</v>
      </c>
      <c r="O1928" s="3">
        <v>0</v>
      </c>
      <c r="P1928">
        <v>21</v>
      </c>
      <c r="Q1928">
        <v>6.5</v>
      </c>
      <c r="R1928" t="s">
        <v>102</v>
      </c>
      <c r="S1928">
        <v>0</v>
      </c>
      <c r="T1928" s="6">
        <f>10^-(14-Q1928)</f>
        <v>3.1622776601683699E-8</v>
      </c>
      <c r="U1928" s="6">
        <v>0</v>
      </c>
      <c r="V1928" s="6">
        <v>0</v>
      </c>
      <c r="W1928" s="6">
        <v>0</v>
      </c>
      <c r="X1928" s="6">
        <v>0</v>
      </c>
      <c r="Y1928" t="s">
        <v>171</v>
      </c>
      <c r="Z1928" s="5">
        <v>20</v>
      </c>
      <c r="AD1928">
        <f>1/6</f>
        <v>0.16666666666666666</v>
      </c>
      <c r="AE1928">
        <v>500</v>
      </c>
      <c r="AF1928">
        <v>1</v>
      </c>
      <c r="AG1928" s="9">
        <v>1.7000000000000001E-2</v>
      </c>
      <c r="AH1928" s="9">
        <v>1.07</v>
      </c>
      <c r="AI1928" s="9">
        <v>0.65</v>
      </c>
      <c r="AJ1928" s="9">
        <v>1.9E-2</v>
      </c>
      <c r="AK1928" s="9">
        <v>8.9999999999999993E-3</v>
      </c>
      <c r="AL1928" s="9">
        <v>17.3</v>
      </c>
      <c r="AM1928" s="9">
        <v>11.1</v>
      </c>
      <c r="AN1928" s="9">
        <v>2.16</v>
      </c>
      <c r="AO1928" s="9">
        <v>9.2999999999999999E-2</v>
      </c>
      <c r="AP1928"/>
    </row>
    <row r="1929" spans="1:42" x14ac:dyDescent="0.3">
      <c r="A1929" t="s">
        <v>503</v>
      </c>
      <c r="B1929" s="1" t="s">
        <v>1607</v>
      </c>
      <c r="C1929">
        <v>80</v>
      </c>
      <c r="D1929" s="8">
        <v>1.4403999999999999</v>
      </c>
      <c r="E1929">
        <v>14000</v>
      </c>
      <c r="F1929">
        <v>5</v>
      </c>
      <c r="H1929" t="s">
        <v>987</v>
      </c>
      <c r="K1929" s="4">
        <v>1</v>
      </c>
      <c r="L1929" t="s">
        <v>140</v>
      </c>
      <c r="M1929" t="s">
        <v>28</v>
      </c>
      <c r="N1929" s="3">
        <v>0.6</v>
      </c>
      <c r="O1929" s="3">
        <v>0</v>
      </c>
      <c r="P1929">
        <v>21</v>
      </c>
      <c r="Q1929">
        <v>6.5</v>
      </c>
      <c r="R1929" t="s">
        <v>102</v>
      </c>
      <c r="S1929">
        <v>0</v>
      </c>
      <c r="T1929" s="6">
        <f>10^-(14-Q1929)</f>
        <v>3.1622776601683699E-8</v>
      </c>
      <c r="U1929" s="6">
        <v>0</v>
      </c>
      <c r="V1929" s="6">
        <v>0</v>
      </c>
      <c r="W1929" s="6">
        <v>0</v>
      </c>
      <c r="X1929" s="6">
        <v>0</v>
      </c>
      <c r="Y1929" t="s">
        <v>171</v>
      </c>
      <c r="Z1929" s="5">
        <v>20</v>
      </c>
      <c r="AD1929">
        <f>1/6</f>
        <v>0.16666666666666666</v>
      </c>
      <c r="AE1929">
        <v>500</v>
      </c>
      <c r="AF1929">
        <v>1</v>
      </c>
      <c r="AG1929" s="9">
        <v>1.7000000000000001E-2</v>
      </c>
      <c r="AH1929" s="9">
        <v>1.07</v>
      </c>
      <c r="AI1929" s="9">
        <v>0.65</v>
      </c>
      <c r="AJ1929" s="9">
        <v>1.9E-2</v>
      </c>
      <c r="AK1929" s="9">
        <v>8.9999999999999993E-3</v>
      </c>
      <c r="AL1929" s="9">
        <v>17.3</v>
      </c>
      <c r="AM1929" s="9">
        <v>11.1</v>
      </c>
      <c r="AN1929" s="9">
        <v>2.16</v>
      </c>
      <c r="AO1929" s="9">
        <v>9.2999999999999999E-2</v>
      </c>
      <c r="AP1929"/>
    </row>
    <row r="1930" spans="1:42" x14ac:dyDescent="0.3">
      <c r="A1930" t="s">
        <v>504</v>
      </c>
      <c r="B1930" s="1" t="s">
        <v>1607</v>
      </c>
      <c r="C1930">
        <v>80</v>
      </c>
      <c r="D1930" s="8">
        <v>1.4403999999999999</v>
      </c>
      <c r="E1930">
        <v>14000</v>
      </c>
      <c r="F1930">
        <v>5</v>
      </c>
      <c r="H1930" t="s">
        <v>987</v>
      </c>
      <c r="K1930" s="4">
        <v>1</v>
      </c>
      <c r="L1930" t="s">
        <v>140</v>
      </c>
      <c r="M1930" t="s">
        <v>28</v>
      </c>
      <c r="N1930" s="3">
        <v>0.6</v>
      </c>
      <c r="O1930" s="3">
        <v>0</v>
      </c>
      <c r="P1930">
        <v>21</v>
      </c>
      <c r="Q1930">
        <v>6.5</v>
      </c>
      <c r="R1930" t="s">
        <v>102</v>
      </c>
      <c r="S1930">
        <v>0</v>
      </c>
      <c r="T1930" s="6">
        <f>10^-(14-Q1930)</f>
        <v>3.1622776601683699E-8</v>
      </c>
      <c r="U1930" s="6">
        <v>0</v>
      </c>
      <c r="V1930" s="6">
        <v>0</v>
      </c>
      <c r="W1930" s="6">
        <v>0</v>
      </c>
      <c r="X1930" s="6">
        <v>0</v>
      </c>
      <c r="Y1930" t="s">
        <v>171</v>
      </c>
      <c r="Z1930" s="5">
        <v>20</v>
      </c>
      <c r="AD1930">
        <f>1/6</f>
        <v>0.16666666666666666</v>
      </c>
      <c r="AE1930">
        <v>400</v>
      </c>
      <c r="AF1930">
        <v>1</v>
      </c>
      <c r="AG1930" s="9">
        <v>1.7000000000000001E-2</v>
      </c>
      <c r="AH1930" s="9">
        <v>1.07</v>
      </c>
      <c r="AI1930" s="9">
        <v>0.65</v>
      </c>
      <c r="AJ1930" s="9">
        <v>1.9E-2</v>
      </c>
      <c r="AK1930" s="9">
        <v>8.9999999999999993E-3</v>
      </c>
      <c r="AL1930" s="9">
        <v>17.3</v>
      </c>
      <c r="AM1930" s="9">
        <v>11.1</v>
      </c>
      <c r="AN1930" s="9">
        <v>2.16</v>
      </c>
      <c r="AO1930" s="9">
        <v>9.2999999999999999E-2</v>
      </c>
      <c r="AP1930"/>
    </row>
    <row r="1931" spans="1:42" x14ac:dyDescent="0.3">
      <c r="A1931" t="s">
        <v>505</v>
      </c>
      <c r="B1931" s="1" t="s">
        <v>1607</v>
      </c>
      <c r="C1931">
        <v>80</v>
      </c>
      <c r="D1931" s="8">
        <v>1.4403999999999999</v>
      </c>
      <c r="E1931">
        <v>14000</v>
      </c>
      <c r="F1931">
        <v>5</v>
      </c>
      <c r="H1931" t="s">
        <v>987</v>
      </c>
      <c r="K1931" s="4">
        <v>1</v>
      </c>
      <c r="L1931" t="s">
        <v>140</v>
      </c>
      <c r="M1931" t="s">
        <v>28</v>
      </c>
      <c r="N1931" s="3">
        <v>0.6</v>
      </c>
      <c r="O1931" s="3">
        <v>0</v>
      </c>
      <c r="P1931">
        <v>21</v>
      </c>
      <c r="Q1931">
        <v>6.5</v>
      </c>
      <c r="R1931" t="s">
        <v>102</v>
      </c>
      <c r="S1931">
        <v>0</v>
      </c>
      <c r="T1931" s="6">
        <f>10^-(14-Q1931)</f>
        <v>3.1622776601683699E-8</v>
      </c>
      <c r="U1931" s="6">
        <v>0</v>
      </c>
      <c r="V1931" s="6">
        <v>0</v>
      </c>
      <c r="W1931" s="6">
        <v>0</v>
      </c>
      <c r="X1931" s="6">
        <v>0</v>
      </c>
      <c r="Y1931" t="s">
        <v>171</v>
      </c>
      <c r="Z1931" s="5">
        <v>20</v>
      </c>
      <c r="AD1931">
        <f>1/6</f>
        <v>0.16666666666666666</v>
      </c>
      <c r="AE1931">
        <v>350</v>
      </c>
      <c r="AF1931">
        <v>1</v>
      </c>
      <c r="AG1931" s="9">
        <v>1.7000000000000001E-2</v>
      </c>
      <c r="AH1931" s="9">
        <v>1.07</v>
      </c>
      <c r="AI1931" s="9">
        <v>0.65</v>
      </c>
      <c r="AJ1931" s="9">
        <v>1.9E-2</v>
      </c>
      <c r="AK1931" s="9">
        <v>8.9999999999999993E-3</v>
      </c>
      <c r="AL1931" s="9">
        <v>17.3</v>
      </c>
      <c r="AM1931" s="9">
        <v>11.1</v>
      </c>
      <c r="AN1931" s="9">
        <v>2.16</v>
      </c>
      <c r="AO1931" s="9">
        <v>9.2999999999999999E-2</v>
      </c>
      <c r="AP1931"/>
    </row>
    <row r="1932" spans="1:42" x14ac:dyDescent="0.3">
      <c r="A1932" t="s">
        <v>506</v>
      </c>
      <c r="B1932" s="1" t="s">
        <v>1607</v>
      </c>
      <c r="C1932">
        <v>80</v>
      </c>
      <c r="D1932" s="8">
        <v>1.4403999999999999</v>
      </c>
      <c r="E1932">
        <v>14000</v>
      </c>
      <c r="F1932">
        <v>5</v>
      </c>
      <c r="H1932" t="s">
        <v>987</v>
      </c>
      <c r="K1932" s="4">
        <v>1</v>
      </c>
      <c r="L1932" t="s">
        <v>140</v>
      </c>
      <c r="M1932" t="s">
        <v>28</v>
      </c>
      <c r="N1932" s="3">
        <v>0.6</v>
      </c>
      <c r="O1932" s="3">
        <v>0</v>
      </c>
      <c r="P1932">
        <v>21</v>
      </c>
      <c r="Q1932">
        <v>6.5</v>
      </c>
      <c r="R1932" t="s">
        <v>102</v>
      </c>
      <c r="S1932">
        <v>0</v>
      </c>
      <c r="T1932" s="6">
        <f>10^-(14-Q1932)</f>
        <v>3.1622776601683699E-8</v>
      </c>
      <c r="U1932" s="6">
        <v>0</v>
      </c>
      <c r="V1932" s="6">
        <v>0</v>
      </c>
      <c r="W1932" s="6">
        <v>0</v>
      </c>
      <c r="X1932" s="6">
        <v>0</v>
      </c>
      <c r="Y1932" t="s">
        <v>171</v>
      </c>
      <c r="Z1932" s="5">
        <v>20</v>
      </c>
      <c r="AD1932">
        <f>1/6</f>
        <v>0.16666666666666666</v>
      </c>
      <c r="AE1932">
        <v>150</v>
      </c>
      <c r="AF1932">
        <v>1</v>
      </c>
      <c r="AG1932" s="9">
        <v>1.7000000000000001E-2</v>
      </c>
      <c r="AH1932" s="9">
        <v>1.07</v>
      </c>
      <c r="AI1932" s="9">
        <v>0.65</v>
      </c>
      <c r="AJ1932" s="9">
        <v>1.9E-2</v>
      </c>
      <c r="AK1932" s="9">
        <v>8.9999999999999993E-3</v>
      </c>
      <c r="AL1932" s="9">
        <v>17.3</v>
      </c>
      <c r="AM1932" s="9">
        <v>11.1</v>
      </c>
      <c r="AN1932" s="9">
        <v>2.16</v>
      </c>
      <c r="AO1932" s="9">
        <v>9.2999999999999999E-2</v>
      </c>
      <c r="AP1932"/>
    </row>
    <row r="1933" spans="1:42" x14ac:dyDescent="0.3">
      <c r="A1933" t="s">
        <v>507</v>
      </c>
      <c r="B1933" s="1" t="s">
        <v>1607</v>
      </c>
      <c r="C1933">
        <v>80</v>
      </c>
      <c r="D1933" s="8">
        <v>1.4403999999999999</v>
      </c>
      <c r="E1933">
        <v>14000</v>
      </c>
      <c r="F1933">
        <v>8</v>
      </c>
      <c r="H1933" t="s">
        <v>987</v>
      </c>
      <c r="K1933" s="4">
        <v>1</v>
      </c>
      <c r="L1933" t="s">
        <v>140</v>
      </c>
      <c r="M1933" t="s">
        <v>28</v>
      </c>
      <c r="N1933" s="3">
        <v>0.6</v>
      </c>
      <c r="O1933" s="3">
        <v>0</v>
      </c>
      <c r="P1933">
        <v>21</v>
      </c>
      <c r="Q1933">
        <v>6.5</v>
      </c>
      <c r="R1933" t="s">
        <v>102</v>
      </c>
      <c r="S1933">
        <v>0</v>
      </c>
      <c r="T1933" s="6">
        <f>10^-(14-Q1933)</f>
        <v>3.1622776601683699E-8</v>
      </c>
      <c r="U1933" s="6">
        <v>0</v>
      </c>
      <c r="V1933" s="6">
        <v>0</v>
      </c>
      <c r="W1933" s="6">
        <v>0</v>
      </c>
      <c r="X1933" s="6">
        <v>0</v>
      </c>
      <c r="Y1933" t="s">
        <v>171</v>
      </c>
      <c r="Z1933" s="5">
        <v>-100</v>
      </c>
      <c r="AD1933">
        <f>1/6</f>
        <v>0.16666666666666666</v>
      </c>
      <c r="AE1933">
        <v>800</v>
      </c>
      <c r="AF1933">
        <v>1</v>
      </c>
      <c r="AG1933" s="9">
        <v>1.7000000000000001E-2</v>
      </c>
      <c r="AH1933" s="9">
        <v>1.07</v>
      </c>
      <c r="AI1933" s="9">
        <v>0.65</v>
      </c>
      <c r="AJ1933" s="9">
        <v>1.9E-2</v>
      </c>
      <c r="AK1933" s="9">
        <v>8.9999999999999993E-3</v>
      </c>
      <c r="AL1933" s="9">
        <v>17.3</v>
      </c>
      <c r="AM1933" s="9">
        <v>11.1</v>
      </c>
      <c r="AN1933" s="9">
        <v>2.16</v>
      </c>
      <c r="AO1933" s="9">
        <v>9.2999999999999999E-2</v>
      </c>
      <c r="AP1933"/>
    </row>
    <row r="1934" spans="1:42" x14ac:dyDescent="0.3">
      <c r="A1934" t="s">
        <v>508</v>
      </c>
      <c r="B1934" s="1" t="s">
        <v>1607</v>
      </c>
      <c r="C1934">
        <v>80</v>
      </c>
      <c r="D1934" s="8">
        <v>1.4403999999999999</v>
      </c>
      <c r="E1934">
        <v>14000</v>
      </c>
      <c r="F1934">
        <v>8</v>
      </c>
      <c r="H1934" t="s">
        <v>987</v>
      </c>
      <c r="K1934" s="4">
        <v>1</v>
      </c>
      <c r="L1934" t="s">
        <v>140</v>
      </c>
      <c r="M1934" t="s">
        <v>28</v>
      </c>
      <c r="N1934" s="3">
        <v>0.6</v>
      </c>
      <c r="O1934" s="3">
        <v>0</v>
      </c>
      <c r="P1934">
        <v>21</v>
      </c>
      <c r="Q1934">
        <v>6.5</v>
      </c>
      <c r="R1934" t="s">
        <v>102</v>
      </c>
      <c r="S1934">
        <v>0</v>
      </c>
      <c r="T1934" s="6">
        <f>10^-(14-Q1934)</f>
        <v>3.1622776601683699E-8</v>
      </c>
      <c r="U1934" s="6">
        <v>0</v>
      </c>
      <c r="V1934" s="6">
        <v>0</v>
      </c>
      <c r="W1934" s="6">
        <v>0</v>
      </c>
      <c r="X1934" s="6">
        <v>0</v>
      </c>
      <c r="Y1934" t="s">
        <v>171</v>
      </c>
      <c r="Z1934" s="5">
        <v>-100</v>
      </c>
      <c r="AD1934">
        <f>1/6</f>
        <v>0.16666666666666666</v>
      </c>
      <c r="AE1934">
        <v>750</v>
      </c>
      <c r="AF1934">
        <v>1</v>
      </c>
      <c r="AG1934" s="9">
        <v>1.7000000000000001E-2</v>
      </c>
      <c r="AH1934" s="9">
        <v>1.07</v>
      </c>
      <c r="AI1934" s="9">
        <v>0.65</v>
      </c>
      <c r="AJ1934" s="9">
        <v>1.9E-2</v>
      </c>
      <c r="AK1934" s="9">
        <v>8.9999999999999993E-3</v>
      </c>
      <c r="AL1934" s="9">
        <v>17.3</v>
      </c>
      <c r="AM1934" s="9">
        <v>11.1</v>
      </c>
      <c r="AN1934" s="9">
        <v>2.16</v>
      </c>
      <c r="AO1934" s="9">
        <v>9.2999999999999999E-2</v>
      </c>
      <c r="AP1934"/>
    </row>
    <row r="1935" spans="1:42" x14ac:dyDescent="0.3">
      <c r="A1935" t="s">
        <v>509</v>
      </c>
      <c r="B1935" s="1" t="s">
        <v>1607</v>
      </c>
      <c r="C1935">
        <v>80</v>
      </c>
      <c r="D1935" s="8">
        <v>1.4403999999999999</v>
      </c>
      <c r="E1935">
        <v>14000</v>
      </c>
      <c r="F1935">
        <v>8</v>
      </c>
      <c r="H1935" t="s">
        <v>987</v>
      </c>
      <c r="K1935" s="4">
        <v>1</v>
      </c>
      <c r="L1935" t="s">
        <v>140</v>
      </c>
      <c r="M1935" t="s">
        <v>28</v>
      </c>
      <c r="N1935" s="3">
        <v>0.6</v>
      </c>
      <c r="O1935" s="3">
        <v>0</v>
      </c>
      <c r="P1935">
        <v>21</v>
      </c>
      <c r="Q1935">
        <v>6.5</v>
      </c>
      <c r="R1935" t="s">
        <v>102</v>
      </c>
      <c r="S1935">
        <v>0</v>
      </c>
      <c r="T1935" s="6">
        <f>10^-(14-Q1935)</f>
        <v>3.1622776601683699E-8</v>
      </c>
      <c r="U1935" s="6">
        <v>0</v>
      </c>
      <c r="V1935" s="6">
        <v>0</v>
      </c>
      <c r="W1935" s="6">
        <v>0</v>
      </c>
      <c r="X1935" s="6">
        <v>0</v>
      </c>
      <c r="Y1935" t="s">
        <v>171</v>
      </c>
      <c r="Z1935" s="5">
        <v>-100</v>
      </c>
      <c r="AD1935">
        <f>1/6</f>
        <v>0.16666666666666666</v>
      </c>
      <c r="AE1935">
        <v>725</v>
      </c>
      <c r="AF1935">
        <v>1</v>
      </c>
      <c r="AG1935" s="9">
        <v>1.7000000000000001E-2</v>
      </c>
      <c r="AH1935" s="9">
        <v>1.07</v>
      </c>
      <c r="AI1935" s="9">
        <v>0.65</v>
      </c>
      <c r="AJ1935" s="9">
        <v>1.9E-2</v>
      </c>
      <c r="AK1935" s="9">
        <v>8.9999999999999993E-3</v>
      </c>
      <c r="AL1935" s="9">
        <v>17.3</v>
      </c>
      <c r="AM1935" s="9">
        <v>11.1</v>
      </c>
      <c r="AN1935" s="9">
        <v>2.16</v>
      </c>
      <c r="AO1935" s="9">
        <v>9.2999999999999999E-2</v>
      </c>
      <c r="AP1935"/>
    </row>
    <row r="1936" spans="1:42" x14ac:dyDescent="0.3">
      <c r="A1936" t="s">
        <v>510</v>
      </c>
      <c r="B1936" s="1" t="s">
        <v>1607</v>
      </c>
      <c r="C1936">
        <v>80</v>
      </c>
      <c r="D1936" s="8">
        <v>1.4403999999999999</v>
      </c>
      <c r="E1936">
        <v>14000</v>
      </c>
      <c r="F1936">
        <v>8</v>
      </c>
      <c r="H1936" t="s">
        <v>987</v>
      </c>
      <c r="K1936" s="4">
        <v>1</v>
      </c>
      <c r="L1936" t="s">
        <v>140</v>
      </c>
      <c r="M1936" t="s">
        <v>28</v>
      </c>
      <c r="N1936" s="3">
        <v>0.6</v>
      </c>
      <c r="O1936" s="3">
        <v>0</v>
      </c>
      <c r="P1936">
        <v>21</v>
      </c>
      <c r="Q1936">
        <v>6.5</v>
      </c>
      <c r="R1936" t="s">
        <v>102</v>
      </c>
      <c r="S1936">
        <v>0</v>
      </c>
      <c r="T1936" s="6">
        <f>10^-(14-Q1936)</f>
        <v>3.1622776601683699E-8</v>
      </c>
      <c r="U1936" s="6">
        <v>0</v>
      </c>
      <c r="V1936" s="6">
        <v>0</v>
      </c>
      <c r="W1936" s="6">
        <v>0</v>
      </c>
      <c r="X1936" s="6">
        <v>0</v>
      </c>
      <c r="Y1936" t="s">
        <v>171</v>
      </c>
      <c r="Z1936" s="5">
        <v>-100</v>
      </c>
      <c r="AD1936">
        <f>1/6</f>
        <v>0.16666666666666666</v>
      </c>
      <c r="AE1936">
        <v>700</v>
      </c>
      <c r="AF1936">
        <v>1</v>
      </c>
      <c r="AG1936" s="9">
        <v>1.7000000000000001E-2</v>
      </c>
      <c r="AH1936" s="9">
        <v>1.07</v>
      </c>
      <c r="AI1936" s="9">
        <v>0.65</v>
      </c>
      <c r="AJ1936" s="9">
        <v>1.9E-2</v>
      </c>
      <c r="AK1936" s="9">
        <v>8.9999999999999993E-3</v>
      </c>
      <c r="AL1936" s="9">
        <v>17.3</v>
      </c>
      <c r="AM1936" s="9">
        <v>11.1</v>
      </c>
      <c r="AN1936" s="9">
        <v>2.16</v>
      </c>
      <c r="AO1936" s="9">
        <v>9.2999999999999999E-2</v>
      </c>
      <c r="AP1936"/>
    </row>
    <row r="1937" spans="1:42" x14ac:dyDescent="0.3">
      <c r="A1937" t="s">
        <v>511</v>
      </c>
      <c r="B1937" s="1" t="s">
        <v>1607</v>
      </c>
      <c r="C1937">
        <v>80</v>
      </c>
      <c r="D1937" s="8">
        <v>1.4403999999999999</v>
      </c>
      <c r="E1937">
        <v>14000</v>
      </c>
      <c r="F1937">
        <v>8</v>
      </c>
      <c r="H1937" t="s">
        <v>987</v>
      </c>
      <c r="K1937" s="4">
        <v>1</v>
      </c>
      <c r="L1937" t="s">
        <v>140</v>
      </c>
      <c r="M1937" t="s">
        <v>28</v>
      </c>
      <c r="N1937" s="3">
        <v>0.6</v>
      </c>
      <c r="O1937" s="3">
        <v>0</v>
      </c>
      <c r="P1937">
        <v>21</v>
      </c>
      <c r="Q1937">
        <v>6.5</v>
      </c>
      <c r="R1937" t="s">
        <v>102</v>
      </c>
      <c r="S1937">
        <v>0</v>
      </c>
      <c r="T1937" s="6">
        <f>10^-(14-Q1937)</f>
        <v>3.1622776601683699E-8</v>
      </c>
      <c r="U1937" s="6">
        <v>0</v>
      </c>
      <c r="V1937" s="6">
        <v>0</v>
      </c>
      <c r="W1937" s="6">
        <v>0</v>
      </c>
      <c r="X1937" s="6">
        <v>0</v>
      </c>
      <c r="Y1937" t="s">
        <v>171</v>
      </c>
      <c r="Z1937" s="5">
        <v>-100</v>
      </c>
      <c r="AD1937">
        <f>1/6</f>
        <v>0.16666666666666666</v>
      </c>
      <c r="AE1937">
        <v>650</v>
      </c>
      <c r="AF1937">
        <v>1</v>
      </c>
      <c r="AG1937" s="9">
        <v>1.7000000000000001E-2</v>
      </c>
      <c r="AH1937" s="9">
        <v>1.07</v>
      </c>
      <c r="AI1937" s="9">
        <v>0.65</v>
      </c>
      <c r="AJ1937" s="9">
        <v>1.9E-2</v>
      </c>
      <c r="AK1937" s="9">
        <v>8.9999999999999993E-3</v>
      </c>
      <c r="AL1937" s="9">
        <v>17.3</v>
      </c>
      <c r="AM1937" s="9">
        <v>11.1</v>
      </c>
      <c r="AN1937" s="9">
        <v>2.16</v>
      </c>
      <c r="AO1937" s="9">
        <v>9.2999999999999999E-2</v>
      </c>
      <c r="AP1937"/>
    </row>
    <row r="1938" spans="1:42" x14ac:dyDescent="0.3">
      <c r="A1938" t="s">
        <v>512</v>
      </c>
      <c r="B1938" s="1" t="s">
        <v>1607</v>
      </c>
      <c r="C1938">
        <v>80</v>
      </c>
      <c r="D1938" s="8">
        <v>1.4403999999999999</v>
      </c>
      <c r="E1938">
        <v>14000</v>
      </c>
      <c r="F1938">
        <v>8</v>
      </c>
      <c r="H1938" t="s">
        <v>987</v>
      </c>
      <c r="K1938" s="4">
        <v>1</v>
      </c>
      <c r="L1938" t="s">
        <v>140</v>
      </c>
      <c r="M1938" t="s">
        <v>28</v>
      </c>
      <c r="N1938" s="3">
        <v>0.6</v>
      </c>
      <c r="O1938" s="3">
        <v>0</v>
      </c>
      <c r="P1938">
        <v>21</v>
      </c>
      <c r="Q1938">
        <v>6.5</v>
      </c>
      <c r="R1938" t="s">
        <v>102</v>
      </c>
      <c r="S1938">
        <v>0</v>
      </c>
      <c r="T1938" s="6">
        <f>10^-(14-Q1938)</f>
        <v>3.1622776601683699E-8</v>
      </c>
      <c r="U1938" s="6">
        <v>0</v>
      </c>
      <c r="V1938" s="6">
        <v>0</v>
      </c>
      <c r="W1938" s="6">
        <v>0</v>
      </c>
      <c r="X1938" s="6">
        <v>0</v>
      </c>
      <c r="Y1938" t="s">
        <v>171</v>
      </c>
      <c r="Z1938" s="5">
        <v>-100</v>
      </c>
      <c r="AD1938">
        <f>1/6</f>
        <v>0.16666666666666666</v>
      </c>
      <c r="AE1938">
        <v>600</v>
      </c>
      <c r="AF1938">
        <v>1</v>
      </c>
      <c r="AG1938" s="9">
        <v>1.7000000000000001E-2</v>
      </c>
      <c r="AH1938" s="9">
        <v>1.07</v>
      </c>
      <c r="AI1938" s="9">
        <v>0.65</v>
      </c>
      <c r="AJ1938" s="9">
        <v>1.9E-2</v>
      </c>
      <c r="AK1938" s="9">
        <v>8.9999999999999993E-3</v>
      </c>
      <c r="AL1938" s="9">
        <v>17.3</v>
      </c>
      <c r="AM1938" s="9">
        <v>11.1</v>
      </c>
      <c r="AN1938" s="9">
        <v>2.16</v>
      </c>
      <c r="AO1938" s="9">
        <v>9.2999999999999999E-2</v>
      </c>
      <c r="AP1938"/>
    </row>
    <row r="1939" spans="1:42" x14ac:dyDescent="0.3">
      <c r="A1939" t="s">
        <v>513</v>
      </c>
      <c r="B1939" s="1" t="s">
        <v>1607</v>
      </c>
      <c r="C1939">
        <v>80</v>
      </c>
      <c r="D1939" s="8">
        <v>1.4403999999999999</v>
      </c>
      <c r="E1939">
        <v>14000</v>
      </c>
      <c r="F1939">
        <v>8</v>
      </c>
      <c r="H1939" t="s">
        <v>987</v>
      </c>
      <c r="K1939" s="4">
        <v>1</v>
      </c>
      <c r="L1939" t="s">
        <v>140</v>
      </c>
      <c r="M1939" t="s">
        <v>28</v>
      </c>
      <c r="N1939" s="3">
        <v>0.6</v>
      </c>
      <c r="O1939" s="3">
        <v>0</v>
      </c>
      <c r="P1939">
        <v>21</v>
      </c>
      <c r="Q1939">
        <v>6.5</v>
      </c>
      <c r="R1939" t="s">
        <v>102</v>
      </c>
      <c r="S1939">
        <v>0</v>
      </c>
      <c r="T1939" s="6">
        <f>10^-(14-Q1939)</f>
        <v>3.1622776601683699E-8</v>
      </c>
      <c r="U1939" s="6">
        <v>0</v>
      </c>
      <c r="V1939" s="6">
        <v>0</v>
      </c>
      <c r="W1939" s="6">
        <v>0</v>
      </c>
      <c r="X1939" s="6">
        <v>0</v>
      </c>
      <c r="Y1939" t="s">
        <v>171</v>
      </c>
      <c r="Z1939" s="5">
        <v>-100</v>
      </c>
      <c r="AD1939">
        <f>1/6</f>
        <v>0.16666666666666666</v>
      </c>
      <c r="AE1939">
        <v>600</v>
      </c>
      <c r="AF1939">
        <v>1</v>
      </c>
      <c r="AG1939" s="9">
        <v>1.7000000000000001E-2</v>
      </c>
      <c r="AH1939" s="9">
        <v>1.07</v>
      </c>
      <c r="AI1939" s="9">
        <v>0.65</v>
      </c>
      <c r="AJ1939" s="9">
        <v>1.9E-2</v>
      </c>
      <c r="AK1939" s="9">
        <v>8.9999999999999993E-3</v>
      </c>
      <c r="AL1939" s="9">
        <v>17.3</v>
      </c>
      <c r="AM1939" s="9">
        <v>11.1</v>
      </c>
      <c r="AN1939" s="9">
        <v>2.16</v>
      </c>
      <c r="AO1939" s="9">
        <v>9.2999999999999999E-2</v>
      </c>
      <c r="AP1939"/>
    </row>
    <row r="1940" spans="1:42" x14ac:dyDescent="0.3">
      <c r="A1940" t="s">
        <v>514</v>
      </c>
      <c r="B1940" s="1" t="s">
        <v>1607</v>
      </c>
      <c r="C1940">
        <v>80</v>
      </c>
      <c r="D1940" s="8">
        <v>1.4403999999999999</v>
      </c>
      <c r="E1940">
        <v>14000</v>
      </c>
      <c r="F1940">
        <v>10</v>
      </c>
      <c r="H1940" t="s">
        <v>987</v>
      </c>
      <c r="K1940" s="4">
        <v>1</v>
      </c>
      <c r="L1940" t="s">
        <v>140</v>
      </c>
      <c r="M1940" t="s">
        <v>28</v>
      </c>
      <c r="N1940" s="3">
        <v>0.6</v>
      </c>
      <c r="O1940" s="3">
        <v>0</v>
      </c>
      <c r="P1940">
        <v>21</v>
      </c>
      <c r="Q1940">
        <v>6.5</v>
      </c>
      <c r="R1940" t="s">
        <v>102</v>
      </c>
      <c r="S1940">
        <v>0</v>
      </c>
      <c r="T1940" s="6">
        <f>10^-(14-Q1940)</f>
        <v>3.1622776601683699E-8</v>
      </c>
      <c r="U1940" s="6">
        <v>0</v>
      </c>
      <c r="V1940" s="6">
        <v>0</v>
      </c>
      <c r="W1940" s="6">
        <v>0</v>
      </c>
      <c r="X1940" s="6">
        <v>0</v>
      </c>
      <c r="Y1940" t="s">
        <v>171</v>
      </c>
      <c r="AD1940">
        <f>1/6</f>
        <v>0.16666666666666666</v>
      </c>
      <c r="AE1940">
        <v>600</v>
      </c>
      <c r="AF1940">
        <v>1</v>
      </c>
      <c r="AG1940" s="9">
        <v>1.7000000000000001E-2</v>
      </c>
      <c r="AH1940" s="9">
        <v>1.07</v>
      </c>
      <c r="AI1940" s="9">
        <v>0.65</v>
      </c>
      <c r="AJ1940" s="9">
        <v>1.9E-2</v>
      </c>
      <c r="AK1940" s="9">
        <v>8.9999999999999993E-3</v>
      </c>
      <c r="AL1940" s="9">
        <v>17.3</v>
      </c>
      <c r="AM1940" s="9">
        <v>11.1</v>
      </c>
      <c r="AN1940" s="9">
        <v>2.16</v>
      </c>
      <c r="AO1940" s="9">
        <v>9.2999999999999999E-2</v>
      </c>
      <c r="AP1940"/>
    </row>
    <row r="1941" spans="1:42" x14ac:dyDescent="0.3">
      <c r="A1941" t="s">
        <v>515</v>
      </c>
      <c r="B1941" s="1" t="s">
        <v>1607</v>
      </c>
      <c r="C1941">
        <v>80</v>
      </c>
      <c r="D1941" s="8">
        <v>1.4403999999999999</v>
      </c>
      <c r="E1941">
        <v>14000</v>
      </c>
      <c r="F1941">
        <v>10</v>
      </c>
      <c r="H1941" t="s">
        <v>987</v>
      </c>
      <c r="K1941" s="4">
        <v>1</v>
      </c>
      <c r="L1941" t="s">
        <v>140</v>
      </c>
      <c r="M1941" t="s">
        <v>28</v>
      </c>
      <c r="N1941" s="3">
        <v>0.6</v>
      </c>
      <c r="O1941" s="3">
        <v>0</v>
      </c>
      <c r="P1941">
        <v>21</v>
      </c>
      <c r="Q1941">
        <v>6.5</v>
      </c>
      <c r="R1941" t="s">
        <v>102</v>
      </c>
      <c r="S1941">
        <v>0</v>
      </c>
      <c r="T1941" s="6">
        <f>10^-(14-Q1941)</f>
        <v>3.1622776601683699E-8</v>
      </c>
      <c r="U1941" s="6">
        <v>0</v>
      </c>
      <c r="V1941" s="6">
        <v>0</v>
      </c>
      <c r="W1941" s="6">
        <v>0</v>
      </c>
      <c r="X1941" s="6">
        <v>0</v>
      </c>
      <c r="Y1941" t="s">
        <v>171</v>
      </c>
      <c r="AD1941">
        <f>1/6</f>
        <v>0.16666666666666666</v>
      </c>
      <c r="AE1941">
        <v>550</v>
      </c>
      <c r="AF1941">
        <v>1</v>
      </c>
      <c r="AG1941" s="9">
        <v>1.7000000000000001E-2</v>
      </c>
      <c r="AH1941" s="9">
        <v>1.07</v>
      </c>
      <c r="AI1941" s="9">
        <v>0.65</v>
      </c>
      <c r="AJ1941" s="9">
        <v>1.9E-2</v>
      </c>
      <c r="AK1941" s="9">
        <v>8.9999999999999993E-3</v>
      </c>
      <c r="AL1941" s="9">
        <v>17.3</v>
      </c>
      <c r="AM1941" s="9">
        <v>11.1</v>
      </c>
      <c r="AN1941" s="9">
        <v>2.16</v>
      </c>
      <c r="AO1941" s="9">
        <v>9.2999999999999999E-2</v>
      </c>
      <c r="AP1941"/>
    </row>
    <row r="1942" spans="1:42" x14ac:dyDescent="0.3">
      <c r="A1942" t="s">
        <v>516</v>
      </c>
      <c r="B1942" s="1" t="s">
        <v>1607</v>
      </c>
      <c r="C1942">
        <v>80</v>
      </c>
      <c r="D1942" s="8">
        <v>1.4403999999999999</v>
      </c>
      <c r="E1942">
        <v>14000</v>
      </c>
      <c r="F1942">
        <v>10</v>
      </c>
      <c r="H1942" t="s">
        <v>987</v>
      </c>
      <c r="K1942" s="4">
        <v>1</v>
      </c>
      <c r="L1942" t="s">
        <v>140</v>
      </c>
      <c r="M1942" t="s">
        <v>28</v>
      </c>
      <c r="N1942" s="3">
        <v>0.6</v>
      </c>
      <c r="O1942" s="3">
        <v>0</v>
      </c>
      <c r="P1942">
        <v>21</v>
      </c>
      <c r="Q1942">
        <v>6.5</v>
      </c>
      <c r="R1942" t="s">
        <v>102</v>
      </c>
      <c r="S1942">
        <v>0</v>
      </c>
      <c r="T1942" s="6">
        <f>10^-(14-Q1942)</f>
        <v>3.1622776601683699E-8</v>
      </c>
      <c r="U1942" s="6">
        <v>0</v>
      </c>
      <c r="V1942" s="6">
        <v>0</v>
      </c>
      <c r="W1942" s="6">
        <v>0</v>
      </c>
      <c r="X1942" s="6">
        <v>0</v>
      </c>
      <c r="Y1942" t="s">
        <v>171</v>
      </c>
      <c r="AD1942">
        <f>1/6</f>
        <v>0.16666666666666666</v>
      </c>
      <c r="AE1942">
        <v>525</v>
      </c>
      <c r="AF1942">
        <v>1</v>
      </c>
      <c r="AG1942" s="9">
        <v>1.7000000000000001E-2</v>
      </c>
      <c r="AH1942" s="9">
        <v>1.07</v>
      </c>
      <c r="AI1942" s="9">
        <v>0.65</v>
      </c>
      <c r="AJ1942" s="9">
        <v>1.9E-2</v>
      </c>
      <c r="AK1942" s="9">
        <v>8.9999999999999993E-3</v>
      </c>
      <c r="AL1942" s="9">
        <v>17.3</v>
      </c>
      <c r="AM1942" s="9">
        <v>11.1</v>
      </c>
      <c r="AN1942" s="9">
        <v>2.16</v>
      </c>
      <c r="AO1942" s="9">
        <v>9.2999999999999999E-2</v>
      </c>
      <c r="AP1942"/>
    </row>
    <row r="1943" spans="1:42" x14ac:dyDescent="0.3">
      <c r="A1943" t="s">
        <v>517</v>
      </c>
      <c r="B1943" s="1" t="s">
        <v>1607</v>
      </c>
      <c r="C1943">
        <v>80</v>
      </c>
      <c r="D1943" s="8">
        <v>1.4403999999999999</v>
      </c>
      <c r="E1943">
        <v>14000</v>
      </c>
      <c r="F1943">
        <v>10</v>
      </c>
      <c r="H1943" t="s">
        <v>987</v>
      </c>
      <c r="K1943" s="4">
        <v>1</v>
      </c>
      <c r="L1943" t="s">
        <v>140</v>
      </c>
      <c r="M1943" t="s">
        <v>28</v>
      </c>
      <c r="N1943" s="3">
        <v>0.6</v>
      </c>
      <c r="O1943" s="3">
        <v>0</v>
      </c>
      <c r="P1943">
        <v>21</v>
      </c>
      <c r="Q1943">
        <v>6.5</v>
      </c>
      <c r="R1943" t="s">
        <v>102</v>
      </c>
      <c r="S1943">
        <v>0</v>
      </c>
      <c r="T1943" s="6">
        <f>10^-(14-Q1943)</f>
        <v>3.1622776601683699E-8</v>
      </c>
      <c r="U1943" s="6">
        <v>0</v>
      </c>
      <c r="V1943" s="6">
        <v>0</v>
      </c>
      <c r="W1943" s="6">
        <v>0</v>
      </c>
      <c r="X1943" s="6">
        <v>0</v>
      </c>
      <c r="Y1943" t="s">
        <v>171</v>
      </c>
      <c r="AD1943">
        <f>1/6</f>
        <v>0.16666666666666666</v>
      </c>
      <c r="AE1943">
        <v>500</v>
      </c>
      <c r="AF1943">
        <v>1</v>
      </c>
      <c r="AG1943" s="9">
        <v>1.7000000000000001E-2</v>
      </c>
      <c r="AH1943" s="9">
        <v>1.07</v>
      </c>
      <c r="AI1943" s="9">
        <v>0.65</v>
      </c>
      <c r="AJ1943" s="9">
        <v>1.9E-2</v>
      </c>
      <c r="AK1943" s="9">
        <v>8.9999999999999993E-3</v>
      </c>
      <c r="AL1943" s="9">
        <v>17.3</v>
      </c>
      <c r="AM1943" s="9">
        <v>11.1</v>
      </c>
      <c r="AN1943" s="9">
        <v>2.16</v>
      </c>
      <c r="AO1943" s="9">
        <v>9.2999999999999999E-2</v>
      </c>
      <c r="AP1943"/>
    </row>
    <row r="1944" spans="1:42" x14ac:dyDescent="0.3">
      <c r="A1944" t="s">
        <v>518</v>
      </c>
      <c r="B1944" s="1" t="s">
        <v>1607</v>
      </c>
      <c r="C1944">
        <v>80</v>
      </c>
      <c r="D1944" s="8">
        <v>1.4403999999999999</v>
      </c>
      <c r="E1944">
        <v>14000</v>
      </c>
      <c r="F1944">
        <v>10</v>
      </c>
      <c r="H1944" t="s">
        <v>987</v>
      </c>
      <c r="K1944" s="4">
        <v>1</v>
      </c>
      <c r="L1944" t="s">
        <v>140</v>
      </c>
      <c r="M1944" t="s">
        <v>28</v>
      </c>
      <c r="N1944" s="3">
        <v>0.6</v>
      </c>
      <c r="O1944" s="3">
        <v>0</v>
      </c>
      <c r="P1944">
        <v>21</v>
      </c>
      <c r="Q1944">
        <v>6.5</v>
      </c>
      <c r="R1944" t="s">
        <v>102</v>
      </c>
      <c r="S1944">
        <v>0</v>
      </c>
      <c r="T1944" s="6">
        <f>10^-(14-Q1944)</f>
        <v>3.1622776601683699E-8</v>
      </c>
      <c r="U1944" s="6">
        <v>0</v>
      </c>
      <c r="V1944" s="6">
        <v>0</v>
      </c>
      <c r="W1944" s="6">
        <v>0</v>
      </c>
      <c r="X1944" s="6">
        <v>0</v>
      </c>
      <c r="Y1944" t="s">
        <v>171</v>
      </c>
      <c r="AD1944">
        <f>1/6</f>
        <v>0.16666666666666666</v>
      </c>
      <c r="AE1944">
        <v>400</v>
      </c>
      <c r="AF1944">
        <v>1</v>
      </c>
      <c r="AG1944" s="9">
        <v>1.7000000000000001E-2</v>
      </c>
      <c r="AH1944" s="9">
        <v>1.07</v>
      </c>
      <c r="AI1944" s="9">
        <v>0.65</v>
      </c>
      <c r="AJ1944" s="9">
        <v>1.9E-2</v>
      </c>
      <c r="AK1944" s="9">
        <v>8.9999999999999993E-3</v>
      </c>
      <c r="AL1944" s="9">
        <v>17.3</v>
      </c>
      <c r="AM1944" s="9">
        <v>11.1</v>
      </c>
      <c r="AN1944" s="9">
        <v>2.16</v>
      </c>
      <c r="AO1944" s="9">
        <v>9.2999999999999999E-2</v>
      </c>
      <c r="AP1944"/>
    </row>
    <row r="1945" spans="1:42" x14ac:dyDescent="0.3">
      <c r="A1945" t="s">
        <v>519</v>
      </c>
      <c r="B1945" s="1" t="s">
        <v>1607</v>
      </c>
      <c r="C1945">
        <v>80</v>
      </c>
      <c r="D1945" s="8">
        <v>1.4403999999999999</v>
      </c>
      <c r="E1945">
        <v>14000</v>
      </c>
      <c r="F1945">
        <v>10</v>
      </c>
      <c r="H1945" t="s">
        <v>987</v>
      </c>
      <c r="K1945" s="4">
        <v>1</v>
      </c>
      <c r="L1945" t="s">
        <v>140</v>
      </c>
      <c r="M1945" t="s">
        <v>28</v>
      </c>
      <c r="N1945" s="3">
        <v>0.6</v>
      </c>
      <c r="O1945" s="3">
        <v>0</v>
      </c>
      <c r="P1945">
        <v>21</v>
      </c>
      <c r="Q1945">
        <v>6.5</v>
      </c>
      <c r="R1945" t="s">
        <v>102</v>
      </c>
      <c r="S1945">
        <v>0</v>
      </c>
      <c r="T1945" s="6">
        <f>10^-(14-Q1945)</f>
        <v>3.1622776601683699E-8</v>
      </c>
      <c r="U1945" s="6">
        <v>0</v>
      </c>
      <c r="V1945" s="6">
        <v>0</v>
      </c>
      <c r="W1945" s="6">
        <v>0</v>
      </c>
      <c r="X1945" s="6">
        <v>0</v>
      </c>
      <c r="Y1945" t="s">
        <v>171</v>
      </c>
      <c r="AD1945">
        <f>1/6</f>
        <v>0.16666666666666666</v>
      </c>
      <c r="AE1945">
        <v>150</v>
      </c>
      <c r="AF1945">
        <v>1</v>
      </c>
      <c r="AG1945" s="9">
        <v>1.7000000000000001E-2</v>
      </c>
      <c r="AH1945" s="9">
        <v>1.07</v>
      </c>
      <c r="AI1945" s="9">
        <v>0.65</v>
      </c>
      <c r="AJ1945" s="9">
        <v>1.9E-2</v>
      </c>
      <c r="AK1945" s="9">
        <v>8.9999999999999993E-3</v>
      </c>
      <c r="AL1945" s="9">
        <v>17.3</v>
      </c>
      <c r="AM1945" s="9">
        <v>11.1</v>
      </c>
      <c r="AN1945" s="9">
        <v>2.16</v>
      </c>
      <c r="AO1945" s="9">
        <v>9.2999999999999999E-2</v>
      </c>
      <c r="AP1945"/>
    </row>
    <row r="1946" spans="1:42" x14ac:dyDescent="0.3">
      <c r="A1946" t="s">
        <v>520</v>
      </c>
      <c r="B1946" s="1" t="s">
        <v>1607</v>
      </c>
      <c r="C1946">
        <v>80</v>
      </c>
      <c r="D1946" s="8">
        <v>1.4403999999999999</v>
      </c>
      <c r="E1946">
        <v>14000</v>
      </c>
      <c r="F1946">
        <v>10</v>
      </c>
      <c r="H1946" t="s">
        <v>987</v>
      </c>
      <c r="K1946" s="4">
        <v>1</v>
      </c>
      <c r="L1946" t="s">
        <v>140</v>
      </c>
      <c r="M1946" t="s">
        <v>28</v>
      </c>
      <c r="N1946" s="3">
        <v>0.6</v>
      </c>
      <c r="O1946" s="3">
        <v>0</v>
      </c>
      <c r="P1946">
        <v>21</v>
      </c>
      <c r="Q1946">
        <v>6.5</v>
      </c>
      <c r="R1946" t="s">
        <v>102</v>
      </c>
      <c r="S1946">
        <v>0</v>
      </c>
      <c r="T1946" s="6">
        <f>10^-(14-Q1946)</f>
        <v>3.1622776601683699E-8</v>
      </c>
      <c r="U1946" s="6">
        <v>0</v>
      </c>
      <c r="V1946" s="6">
        <v>0</v>
      </c>
      <c r="W1946" s="6">
        <v>0</v>
      </c>
      <c r="X1946" s="6">
        <v>0</v>
      </c>
      <c r="Y1946" t="s">
        <v>171</v>
      </c>
      <c r="AD1946">
        <f>1/6</f>
        <v>0.16666666666666666</v>
      </c>
      <c r="AE1946">
        <v>150</v>
      </c>
      <c r="AF1946">
        <v>1</v>
      </c>
      <c r="AG1946" s="9">
        <v>1.7000000000000001E-2</v>
      </c>
      <c r="AH1946" s="9">
        <v>1.07</v>
      </c>
      <c r="AI1946" s="9">
        <v>0.65</v>
      </c>
      <c r="AJ1946" s="9">
        <v>1.9E-2</v>
      </c>
      <c r="AK1946" s="9">
        <v>8.9999999999999993E-3</v>
      </c>
      <c r="AL1946" s="9">
        <v>17.3</v>
      </c>
      <c r="AM1946" s="9">
        <v>11.1</v>
      </c>
      <c r="AN1946" s="9">
        <v>2.16</v>
      </c>
      <c r="AO1946" s="9">
        <v>9.2999999999999999E-2</v>
      </c>
      <c r="AP1946"/>
    </row>
    <row r="1947" spans="1:42" x14ac:dyDescent="0.3">
      <c r="A1947" t="s">
        <v>521</v>
      </c>
      <c r="B1947" s="1" t="s">
        <v>1607</v>
      </c>
      <c r="C1947">
        <v>80</v>
      </c>
      <c r="D1947" s="8">
        <v>1.4403999999999999</v>
      </c>
      <c r="E1947">
        <v>14000</v>
      </c>
      <c r="F1947">
        <v>10</v>
      </c>
      <c r="H1947" t="s">
        <v>987</v>
      </c>
      <c r="K1947" s="4">
        <v>1</v>
      </c>
      <c r="L1947" t="s">
        <v>140</v>
      </c>
      <c r="M1947" t="s">
        <v>28</v>
      </c>
      <c r="N1947" s="3">
        <v>0.6</v>
      </c>
      <c r="O1947" s="3">
        <v>0</v>
      </c>
      <c r="P1947">
        <v>21</v>
      </c>
      <c r="Q1947">
        <v>6.5</v>
      </c>
      <c r="R1947" t="s">
        <v>102</v>
      </c>
      <c r="S1947">
        <v>0</v>
      </c>
      <c r="T1947" s="6">
        <f>10^-(14-Q1947)</f>
        <v>3.1622776601683699E-8</v>
      </c>
      <c r="U1947" s="6">
        <v>0</v>
      </c>
      <c r="V1947" s="6">
        <v>0</v>
      </c>
      <c r="W1947" s="6">
        <v>0</v>
      </c>
      <c r="X1947" s="6">
        <v>0</v>
      </c>
      <c r="Y1947" t="s">
        <v>171</v>
      </c>
      <c r="AD1947">
        <f>1/6</f>
        <v>0.16666666666666666</v>
      </c>
      <c r="AE1947">
        <v>50</v>
      </c>
      <c r="AF1947">
        <v>1</v>
      </c>
      <c r="AG1947" s="9">
        <v>1.7000000000000001E-2</v>
      </c>
      <c r="AH1947" s="9">
        <v>1.07</v>
      </c>
      <c r="AI1947" s="9">
        <v>0.65</v>
      </c>
      <c r="AJ1947" s="9">
        <v>1.9E-2</v>
      </c>
      <c r="AK1947" s="9">
        <v>8.9999999999999993E-3</v>
      </c>
      <c r="AL1947" s="9">
        <v>17.3</v>
      </c>
      <c r="AM1947" s="9">
        <v>11.1</v>
      </c>
      <c r="AN1947" s="9">
        <v>2.16</v>
      </c>
      <c r="AO1947" s="9">
        <v>9.2999999999999999E-2</v>
      </c>
      <c r="AP1947"/>
    </row>
    <row r="1948" spans="1:42" x14ac:dyDescent="0.3">
      <c r="A1948" t="s">
        <v>522</v>
      </c>
      <c r="B1948" s="1" t="s">
        <v>1607</v>
      </c>
      <c r="C1948">
        <v>80</v>
      </c>
      <c r="D1948" s="8">
        <v>1.4403999999999999</v>
      </c>
      <c r="E1948">
        <v>14000</v>
      </c>
      <c r="F1948">
        <v>15</v>
      </c>
      <c r="H1948" t="s">
        <v>987</v>
      </c>
      <c r="K1948" s="4">
        <v>1</v>
      </c>
      <c r="L1948" t="s">
        <v>140</v>
      </c>
      <c r="M1948" t="s">
        <v>28</v>
      </c>
      <c r="N1948" s="3">
        <v>0.6</v>
      </c>
      <c r="O1948" s="3">
        <v>0</v>
      </c>
      <c r="P1948">
        <v>21</v>
      </c>
      <c r="Q1948">
        <v>6.5</v>
      </c>
      <c r="R1948" t="s">
        <v>102</v>
      </c>
      <c r="S1948">
        <v>0</v>
      </c>
      <c r="T1948" s="6">
        <f>10^-(14-Q1948)</f>
        <v>3.1622776601683699E-8</v>
      </c>
      <c r="U1948" s="6">
        <v>0</v>
      </c>
      <c r="V1948" s="6">
        <v>0</v>
      </c>
      <c r="W1948" s="6">
        <v>0</v>
      </c>
      <c r="X1948" s="6">
        <v>0</v>
      </c>
      <c r="Y1948" t="s">
        <v>171</v>
      </c>
      <c r="AD1948">
        <f>1/6</f>
        <v>0.16666666666666666</v>
      </c>
      <c r="AE1948">
        <v>350</v>
      </c>
      <c r="AF1948">
        <v>1</v>
      </c>
      <c r="AG1948" s="9">
        <v>1.7000000000000001E-2</v>
      </c>
      <c r="AH1948" s="9">
        <v>1.07</v>
      </c>
      <c r="AI1948" s="9">
        <v>0.65</v>
      </c>
      <c r="AJ1948" s="9">
        <v>1.9E-2</v>
      </c>
      <c r="AK1948" s="9">
        <v>8.9999999999999993E-3</v>
      </c>
      <c r="AL1948" s="9">
        <v>17.3</v>
      </c>
      <c r="AM1948" s="9">
        <v>11.1</v>
      </c>
      <c r="AN1948" s="9">
        <v>2.16</v>
      </c>
      <c r="AO1948" s="9">
        <v>9.2999999999999999E-2</v>
      </c>
      <c r="AP1948"/>
    </row>
    <row r="1949" spans="1:42" x14ac:dyDescent="0.3">
      <c r="A1949" t="s">
        <v>523</v>
      </c>
      <c r="B1949" s="1" t="s">
        <v>1607</v>
      </c>
      <c r="C1949">
        <v>80</v>
      </c>
      <c r="D1949" s="8">
        <v>1.4403999999999999</v>
      </c>
      <c r="E1949">
        <v>14000</v>
      </c>
      <c r="F1949">
        <v>15</v>
      </c>
      <c r="H1949" t="s">
        <v>987</v>
      </c>
      <c r="K1949" s="4">
        <v>1</v>
      </c>
      <c r="L1949" t="s">
        <v>140</v>
      </c>
      <c r="M1949" t="s">
        <v>28</v>
      </c>
      <c r="N1949" s="3">
        <v>0.6</v>
      </c>
      <c r="O1949" s="3">
        <v>0</v>
      </c>
      <c r="P1949">
        <v>21</v>
      </c>
      <c r="Q1949">
        <v>6.5</v>
      </c>
      <c r="R1949" t="s">
        <v>102</v>
      </c>
      <c r="S1949">
        <v>0</v>
      </c>
      <c r="T1949" s="6">
        <f>10^-(14-Q1949)</f>
        <v>3.1622776601683699E-8</v>
      </c>
      <c r="U1949" s="6">
        <v>0</v>
      </c>
      <c r="V1949" s="6">
        <v>0</v>
      </c>
      <c r="W1949" s="6">
        <v>0</v>
      </c>
      <c r="X1949" s="6">
        <v>0</v>
      </c>
      <c r="Y1949" t="s">
        <v>171</v>
      </c>
      <c r="AD1949">
        <f>1/6</f>
        <v>0.16666666666666666</v>
      </c>
      <c r="AE1949">
        <v>300</v>
      </c>
      <c r="AF1949">
        <v>1</v>
      </c>
      <c r="AG1949" s="9">
        <v>1.7000000000000001E-2</v>
      </c>
      <c r="AH1949" s="9">
        <v>1.07</v>
      </c>
      <c r="AI1949" s="9">
        <v>0.65</v>
      </c>
      <c r="AJ1949" s="9">
        <v>1.9E-2</v>
      </c>
      <c r="AK1949" s="9">
        <v>8.9999999999999993E-3</v>
      </c>
      <c r="AL1949" s="9">
        <v>17.3</v>
      </c>
      <c r="AM1949" s="9">
        <v>11.1</v>
      </c>
      <c r="AN1949" s="9">
        <v>2.16</v>
      </c>
      <c r="AO1949" s="9">
        <v>9.2999999999999999E-2</v>
      </c>
      <c r="AP1949"/>
    </row>
    <row r="1950" spans="1:42" x14ac:dyDescent="0.3">
      <c r="A1950" t="s">
        <v>524</v>
      </c>
      <c r="B1950" s="1" t="s">
        <v>1607</v>
      </c>
      <c r="C1950">
        <v>80</v>
      </c>
      <c r="D1950" s="8">
        <v>1.4403999999999999</v>
      </c>
      <c r="E1950">
        <v>14000</v>
      </c>
      <c r="F1950">
        <v>15</v>
      </c>
      <c r="H1950" t="s">
        <v>987</v>
      </c>
      <c r="K1950" s="4">
        <v>1</v>
      </c>
      <c r="L1950" t="s">
        <v>140</v>
      </c>
      <c r="M1950" t="s">
        <v>28</v>
      </c>
      <c r="N1950" s="3">
        <v>0.6</v>
      </c>
      <c r="O1950" s="3">
        <v>0</v>
      </c>
      <c r="P1950">
        <v>21</v>
      </c>
      <c r="Q1950">
        <v>6.5</v>
      </c>
      <c r="R1950" t="s">
        <v>102</v>
      </c>
      <c r="S1950">
        <v>0</v>
      </c>
      <c r="T1950" s="6">
        <f>10^-(14-Q1950)</f>
        <v>3.1622776601683699E-8</v>
      </c>
      <c r="U1950" s="6">
        <v>0</v>
      </c>
      <c r="V1950" s="6">
        <v>0</v>
      </c>
      <c r="W1950" s="6">
        <v>0</v>
      </c>
      <c r="X1950" s="6">
        <v>0</v>
      </c>
      <c r="Y1950" t="s">
        <v>171</v>
      </c>
      <c r="AD1950">
        <f>1/6</f>
        <v>0.16666666666666666</v>
      </c>
      <c r="AE1950">
        <v>300</v>
      </c>
      <c r="AF1950">
        <v>1</v>
      </c>
      <c r="AG1950" s="9">
        <v>1.7000000000000001E-2</v>
      </c>
      <c r="AH1950" s="9">
        <v>1.07</v>
      </c>
      <c r="AI1950" s="9">
        <v>0.65</v>
      </c>
      <c r="AJ1950" s="9">
        <v>1.9E-2</v>
      </c>
      <c r="AK1950" s="9">
        <v>8.9999999999999993E-3</v>
      </c>
      <c r="AL1950" s="9">
        <v>17.3</v>
      </c>
      <c r="AM1950" s="9">
        <v>11.1</v>
      </c>
      <c r="AN1950" s="9">
        <v>2.16</v>
      </c>
      <c r="AO1950" s="9">
        <v>9.2999999999999999E-2</v>
      </c>
      <c r="AP1950"/>
    </row>
    <row r="1951" spans="1:42" x14ac:dyDescent="0.3">
      <c r="A1951" t="s">
        <v>525</v>
      </c>
      <c r="B1951" s="1" t="s">
        <v>1607</v>
      </c>
      <c r="C1951">
        <v>80</v>
      </c>
      <c r="D1951" s="8">
        <v>1.4403999999999999</v>
      </c>
      <c r="E1951">
        <v>14000</v>
      </c>
      <c r="F1951">
        <v>15</v>
      </c>
      <c r="H1951" t="s">
        <v>987</v>
      </c>
      <c r="K1951" s="4">
        <v>1</v>
      </c>
      <c r="L1951" t="s">
        <v>140</v>
      </c>
      <c r="M1951" t="s">
        <v>28</v>
      </c>
      <c r="N1951" s="3">
        <v>0.6</v>
      </c>
      <c r="O1951" s="3">
        <v>0</v>
      </c>
      <c r="P1951">
        <v>21</v>
      </c>
      <c r="Q1951">
        <v>6.5</v>
      </c>
      <c r="R1951" t="s">
        <v>102</v>
      </c>
      <c r="S1951">
        <v>0</v>
      </c>
      <c r="T1951" s="6">
        <f>10^-(14-Q1951)</f>
        <v>3.1622776601683699E-8</v>
      </c>
      <c r="U1951" s="6">
        <v>0</v>
      </c>
      <c r="V1951" s="6">
        <v>0</v>
      </c>
      <c r="W1951" s="6">
        <v>0</v>
      </c>
      <c r="X1951" s="6">
        <v>0</v>
      </c>
      <c r="Y1951" t="s">
        <v>171</v>
      </c>
      <c r="AD1951">
        <f>1/6</f>
        <v>0.16666666666666666</v>
      </c>
      <c r="AE1951">
        <v>250</v>
      </c>
      <c r="AF1951">
        <v>1</v>
      </c>
      <c r="AG1951" s="9">
        <v>1.7000000000000001E-2</v>
      </c>
      <c r="AH1951" s="9">
        <v>1.07</v>
      </c>
      <c r="AI1951" s="9">
        <v>0.65</v>
      </c>
      <c r="AJ1951" s="9">
        <v>1.9E-2</v>
      </c>
      <c r="AK1951" s="9">
        <v>8.9999999999999993E-3</v>
      </c>
      <c r="AL1951" s="9">
        <v>17.3</v>
      </c>
      <c r="AM1951" s="9">
        <v>11.1</v>
      </c>
      <c r="AN1951" s="9">
        <v>2.16</v>
      </c>
      <c r="AO1951" s="9">
        <v>9.2999999999999999E-2</v>
      </c>
      <c r="AP1951"/>
    </row>
    <row r="1952" spans="1:42" x14ac:dyDescent="0.3">
      <c r="A1952" t="s">
        <v>526</v>
      </c>
      <c r="B1952" s="1" t="s">
        <v>1607</v>
      </c>
      <c r="C1952">
        <v>80</v>
      </c>
      <c r="D1952" s="8">
        <v>1.4403999999999999</v>
      </c>
      <c r="E1952">
        <v>14000</v>
      </c>
      <c r="F1952">
        <v>15</v>
      </c>
      <c r="H1952" t="s">
        <v>987</v>
      </c>
      <c r="K1952" s="4">
        <v>1</v>
      </c>
      <c r="L1952" t="s">
        <v>140</v>
      </c>
      <c r="M1952" t="s">
        <v>28</v>
      </c>
      <c r="N1952" s="3">
        <v>0.6</v>
      </c>
      <c r="O1952" s="3">
        <v>0</v>
      </c>
      <c r="P1952">
        <v>21</v>
      </c>
      <c r="Q1952">
        <v>6.5</v>
      </c>
      <c r="R1952" t="s">
        <v>102</v>
      </c>
      <c r="S1952">
        <v>0</v>
      </c>
      <c r="T1952" s="6">
        <f>10^-(14-Q1952)</f>
        <v>3.1622776601683699E-8</v>
      </c>
      <c r="U1952" s="6">
        <v>0</v>
      </c>
      <c r="V1952" s="6">
        <v>0</v>
      </c>
      <c r="W1952" s="6">
        <v>0</v>
      </c>
      <c r="X1952" s="6">
        <v>0</v>
      </c>
      <c r="Y1952" t="s">
        <v>171</v>
      </c>
      <c r="AD1952">
        <f>1/6</f>
        <v>0.16666666666666666</v>
      </c>
      <c r="AE1952">
        <v>200</v>
      </c>
      <c r="AF1952">
        <v>1</v>
      </c>
      <c r="AG1952" s="9">
        <v>1.7000000000000001E-2</v>
      </c>
      <c r="AH1952" s="9">
        <v>1.07</v>
      </c>
      <c r="AI1952" s="9">
        <v>0.65</v>
      </c>
      <c r="AJ1952" s="9">
        <v>1.9E-2</v>
      </c>
      <c r="AK1952" s="9">
        <v>8.9999999999999993E-3</v>
      </c>
      <c r="AL1952" s="9">
        <v>17.3</v>
      </c>
      <c r="AM1952" s="9">
        <v>11.1</v>
      </c>
      <c r="AN1952" s="9">
        <v>2.16</v>
      </c>
      <c r="AO1952" s="9">
        <v>9.2999999999999999E-2</v>
      </c>
      <c r="AP1952"/>
    </row>
    <row r="1953" spans="1:42" x14ac:dyDescent="0.3">
      <c r="A1953" t="s">
        <v>527</v>
      </c>
      <c r="B1953" s="1" t="s">
        <v>1607</v>
      </c>
      <c r="C1953">
        <v>80</v>
      </c>
      <c r="D1953" s="8">
        <v>1.4403999999999999</v>
      </c>
      <c r="E1953">
        <v>14000</v>
      </c>
      <c r="F1953">
        <v>15</v>
      </c>
      <c r="H1953" t="s">
        <v>987</v>
      </c>
      <c r="K1953" s="4">
        <v>1</v>
      </c>
      <c r="L1953" t="s">
        <v>140</v>
      </c>
      <c r="M1953" t="s">
        <v>28</v>
      </c>
      <c r="N1953" s="3">
        <v>0.6</v>
      </c>
      <c r="O1953" s="3">
        <v>0</v>
      </c>
      <c r="P1953">
        <v>21</v>
      </c>
      <c r="Q1953">
        <v>6.5</v>
      </c>
      <c r="R1953" t="s">
        <v>102</v>
      </c>
      <c r="S1953">
        <v>0</v>
      </c>
      <c r="T1953" s="6">
        <f>10^-(14-Q1953)</f>
        <v>3.1622776601683699E-8</v>
      </c>
      <c r="U1953" s="6">
        <v>0</v>
      </c>
      <c r="V1953" s="6">
        <v>0</v>
      </c>
      <c r="W1953" s="6">
        <v>0</v>
      </c>
      <c r="X1953" s="6">
        <v>0</v>
      </c>
      <c r="Y1953" t="s">
        <v>171</v>
      </c>
      <c r="AD1953">
        <f>1/6</f>
        <v>0.16666666666666666</v>
      </c>
      <c r="AE1953">
        <v>150</v>
      </c>
      <c r="AF1953">
        <v>1</v>
      </c>
      <c r="AG1953" s="9">
        <v>1.7000000000000001E-2</v>
      </c>
      <c r="AH1953" s="9">
        <v>1.07</v>
      </c>
      <c r="AI1953" s="9">
        <v>0.65</v>
      </c>
      <c r="AJ1953" s="9">
        <v>1.9E-2</v>
      </c>
      <c r="AK1953" s="9">
        <v>8.9999999999999993E-3</v>
      </c>
      <c r="AL1953" s="9">
        <v>17.3</v>
      </c>
      <c r="AM1953" s="9">
        <v>11.1</v>
      </c>
      <c r="AN1953" s="9">
        <v>2.16</v>
      </c>
      <c r="AO1953" s="9">
        <v>9.2999999999999999E-2</v>
      </c>
      <c r="AP1953"/>
    </row>
    <row r="1954" spans="1:42" x14ac:dyDescent="0.3">
      <c r="A1954" t="s">
        <v>528</v>
      </c>
      <c r="B1954" s="1" t="s">
        <v>1607</v>
      </c>
      <c r="C1954">
        <v>80</v>
      </c>
      <c r="D1954" s="8">
        <v>1.4403999999999999</v>
      </c>
      <c r="E1954">
        <v>14000</v>
      </c>
      <c r="F1954">
        <v>15</v>
      </c>
      <c r="H1954" t="s">
        <v>987</v>
      </c>
      <c r="K1954" s="4">
        <v>1</v>
      </c>
      <c r="L1954" t="s">
        <v>140</v>
      </c>
      <c r="M1954" t="s">
        <v>28</v>
      </c>
      <c r="N1954" s="3">
        <v>0.6</v>
      </c>
      <c r="O1954" s="3">
        <v>0</v>
      </c>
      <c r="P1954">
        <v>21</v>
      </c>
      <c r="Q1954">
        <v>6.5</v>
      </c>
      <c r="R1954" t="s">
        <v>102</v>
      </c>
      <c r="S1954">
        <v>0</v>
      </c>
      <c r="T1954" s="6">
        <f>10^-(14-Q1954)</f>
        <v>3.1622776601683699E-8</v>
      </c>
      <c r="U1954" s="6">
        <v>0</v>
      </c>
      <c r="V1954" s="6">
        <v>0</v>
      </c>
      <c r="W1954" s="6">
        <v>0</v>
      </c>
      <c r="X1954" s="6">
        <v>0</v>
      </c>
      <c r="Y1954" t="s">
        <v>171</v>
      </c>
      <c r="AD1954">
        <f>1/6</f>
        <v>0.16666666666666666</v>
      </c>
      <c r="AE1954">
        <v>125</v>
      </c>
      <c r="AF1954">
        <v>1</v>
      </c>
      <c r="AG1954" s="9">
        <v>1.7000000000000001E-2</v>
      </c>
      <c r="AH1954" s="9">
        <v>1.07</v>
      </c>
      <c r="AI1954" s="9">
        <v>0.65</v>
      </c>
      <c r="AJ1954" s="9">
        <v>1.9E-2</v>
      </c>
      <c r="AK1954" s="9">
        <v>8.9999999999999993E-3</v>
      </c>
      <c r="AL1954" s="9">
        <v>17.3</v>
      </c>
      <c r="AM1954" s="9">
        <v>11.1</v>
      </c>
      <c r="AN1954" s="9">
        <v>2.16</v>
      </c>
      <c r="AO1954" s="9">
        <v>9.2999999999999999E-2</v>
      </c>
      <c r="AP1954"/>
    </row>
    <row r="1955" spans="1:42" x14ac:dyDescent="0.3">
      <c r="A1955" t="s">
        <v>529</v>
      </c>
      <c r="B1955" s="1" t="s">
        <v>1607</v>
      </c>
      <c r="C1955">
        <v>80</v>
      </c>
      <c r="D1955" s="8">
        <v>1.4403999999999999</v>
      </c>
      <c r="E1955">
        <v>14000</v>
      </c>
      <c r="F1955">
        <v>15</v>
      </c>
      <c r="H1955" t="s">
        <v>987</v>
      </c>
      <c r="K1955" s="4">
        <v>1</v>
      </c>
      <c r="L1955" t="s">
        <v>140</v>
      </c>
      <c r="M1955" t="s">
        <v>28</v>
      </c>
      <c r="N1955" s="3">
        <v>0.6</v>
      </c>
      <c r="O1955" s="3">
        <v>0</v>
      </c>
      <c r="P1955">
        <v>21</v>
      </c>
      <c r="Q1955">
        <v>6.5</v>
      </c>
      <c r="R1955" t="s">
        <v>102</v>
      </c>
      <c r="S1955">
        <v>0</v>
      </c>
      <c r="T1955" s="6">
        <f>10^-(14-Q1955)</f>
        <v>3.1622776601683699E-8</v>
      </c>
      <c r="U1955" s="6">
        <v>0</v>
      </c>
      <c r="V1955" s="6">
        <v>0</v>
      </c>
      <c r="W1955" s="6">
        <v>0</v>
      </c>
      <c r="X1955" s="6">
        <v>0</v>
      </c>
      <c r="Y1955" t="s">
        <v>171</v>
      </c>
      <c r="AD1955">
        <f>1/6</f>
        <v>0.16666666666666666</v>
      </c>
      <c r="AE1955">
        <v>100</v>
      </c>
      <c r="AF1955">
        <v>1</v>
      </c>
      <c r="AG1955" s="9">
        <v>1.7000000000000001E-2</v>
      </c>
      <c r="AH1955" s="9">
        <v>1.07</v>
      </c>
      <c r="AI1955" s="9">
        <v>0.65</v>
      </c>
      <c r="AJ1955" s="9">
        <v>1.9E-2</v>
      </c>
      <c r="AK1955" s="9">
        <v>8.9999999999999993E-3</v>
      </c>
      <c r="AL1955" s="9">
        <v>17.3</v>
      </c>
      <c r="AM1955" s="9">
        <v>11.1</v>
      </c>
      <c r="AN1955" s="9">
        <v>2.16</v>
      </c>
      <c r="AO1955" s="9">
        <v>9.2999999999999999E-2</v>
      </c>
      <c r="AP1955"/>
    </row>
    <row r="1956" spans="1:42" x14ac:dyDescent="0.3">
      <c r="A1956" t="s">
        <v>530</v>
      </c>
      <c r="B1956" s="1" t="s">
        <v>1607</v>
      </c>
      <c r="C1956">
        <v>80</v>
      </c>
      <c r="D1956" s="8">
        <v>1.4403999999999999</v>
      </c>
      <c r="E1956">
        <v>100000</v>
      </c>
      <c r="F1956">
        <v>4</v>
      </c>
      <c r="H1956" t="s">
        <v>987</v>
      </c>
      <c r="I1956" s="4">
        <v>1.5</v>
      </c>
      <c r="K1956" s="4">
        <v>1</v>
      </c>
      <c r="L1956" t="s">
        <v>140</v>
      </c>
      <c r="M1956" t="s">
        <v>28</v>
      </c>
      <c r="N1956" s="3">
        <v>0.6</v>
      </c>
      <c r="O1956" s="3">
        <v>0</v>
      </c>
      <c r="P1956">
        <v>21</v>
      </c>
      <c r="Q1956">
        <v>6.5</v>
      </c>
      <c r="R1956" t="s">
        <v>102</v>
      </c>
      <c r="S1956">
        <v>0</v>
      </c>
      <c r="T1956" s="6">
        <f>10^-(14-Q1956)</f>
        <v>3.1622776601683699E-8</v>
      </c>
      <c r="U1956" s="6">
        <v>0</v>
      </c>
      <c r="V1956" s="6">
        <v>0</v>
      </c>
      <c r="W1956" s="6">
        <v>0</v>
      </c>
      <c r="X1956" s="6">
        <v>0</v>
      </c>
      <c r="Y1956" t="s">
        <v>171</v>
      </c>
      <c r="Z1956" s="5">
        <v>-200</v>
      </c>
      <c r="AD1956">
        <f>1/6</f>
        <v>0.16666666666666666</v>
      </c>
      <c r="AE1956">
        <v>1200</v>
      </c>
      <c r="AF1956">
        <v>2</v>
      </c>
      <c r="AG1956" s="9">
        <v>1.7000000000000001E-2</v>
      </c>
      <c r="AH1956" s="9">
        <v>1.07</v>
      </c>
      <c r="AI1956" s="9">
        <v>0.65</v>
      </c>
      <c r="AJ1956" s="9">
        <v>1.9E-2</v>
      </c>
      <c r="AK1956" s="9">
        <v>8.9999999999999993E-3</v>
      </c>
      <c r="AL1956" s="9">
        <v>17.3</v>
      </c>
      <c r="AM1956" s="9">
        <v>11.1</v>
      </c>
      <c r="AN1956" s="9">
        <v>2.16</v>
      </c>
      <c r="AO1956" s="9">
        <v>9.2999999999999999E-2</v>
      </c>
      <c r="AP1956"/>
    </row>
    <row r="1957" spans="1:42" x14ac:dyDescent="0.3">
      <c r="A1957" t="s">
        <v>531</v>
      </c>
      <c r="B1957" s="1" t="s">
        <v>1607</v>
      </c>
      <c r="C1957">
        <v>80</v>
      </c>
      <c r="D1957" s="8">
        <v>1.4403999999999999</v>
      </c>
      <c r="E1957">
        <v>100000</v>
      </c>
      <c r="F1957">
        <v>4</v>
      </c>
      <c r="H1957" t="s">
        <v>987</v>
      </c>
      <c r="I1957" s="4">
        <v>1.5</v>
      </c>
      <c r="K1957" s="4">
        <v>1</v>
      </c>
      <c r="L1957" t="s">
        <v>140</v>
      </c>
      <c r="M1957" t="s">
        <v>28</v>
      </c>
      <c r="N1957" s="3">
        <v>0.6</v>
      </c>
      <c r="O1957" s="3">
        <v>0</v>
      </c>
      <c r="P1957">
        <v>21</v>
      </c>
      <c r="Q1957">
        <v>6.5</v>
      </c>
      <c r="R1957" t="s">
        <v>102</v>
      </c>
      <c r="S1957">
        <v>0</v>
      </c>
      <c r="T1957" s="6">
        <f>10^-(14-Q1957)</f>
        <v>3.1622776601683699E-8</v>
      </c>
      <c r="U1957" s="6">
        <v>0</v>
      </c>
      <c r="V1957" s="6">
        <v>0</v>
      </c>
      <c r="W1957" s="6">
        <v>0</v>
      </c>
      <c r="X1957" s="6">
        <v>0</v>
      </c>
      <c r="Y1957" t="s">
        <v>171</v>
      </c>
      <c r="Z1957" s="5">
        <v>-200</v>
      </c>
      <c r="AD1957">
        <f>1/6</f>
        <v>0.16666666666666666</v>
      </c>
      <c r="AE1957">
        <v>1200</v>
      </c>
      <c r="AF1957">
        <v>2</v>
      </c>
      <c r="AG1957" s="9">
        <v>1.7000000000000001E-2</v>
      </c>
      <c r="AH1957" s="9">
        <v>1.07</v>
      </c>
      <c r="AI1957" s="9">
        <v>0.65</v>
      </c>
      <c r="AJ1957" s="9">
        <v>1.9E-2</v>
      </c>
      <c r="AK1957" s="9">
        <v>8.9999999999999993E-3</v>
      </c>
      <c r="AL1957" s="9">
        <v>17.3</v>
      </c>
      <c r="AM1957" s="9">
        <v>11.1</v>
      </c>
      <c r="AN1957" s="9">
        <v>2.16</v>
      </c>
      <c r="AO1957" s="9">
        <v>9.2999999999999999E-2</v>
      </c>
      <c r="AP1957"/>
    </row>
    <row r="1958" spans="1:42" x14ac:dyDescent="0.3">
      <c r="A1958" t="s">
        <v>532</v>
      </c>
      <c r="B1958" s="1" t="s">
        <v>1607</v>
      </c>
      <c r="C1958">
        <v>80</v>
      </c>
      <c r="D1958" s="8">
        <v>1.4403999999999999</v>
      </c>
      <c r="E1958">
        <v>100000</v>
      </c>
      <c r="F1958">
        <v>4</v>
      </c>
      <c r="H1958" t="s">
        <v>987</v>
      </c>
      <c r="I1958" s="4">
        <v>1.5</v>
      </c>
      <c r="K1958" s="4">
        <v>1</v>
      </c>
      <c r="L1958" t="s">
        <v>140</v>
      </c>
      <c r="M1958" t="s">
        <v>28</v>
      </c>
      <c r="N1958" s="3">
        <v>0.6</v>
      </c>
      <c r="O1958" s="3">
        <v>0</v>
      </c>
      <c r="P1958">
        <v>21</v>
      </c>
      <c r="Q1958">
        <v>6.5</v>
      </c>
      <c r="R1958" t="s">
        <v>102</v>
      </c>
      <c r="S1958">
        <v>0</v>
      </c>
      <c r="T1958" s="6">
        <f>10^-(14-Q1958)</f>
        <v>3.1622776601683699E-8</v>
      </c>
      <c r="U1958" s="6">
        <v>0</v>
      </c>
      <c r="V1958" s="6">
        <v>0</v>
      </c>
      <c r="W1958" s="6">
        <v>0</v>
      </c>
      <c r="X1958" s="6">
        <v>0</v>
      </c>
      <c r="Y1958" t="s">
        <v>171</v>
      </c>
      <c r="Z1958" s="5">
        <v>-200</v>
      </c>
      <c r="AD1958">
        <f>1/6</f>
        <v>0.16666666666666666</v>
      </c>
      <c r="AE1958">
        <v>1200</v>
      </c>
      <c r="AF1958">
        <v>2</v>
      </c>
      <c r="AG1958" s="9">
        <v>1.7000000000000001E-2</v>
      </c>
      <c r="AH1958" s="9">
        <v>1.07</v>
      </c>
      <c r="AI1958" s="9">
        <v>0.65</v>
      </c>
      <c r="AJ1958" s="9">
        <v>1.9E-2</v>
      </c>
      <c r="AK1958" s="9">
        <v>8.9999999999999993E-3</v>
      </c>
      <c r="AL1958" s="9">
        <v>17.3</v>
      </c>
      <c r="AM1958" s="9">
        <v>11.1</v>
      </c>
      <c r="AN1958" s="9">
        <v>2.16</v>
      </c>
      <c r="AO1958" s="9">
        <v>9.2999999999999999E-2</v>
      </c>
      <c r="AP1958"/>
    </row>
    <row r="1959" spans="1:42" x14ac:dyDescent="0.3">
      <c r="A1959" t="s">
        <v>533</v>
      </c>
      <c r="B1959" s="1" t="s">
        <v>1607</v>
      </c>
      <c r="C1959">
        <v>80</v>
      </c>
      <c r="D1959" s="8">
        <v>1.4403999999999999</v>
      </c>
      <c r="E1959">
        <v>100000</v>
      </c>
      <c r="F1959">
        <v>4</v>
      </c>
      <c r="H1959" t="s">
        <v>987</v>
      </c>
      <c r="I1959" s="4">
        <v>1.5</v>
      </c>
      <c r="K1959" s="4">
        <v>1</v>
      </c>
      <c r="L1959" t="s">
        <v>140</v>
      </c>
      <c r="M1959" t="s">
        <v>28</v>
      </c>
      <c r="N1959" s="3">
        <v>0.6</v>
      </c>
      <c r="O1959" s="3">
        <v>0</v>
      </c>
      <c r="P1959">
        <v>21</v>
      </c>
      <c r="Q1959">
        <v>6.5</v>
      </c>
      <c r="R1959" t="s">
        <v>102</v>
      </c>
      <c r="S1959">
        <v>0</v>
      </c>
      <c r="T1959" s="6">
        <f>10^-(14-Q1959)</f>
        <v>3.1622776601683699E-8</v>
      </c>
      <c r="U1959" s="6">
        <v>0</v>
      </c>
      <c r="V1959" s="6">
        <v>0</v>
      </c>
      <c r="W1959" s="6">
        <v>0</v>
      </c>
      <c r="X1959" s="6">
        <v>0</v>
      </c>
      <c r="Y1959" t="s">
        <v>171</v>
      </c>
      <c r="Z1959" s="5">
        <v>-200</v>
      </c>
      <c r="AD1959">
        <f>1/6</f>
        <v>0.16666666666666666</v>
      </c>
      <c r="AE1959">
        <v>1200</v>
      </c>
      <c r="AF1959">
        <v>2</v>
      </c>
      <c r="AG1959" s="9">
        <v>1.7000000000000001E-2</v>
      </c>
      <c r="AH1959" s="9">
        <v>1.07</v>
      </c>
      <c r="AI1959" s="9">
        <v>0.65</v>
      </c>
      <c r="AJ1959" s="9">
        <v>1.9E-2</v>
      </c>
      <c r="AK1959" s="9">
        <v>8.9999999999999993E-3</v>
      </c>
      <c r="AL1959" s="9">
        <v>17.3</v>
      </c>
      <c r="AM1959" s="9">
        <v>11.1</v>
      </c>
      <c r="AN1959" s="9">
        <v>2.16</v>
      </c>
      <c r="AO1959" s="9">
        <v>9.2999999999999999E-2</v>
      </c>
      <c r="AP1959"/>
    </row>
    <row r="1960" spans="1:42" x14ac:dyDescent="0.3">
      <c r="A1960" t="s">
        <v>534</v>
      </c>
      <c r="B1960" s="1" t="s">
        <v>1607</v>
      </c>
      <c r="C1960">
        <v>80</v>
      </c>
      <c r="D1960" s="8">
        <v>1.4403999999999999</v>
      </c>
      <c r="E1960">
        <v>100000</v>
      </c>
      <c r="F1960">
        <v>4</v>
      </c>
      <c r="H1960" t="s">
        <v>987</v>
      </c>
      <c r="I1960" s="4">
        <v>1.5</v>
      </c>
      <c r="K1960" s="4">
        <v>1</v>
      </c>
      <c r="L1960" t="s">
        <v>140</v>
      </c>
      <c r="M1960" t="s">
        <v>28</v>
      </c>
      <c r="N1960" s="3">
        <v>0.6</v>
      </c>
      <c r="O1960" s="3">
        <v>0</v>
      </c>
      <c r="P1960">
        <v>21</v>
      </c>
      <c r="Q1960">
        <v>6.5</v>
      </c>
      <c r="R1960" t="s">
        <v>102</v>
      </c>
      <c r="S1960">
        <v>0</v>
      </c>
      <c r="T1960" s="6">
        <f>10^-(14-Q1960)</f>
        <v>3.1622776601683699E-8</v>
      </c>
      <c r="U1960" s="6">
        <v>0</v>
      </c>
      <c r="V1960" s="6">
        <v>0</v>
      </c>
      <c r="W1960" s="6">
        <v>0</v>
      </c>
      <c r="X1960" s="6">
        <v>0</v>
      </c>
      <c r="Y1960" t="s">
        <v>171</v>
      </c>
      <c r="Z1960" s="5">
        <v>-200</v>
      </c>
      <c r="AD1960">
        <f>1/6</f>
        <v>0.16666666666666666</v>
      </c>
      <c r="AE1960">
        <v>1100</v>
      </c>
      <c r="AF1960">
        <v>1</v>
      </c>
      <c r="AG1960" s="9">
        <v>1.7000000000000001E-2</v>
      </c>
      <c r="AH1960" s="9">
        <v>1.07</v>
      </c>
      <c r="AI1960" s="9">
        <v>0.65</v>
      </c>
      <c r="AJ1960" s="9">
        <v>1.9E-2</v>
      </c>
      <c r="AK1960" s="9">
        <v>8.9999999999999993E-3</v>
      </c>
      <c r="AL1960" s="9">
        <v>17.3</v>
      </c>
      <c r="AM1960" s="9">
        <v>11.1</v>
      </c>
      <c r="AN1960" s="9">
        <v>2.16</v>
      </c>
      <c r="AO1960" s="9">
        <v>9.2999999999999999E-2</v>
      </c>
      <c r="AP1960"/>
    </row>
    <row r="1961" spans="1:42" x14ac:dyDescent="0.3">
      <c r="A1961" t="s">
        <v>535</v>
      </c>
      <c r="B1961" s="1" t="s">
        <v>1607</v>
      </c>
      <c r="C1961">
        <v>80</v>
      </c>
      <c r="D1961" s="8">
        <v>1.4403999999999999</v>
      </c>
      <c r="E1961">
        <v>100000</v>
      </c>
      <c r="F1961">
        <v>4</v>
      </c>
      <c r="H1961" t="s">
        <v>987</v>
      </c>
      <c r="I1961" s="4">
        <v>1.5</v>
      </c>
      <c r="K1961" s="4">
        <v>1</v>
      </c>
      <c r="L1961" t="s">
        <v>140</v>
      </c>
      <c r="M1961" t="s">
        <v>28</v>
      </c>
      <c r="N1961" s="3">
        <v>0.6</v>
      </c>
      <c r="O1961" s="3">
        <v>0</v>
      </c>
      <c r="P1961">
        <v>21</v>
      </c>
      <c r="Q1961">
        <v>6.5</v>
      </c>
      <c r="R1961" t="s">
        <v>102</v>
      </c>
      <c r="S1961">
        <v>0</v>
      </c>
      <c r="T1961" s="6">
        <f>10^-(14-Q1961)</f>
        <v>3.1622776601683699E-8</v>
      </c>
      <c r="U1961" s="6">
        <v>0</v>
      </c>
      <c r="V1961" s="6">
        <v>0</v>
      </c>
      <c r="W1961" s="6">
        <v>0</v>
      </c>
      <c r="X1961" s="6">
        <v>0</v>
      </c>
      <c r="Y1961" t="s">
        <v>171</v>
      </c>
      <c r="Z1961" s="5">
        <v>-200</v>
      </c>
      <c r="AD1961">
        <f>1/6</f>
        <v>0.16666666666666666</v>
      </c>
      <c r="AE1961">
        <v>850</v>
      </c>
      <c r="AF1961">
        <v>1</v>
      </c>
      <c r="AG1961" s="9">
        <v>1.7000000000000001E-2</v>
      </c>
      <c r="AH1961" s="9">
        <v>1.07</v>
      </c>
      <c r="AI1961" s="9">
        <v>0.65</v>
      </c>
      <c r="AJ1961" s="9">
        <v>1.9E-2</v>
      </c>
      <c r="AK1961" s="9">
        <v>8.9999999999999993E-3</v>
      </c>
      <c r="AL1961" s="9">
        <v>17.3</v>
      </c>
      <c r="AM1961" s="9">
        <v>11.1</v>
      </c>
      <c r="AN1961" s="9">
        <v>2.16</v>
      </c>
      <c r="AO1961" s="9">
        <v>9.2999999999999999E-2</v>
      </c>
      <c r="AP1961"/>
    </row>
    <row r="1962" spans="1:42" x14ac:dyDescent="0.3">
      <c r="A1962" t="s">
        <v>536</v>
      </c>
      <c r="B1962" s="1" t="s">
        <v>1607</v>
      </c>
      <c r="C1962">
        <v>80</v>
      </c>
      <c r="D1962" s="8">
        <v>1.4403999999999999</v>
      </c>
      <c r="E1962">
        <v>100000</v>
      </c>
      <c r="F1962">
        <v>5</v>
      </c>
      <c r="H1962" t="s">
        <v>987</v>
      </c>
      <c r="I1962" s="4">
        <v>1.5</v>
      </c>
      <c r="K1962" s="4">
        <v>1</v>
      </c>
      <c r="L1962" t="s">
        <v>140</v>
      </c>
      <c r="M1962" t="s">
        <v>28</v>
      </c>
      <c r="N1962" s="3">
        <v>0.6</v>
      </c>
      <c r="O1962" s="3">
        <v>0</v>
      </c>
      <c r="P1962">
        <v>21</v>
      </c>
      <c r="Q1962">
        <v>6.5</v>
      </c>
      <c r="R1962" t="s">
        <v>102</v>
      </c>
      <c r="S1962">
        <v>0</v>
      </c>
      <c r="T1962" s="6">
        <f>10^-(14-Q1962)</f>
        <v>3.1622776601683699E-8</v>
      </c>
      <c r="U1962" s="6">
        <v>0</v>
      </c>
      <c r="V1962" s="6">
        <v>0</v>
      </c>
      <c r="W1962" s="6">
        <v>0</v>
      </c>
      <c r="X1962" s="6">
        <v>0</v>
      </c>
      <c r="Y1962" t="s">
        <v>171</v>
      </c>
      <c r="Z1962" s="5">
        <v>-200</v>
      </c>
      <c r="AD1962">
        <f>1/6</f>
        <v>0.16666666666666666</v>
      </c>
      <c r="AE1962">
        <v>1200</v>
      </c>
      <c r="AF1962">
        <v>2</v>
      </c>
      <c r="AG1962" s="9">
        <v>1.7000000000000001E-2</v>
      </c>
      <c r="AH1962" s="9">
        <v>1.07</v>
      </c>
      <c r="AI1962" s="9">
        <v>0.65</v>
      </c>
      <c r="AJ1962" s="9">
        <v>1.9E-2</v>
      </c>
      <c r="AK1962" s="9">
        <v>8.9999999999999993E-3</v>
      </c>
      <c r="AL1962" s="9">
        <v>17.3</v>
      </c>
      <c r="AM1962" s="9">
        <v>11.1</v>
      </c>
      <c r="AN1962" s="9">
        <v>2.16</v>
      </c>
      <c r="AO1962" s="9">
        <v>9.2999999999999999E-2</v>
      </c>
      <c r="AP1962"/>
    </row>
    <row r="1963" spans="1:42" x14ac:dyDescent="0.3">
      <c r="A1963" t="s">
        <v>537</v>
      </c>
      <c r="B1963" s="1" t="s">
        <v>1607</v>
      </c>
      <c r="C1963">
        <v>80</v>
      </c>
      <c r="D1963" s="8">
        <v>1.4403999999999999</v>
      </c>
      <c r="E1963">
        <v>100000</v>
      </c>
      <c r="F1963">
        <v>5</v>
      </c>
      <c r="H1963" t="s">
        <v>987</v>
      </c>
      <c r="I1963" s="4">
        <v>1.5</v>
      </c>
      <c r="K1963" s="4">
        <v>1</v>
      </c>
      <c r="L1963" t="s">
        <v>140</v>
      </c>
      <c r="M1963" t="s">
        <v>28</v>
      </c>
      <c r="N1963" s="3">
        <v>0.6</v>
      </c>
      <c r="O1963" s="3">
        <v>0</v>
      </c>
      <c r="P1963">
        <v>21</v>
      </c>
      <c r="Q1963">
        <v>6.5</v>
      </c>
      <c r="R1963" t="s">
        <v>102</v>
      </c>
      <c r="S1963">
        <v>0</v>
      </c>
      <c r="T1963" s="6">
        <f>10^-(14-Q1963)</f>
        <v>3.1622776601683699E-8</v>
      </c>
      <c r="U1963" s="6">
        <v>0</v>
      </c>
      <c r="V1963" s="6">
        <v>0</v>
      </c>
      <c r="W1963" s="6">
        <v>0</v>
      </c>
      <c r="X1963" s="6">
        <v>0</v>
      </c>
      <c r="Y1963" t="s">
        <v>171</v>
      </c>
      <c r="Z1963" s="5">
        <v>-200</v>
      </c>
      <c r="AD1963">
        <f>1/6</f>
        <v>0.16666666666666666</v>
      </c>
      <c r="AE1963">
        <v>1200</v>
      </c>
      <c r="AF1963">
        <v>2</v>
      </c>
      <c r="AG1963" s="9">
        <v>1.7000000000000001E-2</v>
      </c>
      <c r="AH1963" s="9">
        <v>1.07</v>
      </c>
      <c r="AI1963" s="9">
        <v>0.65</v>
      </c>
      <c r="AJ1963" s="9">
        <v>1.9E-2</v>
      </c>
      <c r="AK1963" s="9">
        <v>8.9999999999999993E-3</v>
      </c>
      <c r="AL1963" s="9">
        <v>17.3</v>
      </c>
      <c r="AM1963" s="9">
        <v>11.1</v>
      </c>
      <c r="AN1963" s="9">
        <v>2.16</v>
      </c>
      <c r="AO1963" s="9">
        <v>9.2999999999999999E-2</v>
      </c>
      <c r="AP1963"/>
    </row>
    <row r="1964" spans="1:42" x14ac:dyDescent="0.3">
      <c r="A1964" t="s">
        <v>538</v>
      </c>
      <c r="B1964" s="1" t="s">
        <v>1607</v>
      </c>
      <c r="C1964">
        <v>80</v>
      </c>
      <c r="D1964" s="8">
        <v>1.4403999999999999</v>
      </c>
      <c r="E1964">
        <v>100000</v>
      </c>
      <c r="F1964">
        <v>5</v>
      </c>
      <c r="H1964" t="s">
        <v>987</v>
      </c>
      <c r="I1964" s="4">
        <v>1.5</v>
      </c>
      <c r="K1964" s="4">
        <v>1</v>
      </c>
      <c r="L1964" t="s">
        <v>140</v>
      </c>
      <c r="M1964" t="s">
        <v>28</v>
      </c>
      <c r="N1964" s="3">
        <v>0.6</v>
      </c>
      <c r="O1964" s="3">
        <v>0</v>
      </c>
      <c r="P1964">
        <v>21</v>
      </c>
      <c r="Q1964">
        <v>6.5</v>
      </c>
      <c r="R1964" t="s">
        <v>102</v>
      </c>
      <c r="S1964">
        <v>0</v>
      </c>
      <c r="T1964" s="6">
        <f>10^-(14-Q1964)</f>
        <v>3.1622776601683699E-8</v>
      </c>
      <c r="U1964" s="6">
        <v>0</v>
      </c>
      <c r="V1964" s="6">
        <v>0</v>
      </c>
      <c r="W1964" s="6">
        <v>0</v>
      </c>
      <c r="X1964" s="6">
        <v>0</v>
      </c>
      <c r="Y1964" t="s">
        <v>171</v>
      </c>
      <c r="Z1964" s="5">
        <v>-200</v>
      </c>
      <c r="AD1964">
        <f>1/6</f>
        <v>0.16666666666666666</v>
      </c>
      <c r="AE1964">
        <v>1150</v>
      </c>
      <c r="AF1964">
        <v>1</v>
      </c>
      <c r="AG1964" s="9">
        <v>1.7000000000000001E-2</v>
      </c>
      <c r="AH1964" s="9">
        <v>1.07</v>
      </c>
      <c r="AI1964" s="9">
        <v>0.65</v>
      </c>
      <c r="AJ1964" s="9">
        <v>1.9E-2</v>
      </c>
      <c r="AK1964" s="9">
        <v>8.9999999999999993E-3</v>
      </c>
      <c r="AL1964" s="9">
        <v>17.3</v>
      </c>
      <c r="AM1964" s="9">
        <v>11.1</v>
      </c>
      <c r="AN1964" s="9">
        <v>2.16</v>
      </c>
      <c r="AO1964" s="9">
        <v>9.2999999999999999E-2</v>
      </c>
      <c r="AP1964"/>
    </row>
    <row r="1965" spans="1:42" x14ac:dyDescent="0.3">
      <c r="A1965" t="s">
        <v>539</v>
      </c>
      <c r="B1965" s="1" t="s">
        <v>1607</v>
      </c>
      <c r="C1965">
        <v>80</v>
      </c>
      <c r="D1965" s="8">
        <v>1.4403999999999999</v>
      </c>
      <c r="E1965">
        <v>100000</v>
      </c>
      <c r="F1965">
        <v>5</v>
      </c>
      <c r="H1965" t="s">
        <v>987</v>
      </c>
      <c r="I1965" s="4">
        <v>1.5</v>
      </c>
      <c r="K1965" s="4">
        <v>1</v>
      </c>
      <c r="L1965" t="s">
        <v>140</v>
      </c>
      <c r="M1965" t="s">
        <v>28</v>
      </c>
      <c r="N1965" s="3">
        <v>0.6</v>
      </c>
      <c r="O1965" s="3">
        <v>0</v>
      </c>
      <c r="P1965">
        <v>21</v>
      </c>
      <c r="Q1965">
        <v>6.5</v>
      </c>
      <c r="R1965" t="s">
        <v>102</v>
      </c>
      <c r="S1965">
        <v>0</v>
      </c>
      <c r="T1965" s="6">
        <f>10^-(14-Q1965)</f>
        <v>3.1622776601683699E-8</v>
      </c>
      <c r="U1965" s="6">
        <v>0</v>
      </c>
      <c r="V1965" s="6">
        <v>0</v>
      </c>
      <c r="W1965" s="6">
        <v>0</v>
      </c>
      <c r="X1965" s="6">
        <v>0</v>
      </c>
      <c r="Y1965" t="s">
        <v>171</v>
      </c>
      <c r="Z1965" s="5">
        <v>-200</v>
      </c>
      <c r="AD1965">
        <f>1/6</f>
        <v>0.16666666666666666</v>
      </c>
      <c r="AE1965">
        <v>975</v>
      </c>
      <c r="AF1965">
        <v>1</v>
      </c>
      <c r="AG1965" s="9">
        <v>1.7000000000000001E-2</v>
      </c>
      <c r="AH1965" s="9">
        <v>1.07</v>
      </c>
      <c r="AI1965" s="9">
        <v>0.65</v>
      </c>
      <c r="AJ1965" s="9">
        <v>1.9E-2</v>
      </c>
      <c r="AK1965" s="9">
        <v>8.9999999999999993E-3</v>
      </c>
      <c r="AL1965" s="9">
        <v>17.3</v>
      </c>
      <c r="AM1965" s="9">
        <v>11.1</v>
      </c>
      <c r="AN1965" s="9">
        <v>2.16</v>
      </c>
      <c r="AO1965" s="9">
        <v>9.2999999999999999E-2</v>
      </c>
      <c r="AP1965"/>
    </row>
    <row r="1966" spans="1:42" x14ac:dyDescent="0.3">
      <c r="A1966" t="s">
        <v>540</v>
      </c>
      <c r="B1966" s="1" t="s">
        <v>1607</v>
      </c>
      <c r="C1966">
        <v>80</v>
      </c>
      <c r="D1966" s="8">
        <v>1.4403999999999999</v>
      </c>
      <c r="E1966">
        <v>100000</v>
      </c>
      <c r="F1966">
        <v>5</v>
      </c>
      <c r="H1966" t="s">
        <v>987</v>
      </c>
      <c r="I1966" s="4">
        <v>1.5</v>
      </c>
      <c r="K1966" s="4">
        <v>1</v>
      </c>
      <c r="L1966" t="s">
        <v>140</v>
      </c>
      <c r="M1966" t="s">
        <v>28</v>
      </c>
      <c r="N1966" s="3">
        <v>0.6</v>
      </c>
      <c r="O1966" s="3">
        <v>0</v>
      </c>
      <c r="P1966">
        <v>21</v>
      </c>
      <c r="Q1966">
        <v>6.5</v>
      </c>
      <c r="R1966" t="s">
        <v>102</v>
      </c>
      <c r="S1966">
        <v>0</v>
      </c>
      <c r="T1966" s="6">
        <f>10^-(14-Q1966)</f>
        <v>3.1622776601683699E-8</v>
      </c>
      <c r="U1966" s="6">
        <v>0</v>
      </c>
      <c r="V1966" s="6">
        <v>0</v>
      </c>
      <c r="W1966" s="6">
        <v>0</v>
      </c>
      <c r="X1966" s="6">
        <v>0</v>
      </c>
      <c r="Y1966" t="s">
        <v>171</v>
      </c>
      <c r="Z1966" s="5">
        <v>-200</v>
      </c>
      <c r="AD1966">
        <f>1/6</f>
        <v>0.16666666666666666</v>
      </c>
      <c r="AE1966">
        <v>900</v>
      </c>
      <c r="AF1966">
        <v>1</v>
      </c>
      <c r="AG1966" s="9">
        <v>1.7000000000000001E-2</v>
      </c>
      <c r="AH1966" s="9">
        <v>1.07</v>
      </c>
      <c r="AI1966" s="9">
        <v>0.65</v>
      </c>
      <c r="AJ1966" s="9">
        <v>1.9E-2</v>
      </c>
      <c r="AK1966" s="9">
        <v>8.9999999999999993E-3</v>
      </c>
      <c r="AL1966" s="9">
        <v>17.3</v>
      </c>
      <c r="AM1966" s="9">
        <v>11.1</v>
      </c>
      <c r="AN1966" s="9">
        <v>2.16</v>
      </c>
      <c r="AO1966" s="9">
        <v>9.2999999999999999E-2</v>
      </c>
      <c r="AP1966"/>
    </row>
    <row r="1967" spans="1:42" x14ac:dyDescent="0.3">
      <c r="A1967" t="s">
        <v>541</v>
      </c>
      <c r="B1967" s="1" t="s">
        <v>1607</v>
      </c>
      <c r="C1967">
        <v>80</v>
      </c>
      <c r="D1967" s="8">
        <v>1.4403999999999999</v>
      </c>
      <c r="E1967">
        <v>100000</v>
      </c>
      <c r="F1967">
        <v>5</v>
      </c>
      <c r="H1967" t="s">
        <v>987</v>
      </c>
      <c r="I1967" s="4">
        <v>1.5</v>
      </c>
      <c r="K1967" s="4">
        <v>1</v>
      </c>
      <c r="L1967" t="s">
        <v>140</v>
      </c>
      <c r="M1967" t="s">
        <v>28</v>
      </c>
      <c r="N1967" s="3">
        <v>0.6</v>
      </c>
      <c r="O1967" s="3">
        <v>0</v>
      </c>
      <c r="P1967">
        <v>21</v>
      </c>
      <c r="Q1967">
        <v>6.5</v>
      </c>
      <c r="R1967" t="s">
        <v>102</v>
      </c>
      <c r="S1967">
        <v>0</v>
      </c>
      <c r="T1967" s="6">
        <f>10^-(14-Q1967)</f>
        <v>3.1622776601683699E-8</v>
      </c>
      <c r="U1967" s="6">
        <v>0</v>
      </c>
      <c r="V1967" s="6">
        <v>0</v>
      </c>
      <c r="W1967" s="6">
        <v>0</v>
      </c>
      <c r="X1967" s="6">
        <v>0</v>
      </c>
      <c r="Y1967" t="s">
        <v>171</v>
      </c>
      <c r="Z1967" s="5">
        <v>-200</v>
      </c>
      <c r="AD1967">
        <f>1/6</f>
        <v>0.16666666666666666</v>
      </c>
      <c r="AE1967">
        <v>850</v>
      </c>
      <c r="AF1967">
        <v>1</v>
      </c>
      <c r="AG1967" s="9">
        <v>1.7000000000000001E-2</v>
      </c>
      <c r="AH1967" s="9">
        <v>1.07</v>
      </c>
      <c r="AI1967" s="9">
        <v>0.65</v>
      </c>
      <c r="AJ1967" s="9">
        <v>1.9E-2</v>
      </c>
      <c r="AK1967" s="9">
        <v>8.9999999999999993E-3</v>
      </c>
      <c r="AL1967" s="9">
        <v>17.3</v>
      </c>
      <c r="AM1967" s="9">
        <v>11.1</v>
      </c>
      <c r="AN1967" s="9">
        <v>2.16</v>
      </c>
      <c r="AO1967" s="9">
        <v>9.2999999999999999E-2</v>
      </c>
      <c r="AP1967"/>
    </row>
    <row r="1968" spans="1:42" x14ac:dyDescent="0.3">
      <c r="A1968" t="s">
        <v>542</v>
      </c>
      <c r="B1968" s="1" t="s">
        <v>1607</v>
      </c>
      <c r="C1968">
        <v>80</v>
      </c>
      <c r="D1968" s="8">
        <v>1.4403999999999999</v>
      </c>
      <c r="E1968">
        <v>100000</v>
      </c>
      <c r="F1968">
        <v>5</v>
      </c>
      <c r="H1968" t="s">
        <v>987</v>
      </c>
      <c r="I1968" s="4">
        <v>1.5</v>
      </c>
      <c r="K1968" s="4">
        <v>1</v>
      </c>
      <c r="L1968" t="s">
        <v>140</v>
      </c>
      <c r="M1968" t="s">
        <v>28</v>
      </c>
      <c r="N1968" s="3">
        <v>0.6</v>
      </c>
      <c r="O1968" s="3">
        <v>0</v>
      </c>
      <c r="P1968">
        <v>21</v>
      </c>
      <c r="Q1968">
        <v>6.5</v>
      </c>
      <c r="R1968" t="s">
        <v>102</v>
      </c>
      <c r="S1968">
        <v>0</v>
      </c>
      <c r="T1968" s="6">
        <f>10^-(14-Q1968)</f>
        <v>3.1622776601683699E-8</v>
      </c>
      <c r="U1968" s="6">
        <v>0</v>
      </c>
      <c r="V1968" s="6">
        <v>0</v>
      </c>
      <c r="W1968" s="6">
        <v>0</v>
      </c>
      <c r="X1968" s="6">
        <v>0</v>
      </c>
      <c r="Y1968" t="s">
        <v>171</v>
      </c>
      <c r="Z1968" s="5">
        <v>-200</v>
      </c>
      <c r="AD1968">
        <f>1/6</f>
        <v>0.16666666666666666</v>
      </c>
      <c r="AE1968">
        <v>750</v>
      </c>
      <c r="AF1968">
        <v>1</v>
      </c>
      <c r="AG1968" s="9">
        <v>1.7000000000000001E-2</v>
      </c>
      <c r="AH1968" s="9">
        <v>1.07</v>
      </c>
      <c r="AI1968" s="9">
        <v>0.65</v>
      </c>
      <c r="AJ1968" s="9">
        <v>1.9E-2</v>
      </c>
      <c r="AK1968" s="9">
        <v>8.9999999999999993E-3</v>
      </c>
      <c r="AL1968" s="9">
        <v>17.3</v>
      </c>
      <c r="AM1968" s="9">
        <v>11.1</v>
      </c>
      <c r="AN1968" s="9">
        <v>2.16</v>
      </c>
      <c r="AO1968" s="9">
        <v>9.2999999999999999E-2</v>
      </c>
      <c r="AP1968"/>
    </row>
    <row r="1969" spans="1:42" x14ac:dyDescent="0.3">
      <c r="A1969" t="s">
        <v>543</v>
      </c>
      <c r="B1969" s="1" t="s">
        <v>1607</v>
      </c>
      <c r="C1969">
        <v>80</v>
      </c>
      <c r="D1969" s="8">
        <v>1.4403999999999999</v>
      </c>
      <c r="E1969">
        <v>100000</v>
      </c>
      <c r="F1969">
        <v>4</v>
      </c>
      <c r="H1969" t="s">
        <v>987</v>
      </c>
      <c r="I1969" s="4">
        <v>1.5</v>
      </c>
      <c r="K1969" s="4">
        <v>1</v>
      </c>
      <c r="L1969" t="s">
        <v>140</v>
      </c>
      <c r="M1969" t="s">
        <v>28</v>
      </c>
      <c r="N1969" s="3">
        <v>0.6</v>
      </c>
      <c r="O1969" s="3">
        <v>0</v>
      </c>
      <c r="P1969">
        <v>21</v>
      </c>
      <c r="Q1969">
        <v>6.5</v>
      </c>
      <c r="R1969" t="s">
        <v>102</v>
      </c>
      <c r="S1969">
        <v>0</v>
      </c>
      <c r="T1969" s="6">
        <f>10^-(14-Q1969)</f>
        <v>3.1622776601683699E-8</v>
      </c>
      <c r="U1969" s="6">
        <v>0</v>
      </c>
      <c r="V1969" s="6">
        <v>0</v>
      </c>
      <c r="W1969" s="6">
        <v>0</v>
      </c>
      <c r="X1969" s="6">
        <v>0</v>
      </c>
      <c r="Y1969" t="s">
        <v>171</v>
      </c>
      <c r="AD1969">
        <f>1/6</f>
        <v>0.16666666666666666</v>
      </c>
      <c r="AE1969">
        <v>1200</v>
      </c>
      <c r="AF1969">
        <v>2</v>
      </c>
      <c r="AG1969" s="9">
        <v>1.7000000000000001E-2</v>
      </c>
      <c r="AH1969" s="9">
        <v>1.07</v>
      </c>
      <c r="AI1969" s="9">
        <v>0.65</v>
      </c>
      <c r="AJ1969" s="9">
        <v>1.9E-2</v>
      </c>
      <c r="AK1969" s="9">
        <v>8.9999999999999993E-3</v>
      </c>
      <c r="AL1969" s="9">
        <v>17.3</v>
      </c>
      <c r="AM1969" s="9">
        <v>11.1</v>
      </c>
      <c r="AN1969" s="9">
        <v>2.16</v>
      </c>
      <c r="AO1969" s="9">
        <v>9.2999999999999999E-2</v>
      </c>
      <c r="AP1969"/>
    </row>
    <row r="1970" spans="1:42" x14ac:dyDescent="0.3">
      <c r="A1970" t="s">
        <v>544</v>
      </c>
      <c r="B1970" s="1" t="s">
        <v>1607</v>
      </c>
      <c r="C1970">
        <v>80</v>
      </c>
      <c r="D1970" s="8">
        <v>1.4403999999999999</v>
      </c>
      <c r="E1970">
        <v>100000</v>
      </c>
      <c r="F1970">
        <v>4</v>
      </c>
      <c r="H1970" t="s">
        <v>987</v>
      </c>
      <c r="I1970" s="4">
        <v>1.5</v>
      </c>
      <c r="K1970" s="4">
        <v>1</v>
      </c>
      <c r="L1970" t="s">
        <v>140</v>
      </c>
      <c r="M1970" t="s">
        <v>28</v>
      </c>
      <c r="N1970" s="3">
        <v>0.6</v>
      </c>
      <c r="O1970" s="3">
        <v>0</v>
      </c>
      <c r="P1970">
        <v>21</v>
      </c>
      <c r="Q1970">
        <v>6.5</v>
      </c>
      <c r="R1970" t="s">
        <v>102</v>
      </c>
      <c r="S1970">
        <v>0</v>
      </c>
      <c r="T1970" s="6">
        <f>10^-(14-Q1970)</f>
        <v>3.1622776601683699E-8</v>
      </c>
      <c r="U1970" s="6">
        <v>0</v>
      </c>
      <c r="V1970" s="6">
        <v>0</v>
      </c>
      <c r="W1970" s="6">
        <v>0</v>
      </c>
      <c r="X1970" s="6">
        <v>0</v>
      </c>
      <c r="Y1970" t="s">
        <v>171</v>
      </c>
      <c r="AD1970">
        <f>1/6</f>
        <v>0.16666666666666666</v>
      </c>
      <c r="AE1970">
        <v>1200</v>
      </c>
      <c r="AF1970">
        <v>2</v>
      </c>
      <c r="AG1970" s="9">
        <v>1.7000000000000001E-2</v>
      </c>
      <c r="AH1970" s="9">
        <v>1.07</v>
      </c>
      <c r="AI1970" s="9">
        <v>0.65</v>
      </c>
      <c r="AJ1970" s="9">
        <v>1.9E-2</v>
      </c>
      <c r="AK1970" s="9">
        <v>8.9999999999999993E-3</v>
      </c>
      <c r="AL1970" s="9">
        <v>17.3</v>
      </c>
      <c r="AM1970" s="9">
        <v>11.1</v>
      </c>
      <c r="AN1970" s="9">
        <v>2.16</v>
      </c>
      <c r="AO1970" s="9">
        <v>9.2999999999999999E-2</v>
      </c>
      <c r="AP1970"/>
    </row>
    <row r="1971" spans="1:42" x14ac:dyDescent="0.3">
      <c r="A1971" t="s">
        <v>545</v>
      </c>
      <c r="B1971" s="1" t="s">
        <v>1607</v>
      </c>
      <c r="C1971">
        <v>80</v>
      </c>
      <c r="D1971" s="8">
        <v>1.4403999999999999</v>
      </c>
      <c r="E1971">
        <v>100000</v>
      </c>
      <c r="F1971">
        <v>4</v>
      </c>
      <c r="H1971" t="s">
        <v>987</v>
      </c>
      <c r="I1971" s="4">
        <v>1.5</v>
      </c>
      <c r="K1971" s="4">
        <v>1</v>
      </c>
      <c r="L1971" t="s">
        <v>140</v>
      </c>
      <c r="M1971" t="s">
        <v>28</v>
      </c>
      <c r="N1971" s="3">
        <v>0.6</v>
      </c>
      <c r="O1971" s="3">
        <v>0</v>
      </c>
      <c r="P1971">
        <v>21</v>
      </c>
      <c r="Q1971">
        <v>6.5</v>
      </c>
      <c r="R1971" t="s">
        <v>102</v>
      </c>
      <c r="S1971">
        <v>0</v>
      </c>
      <c r="T1971" s="6">
        <f>10^-(14-Q1971)</f>
        <v>3.1622776601683699E-8</v>
      </c>
      <c r="U1971" s="6">
        <v>0</v>
      </c>
      <c r="V1971" s="6">
        <v>0</v>
      </c>
      <c r="W1971" s="6">
        <v>0</v>
      </c>
      <c r="X1971" s="6">
        <v>0</v>
      </c>
      <c r="Y1971" t="s">
        <v>171</v>
      </c>
      <c r="AD1971">
        <f>1/6</f>
        <v>0.16666666666666666</v>
      </c>
      <c r="AE1971">
        <v>1150</v>
      </c>
      <c r="AF1971">
        <v>1</v>
      </c>
      <c r="AG1971" s="9">
        <v>1.7000000000000001E-2</v>
      </c>
      <c r="AH1971" s="9">
        <v>1.07</v>
      </c>
      <c r="AI1971" s="9">
        <v>0.65</v>
      </c>
      <c r="AJ1971" s="9">
        <v>1.9E-2</v>
      </c>
      <c r="AK1971" s="9">
        <v>8.9999999999999993E-3</v>
      </c>
      <c r="AL1971" s="9">
        <v>17.3</v>
      </c>
      <c r="AM1971" s="9">
        <v>11.1</v>
      </c>
      <c r="AN1971" s="9">
        <v>2.16</v>
      </c>
      <c r="AO1971" s="9">
        <v>9.2999999999999999E-2</v>
      </c>
      <c r="AP1971"/>
    </row>
    <row r="1972" spans="1:42" x14ac:dyDescent="0.3">
      <c r="A1972" t="s">
        <v>546</v>
      </c>
      <c r="B1972" s="1" t="s">
        <v>1607</v>
      </c>
      <c r="C1972">
        <v>80</v>
      </c>
      <c r="D1972" s="8">
        <v>1.4403999999999999</v>
      </c>
      <c r="E1972">
        <v>100000</v>
      </c>
      <c r="F1972">
        <v>4</v>
      </c>
      <c r="H1972" t="s">
        <v>987</v>
      </c>
      <c r="I1972" s="4">
        <v>1.5</v>
      </c>
      <c r="K1972" s="4">
        <v>1</v>
      </c>
      <c r="L1972" t="s">
        <v>140</v>
      </c>
      <c r="M1972" t="s">
        <v>28</v>
      </c>
      <c r="N1972" s="3">
        <v>0.6</v>
      </c>
      <c r="O1972" s="3">
        <v>0</v>
      </c>
      <c r="P1972">
        <v>21</v>
      </c>
      <c r="Q1972">
        <v>6.5</v>
      </c>
      <c r="R1972" t="s">
        <v>102</v>
      </c>
      <c r="S1972">
        <v>0</v>
      </c>
      <c r="T1972" s="6">
        <f>10^-(14-Q1972)</f>
        <v>3.1622776601683699E-8</v>
      </c>
      <c r="U1972" s="6">
        <v>0</v>
      </c>
      <c r="V1972" s="6">
        <v>0</v>
      </c>
      <c r="W1972" s="6">
        <v>0</v>
      </c>
      <c r="X1972" s="6">
        <v>0</v>
      </c>
      <c r="Y1972" t="s">
        <v>171</v>
      </c>
      <c r="AD1972">
        <f>1/6</f>
        <v>0.16666666666666666</v>
      </c>
      <c r="AE1972">
        <v>1050</v>
      </c>
      <c r="AF1972">
        <v>1</v>
      </c>
      <c r="AG1972" s="9">
        <v>1.7000000000000001E-2</v>
      </c>
      <c r="AH1972" s="9">
        <v>1.07</v>
      </c>
      <c r="AI1972" s="9">
        <v>0.65</v>
      </c>
      <c r="AJ1972" s="9">
        <v>1.9E-2</v>
      </c>
      <c r="AK1972" s="9">
        <v>8.9999999999999993E-3</v>
      </c>
      <c r="AL1972" s="9">
        <v>17.3</v>
      </c>
      <c r="AM1972" s="9">
        <v>11.1</v>
      </c>
      <c r="AN1972" s="9">
        <v>2.16</v>
      </c>
      <c r="AO1972" s="9">
        <v>9.2999999999999999E-2</v>
      </c>
      <c r="AP1972"/>
    </row>
    <row r="1973" spans="1:42" x14ac:dyDescent="0.3">
      <c r="A1973" t="s">
        <v>547</v>
      </c>
      <c r="B1973" s="1" t="s">
        <v>1607</v>
      </c>
      <c r="C1973">
        <v>80</v>
      </c>
      <c r="D1973" s="8">
        <v>1.4403999999999999</v>
      </c>
      <c r="E1973">
        <v>100000</v>
      </c>
      <c r="F1973">
        <v>4</v>
      </c>
      <c r="H1973" t="s">
        <v>987</v>
      </c>
      <c r="I1973" s="4">
        <v>1.5</v>
      </c>
      <c r="K1973" s="4">
        <v>1</v>
      </c>
      <c r="L1973" t="s">
        <v>140</v>
      </c>
      <c r="M1973" t="s">
        <v>28</v>
      </c>
      <c r="N1973" s="3">
        <v>0.6</v>
      </c>
      <c r="O1973" s="3">
        <v>0</v>
      </c>
      <c r="P1973">
        <v>21</v>
      </c>
      <c r="Q1973">
        <v>6.5</v>
      </c>
      <c r="R1973" t="s">
        <v>102</v>
      </c>
      <c r="S1973">
        <v>0</v>
      </c>
      <c r="T1973" s="6">
        <f>10^-(14-Q1973)</f>
        <v>3.1622776601683699E-8</v>
      </c>
      <c r="U1973" s="6">
        <v>0</v>
      </c>
      <c r="V1973" s="6">
        <v>0</v>
      </c>
      <c r="W1973" s="6">
        <v>0</v>
      </c>
      <c r="X1973" s="6">
        <v>0</v>
      </c>
      <c r="Y1973" t="s">
        <v>171</v>
      </c>
      <c r="AD1973">
        <f>1/6</f>
        <v>0.16666666666666666</v>
      </c>
      <c r="AE1973">
        <v>1050</v>
      </c>
      <c r="AF1973">
        <v>1</v>
      </c>
      <c r="AG1973" s="9">
        <v>1.7000000000000001E-2</v>
      </c>
      <c r="AH1973" s="9">
        <v>1.07</v>
      </c>
      <c r="AI1973" s="9">
        <v>0.65</v>
      </c>
      <c r="AJ1973" s="9">
        <v>1.9E-2</v>
      </c>
      <c r="AK1973" s="9">
        <v>8.9999999999999993E-3</v>
      </c>
      <c r="AL1973" s="9">
        <v>17.3</v>
      </c>
      <c r="AM1973" s="9">
        <v>11.1</v>
      </c>
      <c r="AN1973" s="9">
        <v>2.16</v>
      </c>
      <c r="AO1973" s="9">
        <v>9.2999999999999999E-2</v>
      </c>
      <c r="AP1973"/>
    </row>
    <row r="1974" spans="1:42" x14ac:dyDescent="0.3">
      <c r="A1974" t="s">
        <v>548</v>
      </c>
      <c r="B1974" s="1" t="s">
        <v>1607</v>
      </c>
      <c r="C1974">
        <v>80</v>
      </c>
      <c r="D1974" s="8">
        <v>1.4403999999999999</v>
      </c>
      <c r="E1974">
        <v>100000</v>
      </c>
      <c r="F1974">
        <v>11</v>
      </c>
      <c r="H1974" t="s">
        <v>987</v>
      </c>
      <c r="I1974" s="4">
        <v>1.5</v>
      </c>
      <c r="K1974" s="4">
        <v>1</v>
      </c>
      <c r="L1974" t="s">
        <v>140</v>
      </c>
      <c r="M1974" t="s">
        <v>28</v>
      </c>
      <c r="N1974" s="3">
        <v>0.6</v>
      </c>
      <c r="O1974" s="3">
        <v>0</v>
      </c>
      <c r="P1974">
        <v>21</v>
      </c>
      <c r="Q1974">
        <v>6.5</v>
      </c>
      <c r="R1974" t="s">
        <v>102</v>
      </c>
      <c r="S1974">
        <v>0</v>
      </c>
      <c r="T1974" s="6">
        <f>10^-(14-Q1974)</f>
        <v>3.1622776601683699E-8</v>
      </c>
      <c r="U1974" s="6">
        <v>0</v>
      </c>
      <c r="V1974" s="6">
        <v>0</v>
      </c>
      <c r="W1974" s="6">
        <v>0</v>
      </c>
      <c r="X1974" s="6">
        <v>0</v>
      </c>
      <c r="Y1974" t="s">
        <v>171</v>
      </c>
      <c r="AD1974">
        <f>1/6</f>
        <v>0.16666666666666666</v>
      </c>
      <c r="AE1974">
        <v>1000</v>
      </c>
      <c r="AF1974">
        <v>1</v>
      </c>
      <c r="AG1974" s="9">
        <v>1.7000000000000001E-2</v>
      </c>
      <c r="AH1974" s="9">
        <v>1.07</v>
      </c>
      <c r="AI1974" s="9">
        <v>0.65</v>
      </c>
      <c r="AJ1974" s="9">
        <v>1.9E-2</v>
      </c>
      <c r="AK1974" s="9">
        <v>8.9999999999999993E-3</v>
      </c>
      <c r="AL1974" s="9">
        <v>17.3</v>
      </c>
      <c r="AM1974" s="9">
        <v>11.1</v>
      </c>
      <c r="AN1974" s="9">
        <v>2.16</v>
      </c>
      <c r="AO1974" s="9">
        <v>9.2999999999999999E-2</v>
      </c>
      <c r="AP1974"/>
    </row>
    <row r="1975" spans="1:42" x14ac:dyDescent="0.3">
      <c r="A1975" t="s">
        <v>549</v>
      </c>
      <c r="B1975" s="1" t="s">
        <v>1607</v>
      </c>
      <c r="C1975">
        <v>80</v>
      </c>
      <c r="D1975" s="8">
        <v>1.4403999999999999</v>
      </c>
      <c r="E1975">
        <v>100000</v>
      </c>
      <c r="F1975">
        <v>11</v>
      </c>
      <c r="H1975" t="s">
        <v>987</v>
      </c>
      <c r="I1975" s="4">
        <v>1.5</v>
      </c>
      <c r="K1975" s="4">
        <v>1</v>
      </c>
      <c r="L1975" t="s">
        <v>140</v>
      </c>
      <c r="M1975" t="s">
        <v>28</v>
      </c>
      <c r="N1975" s="3">
        <v>0.6</v>
      </c>
      <c r="O1975" s="3">
        <v>0</v>
      </c>
      <c r="P1975">
        <v>21</v>
      </c>
      <c r="Q1975">
        <v>6.5</v>
      </c>
      <c r="R1975" t="s">
        <v>102</v>
      </c>
      <c r="S1975">
        <v>0</v>
      </c>
      <c r="T1975" s="6">
        <f>10^-(14-Q1975)</f>
        <v>3.1622776601683699E-8</v>
      </c>
      <c r="U1975" s="6">
        <v>0</v>
      </c>
      <c r="V1975" s="6">
        <v>0</v>
      </c>
      <c r="W1975" s="6">
        <v>0</v>
      </c>
      <c r="X1975" s="6">
        <v>0</v>
      </c>
      <c r="Y1975" t="s">
        <v>171</v>
      </c>
      <c r="AD1975">
        <f>1/6</f>
        <v>0.16666666666666666</v>
      </c>
      <c r="AE1975">
        <v>1000</v>
      </c>
      <c r="AF1975">
        <v>1</v>
      </c>
      <c r="AG1975" s="9">
        <v>1.7000000000000001E-2</v>
      </c>
      <c r="AH1975" s="9">
        <v>1.07</v>
      </c>
      <c r="AI1975" s="9">
        <v>0.65</v>
      </c>
      <c r="AJ1975" s="9">
        <v>1.9E-2</v>
      </c>
      <c r="AK1975" s="9">
        <v>8.9999999999999993E-3</v>
      </c>
      <c r="AL1975" s="9">
        <v>17.3</v>
      </c>
      <c r="AM1975" s="9">
        <v>11.1</v>
      </c>
      <c r="AN1975" s="9">
        <v>2.16</v>
      </c>
      <c r="AO1975" s="9">
        <v>9.2999999999999999E-2</v>
      </c>
      <c r="AP1975"/>
    </row>
    <row r="1976" spans="1:42" x14ac:dyDescent="0.3">
      <c r="A1976" t="s">
        <v>550</v>
      </c>
      <c r="B1976" s="1" t="s">
        <v>1607</v>
      </c>
      <c r="C1976">
        <v>80</v>
      </c>
      <c r="D1976" s="8">
        <v>1.4403999999999999</v>
      </c>
      <c r="E1976">
        <v>100000</v>
      </c>
      <c r="F1976">
        <v>11</v>
      </c>
      <c r="H1976" t="s">
        <v>987</v>
      </c>
      <c r="I1976" s="4">
        <v>1.5</v>
      </c>
      <c r="K1976" s="4">
        <v>1</v>
      </c>
      <c r="L1976" t="s">
        <v>140</v>
      </c>
      <c r="M1976" t="s">
        <v>28</v>
      </c>
      <c r="N1976" s="3">
        <v>0.6</v>
      </c>
      <c r="O1976" s="3">
        <v>0</v>
      </c>
      <c r="P1976">
        <v>21</v>
      </c>
      <c r="Q1976">
        <v>6.5</v>
      </c>
      <c r="R1976" t="s">
        <v>102</v>
      </c>
      <c r="S1976">
        <v>0</v>
      </c>
      <c r="T1976" s="6">
        <f>10^-(14-Q1976)</f>
        <v>3.1622776601683699E-8</v>
      </c>
      <c r="U1976" s="6">
        <v>0</v>
      </c>
      <c r="V1976" s="6">
        <v>0</v>
      </c>
      <c r="W1976" s="6">
        <v>0</v>
      </c>
      <c r="X1976" s="6">
        <v>0</v>
      </c>
      <c r="Y1976" t="s">
        <v>171</v>
      </c>
      <c r="AD1976">
        <f>1/6</f>
        <v>0.16666666666666666</v>
      </c>
      <c r="AE1976">
        <v>900</v>
      </c>
      <c r="AF1976">
        <v>1</v>
      </c>
      <c r="AG1976" s="9">
        <v>1.7000000000000001E-2</v>
      </c>
      <c r="AH1976" s="9">
        <v>1.07</v>
      </c>
      <c r="AI1976" s="9">
        <v>0.65</v>
      </c>
      <c r="AJ1976" s="9">
        <v>1.9E-2</v>
      </c>
      <c r="AK1976" s="9">
        <v>8.9999999999999993E-3</v>
      </c>
      <c r="AL1976" s="9">
        <v>17.3</v>
      </c>
      <c r="AM1976" s="9">
        <v>11.1</v>
      </c>
      <c r="AN1976" s="9">
        <v>2.16</v>
      </c>
      <c r="AO1976" s="9">
        <v>9.2999999999999999E-2</v>
      </c>
      <c r="AP1976"/>
    </row>
    <row r="1977" spans="1:42" x14ac:dyDescent="0.3">
      <c r="A1977" t="s">
        <v>551</v>
      </c>
      <c r="B1977" s="1" t="s">
        <v>1607</v>
      </c>
      <c r="C1977">
        <v>80</v>
      </c>
      <c r="D1977" s="8">
        <v>1.4403999999999999</v>
      </c>
      <c r="E1977">
        <v>100000</v>
      </c>
      <c r="F1977">
        <v>11</v>
      </c>
      <c r="H1977" t="s">
        <v>987</v>
      </c>
      <c r="I1977" s="4">
        <v>1.5</v>
      </c>
      <c r="K1977" s="4">
        <v>1</v>
      </c>
      <c r="L1977" t="s">
        <v>140</v>
      </c>
      <c r="M1977" t="s">
        <v>28</v>
      </c>
      <c r="N1977" s="3">
        <v>0.6</v>
      </c>
      <c r="O1977" s="3">
        <v>0</v>
      </c>
      <c r="P1977">
        <v>21</v>
      </c>
      <c r="Q1977">
        <v>6.5</v>
      </c>
      <c r="R1977" t="s">
        <v>102</v>
      </c>
      <c r="S1977">
        <v>0</v>
      </c>
      <c r="T1977" s="6">
        <f>10^-(14-Q1977)</f>
        <v>3.1622776601683699E-8</v>
      </c>
      <c r="U1977" s="6">
        <v>0</v>
      </c>
      <c r="V1977" s="6">
        <v>0</v>
      </c>
      <c r="W1977" s="6">
        <v>0</v>
      </c>
      <c r="X1977" s="6">
        <v>0</v>
      </c>
      <c r="Y1977" t="s">
        <v>171</v>
      </c>
      <c r="AD1977">
        <f>1/6</f>
        <v>0.16666666666666666</v>
      </c>
      <c r="AE1977">
        <v>825</v>
      </c>
      <c r="AF1977">
        <v>1</v>
      </c>
      <c r="AG1977" s="9">
        <v>1.7000000000000001E-2</v>
      </c>
      <c r="AH1977" s="9">
        <v>1.07</v>
      </c>
      <c r="AI1977" s="9">
        <v>0.65</v>
      </c>
      <c r="AJ1977" s="9">
        <v>1.9E-2</v>
      </c>
      <c r="AK1977" s="9">
        <v>8.9999999999999993E-3</v>
      </c>
      <c r="AL1977" s="9">
        <v>17.3</v>
      </c>
      <c r="AM1977" s="9">
        <v>11.1</v>
      </c>
      <c r="AN1977" s="9">
        <v>2.16</v>
      </c>
      <c r="AO1977" s="9">
        <v>9.2999999999999999E-2</v>
      </c>
      <c r="AP1977"/>
    </row>
    <row r="1978" spans="1:42" x14ac:dyDescent="0.3">
      <c r="A1978" t="s">
        <v>552</v>
      </c>
      <c r="B1978" s="1" t="s">
        <v>1607</v>
      </c>
      <c r="C1978">
        <v>80</v>
      </c>
      <c r="D1978" s="8">
        <v>1.4403999999999999</v>
      </c>
      <c r="E1978">
        <v>100000</v>
      </c>
      <c r="F1978">
        <v>11</v>
      </c>
      <c r="H1978" t="s">
        <v>987</v>
      </c>
      <c r="I1978" s="4">
        <v>1.5</v>
      </c>
      <c r="K1978" s="4">
        <v>1</v>
      </c>
      <c r="L1978" t="s">
        <v>140</v>
      </c>
      <c r="M1978" t="s">
        <v>28</v>
      </c>
      <c r="N1978" s="3">
        <v>0.6</v>
      </c>
      <c r="O1978" s="3">
        <v>0</v>
      </c>
      <c r="P1978">
        <v>21</v>
      </c>
      <c r="Q1978">
        <v>6.5</v>
      </c>
      <c r="R1978" t="s">
        <v>102</v>
      </c>
      <c r="S1978">
        <v>0</v>
      </c>
      <c r="T1978" s="6">
        <f>10^-(14-Q1978)</f>
        <v>3.1622776601683699E-8</v>
      </c>
      <c r="U1978" s="6">
        <v>0</v>
      </c>
      <c r="V1978" s="6">
        <v>0</v>
      </c>
      <c r="W1978" s="6">
        <v>0</v>
      </c>
      <c r="X1978" s="6">
        <v>0</v>
      </c>
      <c r="Y1978" t="s">
        <v>171</v>
      </c>
      <c r="AD1978">
        <f>1/6</f>
        <v>0.16666666666666666</v>
      </c>
      <c r="AE1978">
        <v>825</v>
      </c>
      <c r="AF1978">
        <v>1</v>
      </c>
      <c r="AG1978" s="9">
        <v>1.7000000000000001E-2</v>
      </c>
      <c r="AH1978" s="9">
        <v>1.07</v>
      </c>
      <c r="AI1978" s="9">
        <v>0.65</v>
      </c>
      <c r="AJ1978" s="9">
        <v>1.9E-2</v>
      </c>
      <c r="AK1978" s="9">
        <v>8.9999999999999993E-3</v>
      </c>
      <c r="AL1978" s="9">
        <v>17.3</v>
      </c>
      <c r="AM1978" s="9">
        <v>11.1</v>
      </c>
      <c r="AN1978" s="9">
        <v>2.16</v>
      </c>
      <c r="AO1978" s="9">
        <v>9.2999999999999999E-2</v>
      </c>
      <c r="AP1978"/>
    </row>
    <row r="1979" spans="1:42" x14ac:dyDescent="0.3">
      <c r="A1979" t="s">
        <v>553</v>
      </c>
      <c r="B1979" s="1" t="s">
        <v>1607</v>
      </c>
      <c r="C1979">
        <v>80</v>
      </c>
      <c r="D1979" s="8">
        <v>1.4403999999999999</v>
      </c>
      <c r="E1979">
        <v>1200</v>
      </c>
      <c r="F1979">
        <v>0.5</v>
      </c>
      <c r="H1979" t="s">
        <v>987</v>
      </c>
      <c r="K1979" s="4">
        <v>1</v>
      </c>
      <c r="L1979" t="s">
        <v>140</v>
      </c>
      <c r="M1979" t="s">
        <v>28</v>
      </c>
      <c r="N1979" s="3">
        <v>0.6</v>
      </c>
      <c r="O1979" s="3">
        <v>0</v>
      </c>
      <c r="P1979">
        <v>21</v>
      </c>
      <c r="Q1979">
        <v>6.5</v>
      </c>
      <c r="R1979" t="s">
        <v>102</v>
      </c>
      <c r="S1979">
        <v>0</v>
      </c>
      <c r="T1979" s="6">
        <f>10^-(14-Q1979)</f>
        <v>3.1622776601683699E-8</v>
      </c>
      <c r="U1979" s="6">
        <v>0</v>
      </c>
      <c r="V1979" s="6">
        <v>0</v>
      </c>
      <c r="W1979" s="6">
        <v>0</v>
      </c>
      <c r="X1979" s="6">
        <v>0</v>
      </c>
      <c r="Y1979" t="s">
        <v>171</v>
      </c>
      <c r="Z1979" s="5">
        <v>-200</v>
      </c>
      <c r="AD1979">
        <f>1/6</f>
        <v>0.16666666666666666</v>
      </c>
      <c r="AE1979">
        <v>1200</v>
      </c>
      <c r="AF1979">
        <v>2</v>
      </c>
      <c r="AG1979" s="9">
        <v>1.7000000000000001E-2</v>
      </c>
      <c r="AH1979" s="9">
        <v>1.07</v>
      </c>
      <c r="AI1979" s="9">
        <v>0.65</v>
      </c>
      <c r="AJ1979" s="9">
        <v>1.9E-2</v>
      </c>
      <c r="AK1979" s="9">
        <v>8.9999999999999993E-3</v>
      </c>
      <c r="AL1979" s="9">
        <v>17.3</v>
      </c>
      <c r="AM1979" s="9">
        <v>11.1</v>
      </c>
      <c r="AN1979" s="9">
        <v>2.16</v>
      </c>
      <c r="AO1979" s="9">
        <v>9.2999999999999999E-2</v>
      </c>
      <c r="AP1979"/>
    </row>
    <row r="1980" spans="1:42" x14ac:dyDescent="0.3">
      <c r="A1980" t="s">
        <v>554</v>
      </c>
      <c r="B1980" s="1" t="s">
        <v>1607</v>
      </c>
      <c r="C1980">
        <v>80</v>
      </c>
      <c r="D1980" s="8">
        <v>1.4403999999999999</v>
      </c>
      <c r="E1980">
        <v>1200</v>
      </c>
      <c r="F1980">
        <v>0.5</v>
      </c>
      <c r="H1980" t="s">
        <v>987</v>
      </c>
      <c r="K1980" s="4">
        <v>1</v>
      </c>
      <c r="L1980" t="s">
        <v>140</v>
      </c>
      <c r="M1980" t="s">
        <v>28</v>
      </c>
      <c r="N1980" s="3">
        <v>0.6</v>
      </c>
      <c r="O1980" s="3">
        <v>0</v>
      </c>
      <c r="P1980">
        <v>21</v>
      </c>
      <c r="Q1980">
        <v>6.5</v>
      </c>
      <c r="R1980" t="s">
        <v>102</v>
      </c>
      <c r="S1980">
        <v>0</v>
      </c>
      <c r="T1980" s="6">
        <f>10^-(14-Q1980)</f>
        <v>3.1622776601683699E-8</v>
      </c>
      <c r="U1980" s="6">
        <v>0</v>
      </c>
      <c r="V1980" s="6">
        <v>0</v>
      </c>
      <c r="W1980" s="6">
        <v>0</v>
      </c>
      <c r="X1980" s="6">
        <v>0</v>
      </c>
      <c r="Y1980" t="s">
        <v>171</v>
      </c>
      <c r="Z1980" s="5">
        <v>-300</v>
      </c>
      <c r="AD1980">
        <f>1/6</f>
        <v>0.16666666666666666</v>
      </c>
      <c r="AE1980">
        <v>1200</v>
      </c>
      <c r="AF1980">
        <v>2</v>
      </c>
      <c r="AG1980" s="9">
        <v>1.7000000000000001E-2</v>
      </c>
      <c r="AH1980" s="9">
        <v>1.07</v>
      </c>
      <c r="AI1980" s="9">
        <v>0.65</v>
      </c>
      <c r="AJ1980" s="9">
        <v>1.9E-2</v>
      </c>
      <c r="AK1980" s="9">
        <v>8.9999999999999993E-3</v>
      </c>
      <c r="AL1980" s="9">
        <v>17.3</v>
      </c>
      <c r="AM1980" s="9">
        <v>11.1</v>
      </c>
      <c r="AN1980" s="9">
        <v>2.16</v>
      </c>
      <c r="AO1980" s="9">
        <v>9.2999999999999999E-2</v>
      </c>
      <c r="AP1980"/>
    </row>
    <row r="1981" spans="1:42" x14ac:dyDescent="0.3">
      <c r="A1981" t="s">
        <v>555</v>
      </c>
      <c r="B1981" s="1" t="s">
        <v>1607</v>
      </c>
      <c r="C1981">
        <v>80</v>
      </c>
      <c r="D1981" s="8">
        <v>1.4403999999999999</v>
      </c>
      <c r="E1981">
        <v>1200</v>
      </c>
      <c r="F1981">
        <v>0.5</v>
      </c>
      <c r="H1981" t="s">
        <v>987</v>
      </c>
      <c r="K1981" s="4">
        <v>1</v>
      </c>
      <c r="L1981" t="s">
        <v>140</v>
      </c>
      <c r="M1981" t="s">
        <v>28</v>
      </c>
      <c r="N1981" s="3">
        <v>0.6</v>
      </c>
      <c r="O1981" s="3">
        <v>0</v>
      </c>
      <c r="P1981">
        <v>21</v>
      </c>
      <c r="Q1981">
        <v>6.5</v>
      </c>
      <c r="R1981" t="s">
        <v>102</v>
      </c>
      <c r="S1981">
        <v>0</v>
      </c>
      <c r="T1981" s="6">
        <f>10^-(14-Q1981)</f>
        <v>3.1622776601683699E-8</v>
      </c>
      <c r="U1981" s="6">
        <v>0</v>
      </c>
      <c r="V1981" s="6">
        <v>0</v>
      </c>
      <c r="W1981" s="6">
        <v>0</v>
      </c>
      <c r="X1981" s="6">
        <v>0</v>
      </c>
      <c r="Y1981" t="s">
        <v>171</v>
      </c>
      <c r="Z1981" s="5">
        <v>-250</v>
      </c>
      <c r="AD1981">
        <f>1/6</f>
        <v>0.16666666666666666</v>
      </c>
      <c r="AE1981">
        <v>1000</v>
      </c>
      <c r="AF1981">
        <v>1</v>
      </c>
      <c r="AG1981" s="9">
        <v>1.7000000000000001E-2</v>
      </c>
      <c r="AH1981" s="9">
        <v>1.07</v>
      </c>
      <c r="AI1981" s="9">
        <v>0.65</v>
      </c>
      <c r="AJ1981" s="9">
        <v>1.9E-2</v>
      </c>
      <c r="AK1981" s="9">
        <v>8.9999999999999993E-3</v>
      </c>
      <c r="AL1981" s="9">
        <v>17.3</v>
      </c>
      <c r="AM1981" s="9">
        <v>11.1</v>
      </c>
      <c r="AN1981" s="9">
        <v>2.16</v>
      </c>
      <c r="AO1981" s="9">
        <v>9.2999999999999999E-2</v>
      </c>
      <c r="AP1981"/>
    </row>
    <row r="1982" spans="1:42" x14ac:dyDescent="0.3">
      <c r="A1982" t="s">
        <v>556</v>
      </c>
      <c r="B1982" s="1" t="s">
        <v>1607</v>
      </c>
      <c r="C1982">
        <v>80</v>
      </c>
      <c r="D1982" s="8">
        <v>1.4403999999999999</v>
      </c>
      <c r="E1982">
        <v>1200</v>
      </c>
      <c r="F1982">
        <v>0.5</v>
      </c>
      <c r="H1982" t="s">
        <v>987</v>
      </c>
      <c r="K1982" s="4">
        <v>1</v>
      </c>
      <c r="L1982" t="s">
        <v>140</v>
      </c>
      <c r="M1982" t="s">
        <v>28</v>
      </c>
      <c r="N1982" s="3">
        <v>0.6</v>
      </c>
      <c r="O1982" s="3">
        <v>0</v>
      </c>
      <c r="P1982">
        <v>21</v>
      </c>
      <c r="Q1982">
        <v>6.5</v>
      </c>
      <c r="R1982" t="s">
        <v>102</v>
      </c>
      <c r="S1982">
        <v>0</v>
      </c>
      <c r="T1982" s="6">
        <f>10^-(14-Q1982)</f>
        <v>3.1622776601683699E-8</v>
      </c>
      <c r="U1982" s="6">
        <v>0</v>
      </c>
      <c r="V1982" s="6">
        <v>0</v>
      </c>
      <c r="W1982" s="6">
        <v>0</v>
      </c>
      <c r="X1982" s="6">
        <v>0</v>
      </c>
      <c r="Y1982" t="s">
        <v>171</v>
      </c>
      <c r="Z1982" s="5">
        <v>-300</v>
      </c>
      <c r="AD1982">
        <f>1/6</f>
        <v>0.16666666666666666</v>
      </c>
      <c r="AE1982">
        <v>650</v>
      </c>
      <c r="AF1982">
        <v>1</v>
      </c>
      <c r="AG1982" s="9">
        <v>1.7000000000000001E-2</v>
      </c>
      <c r="AH1982" s="9">
        <v>1.07</v>
      </c>
      <c r="AI1982" s="9">
        <v>0.65</v>
      </c>
      <c r="AJ1982" s="9">
        <v>1.9E-2</v>
      </c>
      <c r="AK1982" s="9">
        <v>8.9999999999999993E-3</v>
      </c>
      <c r="AL1982" s="9">
        <v>17.3</v>
      </c>
      <c r="AM1982" s="9">
        <v>11.1</v>
      </c>
      <c r="AN1982" s="9">
        <v>2.16</v>
      </c>
      <c r="AO1982" s="9">
        <v>9.2999999999999999E-2</v>
      </c>
      <c r="AP1982"/>
    </row>
    <row r="1983" spans="1:42" x14ac:dyDescent="0.3">
      <c r="A1983" t="s">
        <v>557</v>
      </c>
      <c r="B1983" s="1" t="s">
        <v>1607</v>
      </c>
      <c r="C1983">
        <v>80</v>
      </c>
      <c r="D1983" s="8">
        <v>1.4403999999999999</v>
      </c>
      <c r="E1983">
        <v>1200</v>
      </c>
      <c r="F1983">
        <v>0.5</v>
      </c>
      <c r="H1983" t="s">
        <v>987</v>
      </c>
      <c r="K1983" s="4">
        <v>1</v>
      </c>
      <c r="L1983" t="s">
        <v>140</v>
      </c>
      <c r="M1983" t="s">
        <v>28</v>
      </c>
      <c r="N1983" s="3">
        <v>0.6</v>
      </c>
      <c r="O1983" s="3">
        <v>0</v>
      </c>
      <c r="P1983">
        <v>21</v>
      </c>
      <c r="Q1983">
        <v>6.5</v>
      </c>
      <c r="R1983" t="s">
        <v>102</v>
      </c>
      <c r="S1983">
        <v>0</v>
      </c>
      <c r="T1983" s="6">
        <f>10^-(14-Q1983)</f>
        <v>3.1622776601683699E-8</v>
      </c>
      <c r="U1983" s="6">
        <v>0</v>
      </c>
      <c r="V1983" s="6">
        <v>0</v>
      </c>
      <c r="W1983" s="6">
        <v>0</v>
      </c>
      <c r="X1983" s="6">
        <v>0</v>
      </c>
      <c r="Y1983" t="s">
        <v>171</v>
      </c>
      <c r="Z1983" s="5">
        <v>-300</v>
      </c>
      <c r="AD1983">
        <f>1/6</f>
        <v>0.16666666666666666</v>
      </c>
      <c r="AE1983">
        <v>300</v>
      </c>
      <c r="AF1983">
        <v>1</v>
      </c>
      <c r="AG1983" s="9">
        <v>1.7000000000000001E-2</v>
      </c>
      <c r="AH1983" s="9">
        <v>1.07</v>
      </c>
      <c r="AI1983" s="9">
        <v>0.65</v>
      </c>
      <c r="AJ1983" s="9">
        <v>1.9E-2</v>
      </c>
      <c r="AK1983" s="9">
        <v>8.9999999999999993E-3</v>
      </c>
      <c r="AL1983" s="9">
        <v>17.3</v>
      </c>
      <c r="AM1983" s="9">
        <v>11.1</v>
      </c>
      <c r="AN1983" s="9">
        <v>2.16</v>
      </c>
      <c r="AO1983" s="9">
        <v>9.2999999999999999E-2</v>
      </c>
      <c r="AP1983"/>
    </row>
    <row r="1984" spans="1:42" x14ac:dyDescent="0.3">
      <c r="A1984" t="s">
        <v>558</v>
      </c>
      <c r="B1984" s="1" t="s">
        <v>1608</v>
      </c>
      <c r="C1984">
        <v>81</v>
      </c>
      <c r="D1984" s="8" t="s">
        <v>1629</v>
      </c>
      <c r="E1984">
        <v>14000</v>
      </c>
      <c r="H1984" t="s">
        <v>987</v>
      </c>
      <c r="K1984" s="4">
        <v>0.16666666666666666</v>
      </c>
      <c r="L1984" t="s">
        <v>140</v>
      </c>
      <c r="M1984" t="s">
        <v>28</v>
      </c>
      <c r="N1984" s="3">
        <v>0.1</v>
      </c>
      <c r="O1984" s="3">
        <v>0</v>
      </c>
      <c r="P1984">
        <v>21</v>
      </c>
      <c r="Q1984">
        <v>6.5</v>
      </c>
      <c r="R1984" t="s">
        <v>102</v>
      </c>
      <c r="S1984">
        <v>0</v>
      </c>
      <c r="T1984" s="6">
        <f>10^-(14-Q1984)</f>
        <v>3.1622776601683699E-8</v>
      </c>
      <c r="U1984" s="6">
        <v>0</v>
      </c>
      <c r="V1984" s="6">
        <v>0</v>
      </c>
      <c r="W1984" s="6">
        <v>0</v>
      </c>
      <c r="X1984" s="6">
        <v>0</v>
      </c>
      <c r="Y1984" t="s">
        <v>171</v>
      </c>
      <c r="Z1984" s="5">
        <v>-200</v>
      </c>
      <c r="AD1984">
        <v>1</v>
      </c>
      <c r="AE1984">
        <v>375</v>
      </c>
      <c r="AF1984">
        <v>1</v>
      </c>
      <c r="AP1984"/>
    </row>
    <row r="1985" spans="1:42" x14ac:dyDescent="0.3">
      <c r="A1985" t="s">
        <v>559</v>
      </c>
      <c r="B1985" s="1" t="s">
        <v>1608</v>
      </c>
      <c r="C1985">
        <v>81</v>
      </c>
      <c r="D1985" s="8" t="s">
        <v>1629</v>
      </c>
      <c r="E1985">
        <v>14000</v>
      </c>
      <c r="H1985" t="s">
        <v>987</v>
      </c>
      <c r="K1985" s="4">
        <v>0.16666666666666666</v>
      </c>
      <c r="L1985" t="s">
        <v>140</v>
      </c>
      <c r="M1985" t="s">
        <v>28</v>
      </c>
      <c r="N1985" s="3">
        <v>0.1</v>
      </c>
      <c r="O1985" s="3">
        <v>0</v>
      </c>
      <c r="P1985">
        <v>21</v>
      </c>
      <c r="Q1985">
        <v>6.5</v>
      </c>
      <c r="R1985" t="s">
        <v>102</v>
      </c>
      <c r="S1985">
        <v>0</v>
      </c>
      <c r="T1985" s="6">
        <f>10^-(14-Q1985)</f>
        <v>3.1622776601683699E-8</v>
      </c>
      <c r="U1985" s="6">
        <v>0</v>
      </c>
      <c r="V1985" s="6">
        <v>0</v>
      </c>
      <c r="W1985" s="6">
        <v>0</v>
      </c>
      <c r="X1985" s="6">
        <v>0</v>
      </c>
      <c r="Y1985" t="s">
        <v>171</v>
      </c>
      <c r="Z1985" s="5">
        <v>-200</v>
      </c>
      <c r="AD1985">
        <v>1</v>
      </c>
      <c r="AE1985">
        <v>300</v>
      </c>
      <c r="AF1985">
        <v>1</v>
      </c>
      <c r="AP1985"/>
    </row>
    <row r="1986" spans="1:42" x14ac:dyDescent="0.3">
      <c r="A1986" t="s">
        <v>560</v>
      </c>
      <c r="B1986" s="1" t="s">
        <v>1608</v>
      </c>
      <c r="C1986">
        <v>81</v>
      </c>
      <c r="D1986" s="8" t="s">
        <v>1629</v>
      </c>
      <c r="E1986">
        <v>14000</v>
      </c>
      <c r="H1986" t="s">
        <v>987</v>
      </c>
      <c r="K1986" s="4">
        <v>0.16666666666666666</v>
      </c>
      <c r="L1986" t="s">
        <v>140</v>
      </c>
      <c r="M1986" t="s">
        <v>28</v>
      </c>
      <c r="N1986" s="3">
        <v>0.1</v>
      </c>
      <c r="O1986" s="3">
        <v>0</v>
      </c>
      <c r="P1986">
        <v>21</v>
      </c>
      <c r="Q1986">
        <v>6.5</v>
      </c>
      <c r="R1986" t="s">
        <v>102</v>
      </c>
      <c r="S1986">
        <v>0</v>
      </c>
      <c r="T1986" s="6">
        <f>10^-(14-Q1986)</f>
        <v>3.1622776601683699E-8</v>
      </c>
      <c r="U1986" s="6">
        <v>0</v>
      </c>
      <c r="V1986" s="6">
        <v>0</v>
      </c>
      <c r="W1986" s="6">
        <v>0</v>
      </c>
      <c r="X1986" s="6">
        <v>0</v>
      </c>
      <c r="Y1986" t="s">
        <v>171</v>
      </c>
      <c r="Z1986" s="5">
        <v>-200</v>
      </c>
      <c r="AD1986">
        <v>1</v>
      </c>
      <c r="AE1986">
        <v>225</v>
      </c>
      <c r="AF1986">
        <v>1</v>
      </c>
      <c r="AP1986"/>
    </row>
    <row r="1987" spans="1:42" x14ac:dyDescent="0.3">
      <c r="A1987" t="s">
        <v>300</v>
      </c>
      <c r="B1987" s="1" t="s">
        <v>1600</v>
      </c>
      <c r="C1987">
        <v>82</v>
      </c>
      <c r="D1987" s="8">
        <v>1.4403999999999999</v>
      </c>
      <c r="E1987">
        <v>14000</v>
      </c>
      <c r="H1987" t="s">
        <v>987</v>
      </c>
      <c r="N1987" s="3">
        <v>0.98730606488011274</v>
      </c>
      <c r="O1987" s="3">
        <v>0</v>
      </c>
      <c r="P1987">
        <v>25</v>
      </c>
      <c r="Q1987">
        <v>6.5</v>
      </c>
      <c r="R1987" t="s">
        <v>102</v>
      </c>
      <c r="S1987">
        <v>0</v>
      </c>
      <c r="T1987" s="6">
        <f>10^-(14-Q1987)</f>
        <v>3.1622776601683699E-8</v>
      </c>
      <c r="U1987" s="6">
        <v>0</v>
      </c>
      <c r="V1987" s="6">
        <v>0</v>
      </c>
      <c r="W1987" s="6">
        <v>0</v>
      </c>
      <c r="X1987" s="6">
        <v>0</v>
      </c>
      <c r="Y1987" t="s">
        <v>171</v>
      </c>
      <c r="AD1987">
        <v>1</v>
      </c>
      <c r="AE1987">
        <v>500</v>
      </c>
      <c r="AF1987">
        <v>1</v>
      </c>
      <c r="AG1987" s="9">
        <v>1.6E-2</v>
      </c>
      <c r="AH1987" s="9">
        <v>1.66</v>
      </c>
      <c r="AI1987" s="9">
        <v>0.51</v>
      </c>
      <c r="AJ1987" s="9">
        <v>0.02</v>
      </c>
      <c r="AK1987" s="9">
        <v>5.0000000000000001E-4</v>
      </c>
      <c r="AL1987" s="9">
        <v>16.45</v>
      </c>
      <c r="AM1987" s="9">
        <v>10.130000000000001</v>
      </c>
      <c r="AN1987" s="9">
        <v>2.06</v>
      </c>
      <c r="AO1987" s="9">
        <v>7.0000000000000007E-2</v>
      </c>
      <c r="AP1987"/>
    </row>
    <row r="1988" spans="1:42" x14ac:dyDescent="0.3">
      <c r="A1988" t="s">
        <v>297</v>
      </c>
      <c r="B1988" s="1" t="s">
        <v>1600</v>
      </c>
      <c r="C1988">
        <v>82</v>
      </c>
      <c r="D1988" s="8">
        <v>1.4403999999999999</v>
      </c>
      <c r="E1988">
        <v>14000</v>
      </c>
      <c r="H1988" t="s">
        <v>987</v>
      </c>
      <c r="N1988" s="3">
        <v>0.98730606488011274</v>
      </c>
      <c r="O1988" s="3">
        <v>0</v>
      </c>
      <c r="P1988">
        <v>25</v>
      </c>
      <c r="Q1988">
        <v>6.5</v>
      </c>
      <c r="R1988" t="s">
        <v>102</v>
      </c>
      <c r="S1988">
        <v>0</v>
      </c>
      <c r="T1988" s="6">
        <f>10^-(14-Q1988)</f>
        <v>3.1622776601683699E-8</v>
      </c>
      <c r="U1988" s="6">
        <v>0</v>
      </c>
      <c r="V1988" s="6">
        <v>0</v>
      </c>
      <c r="W1988" s="6">
        <v>0</v>
      </c>
      <c r="X1988" s="6">
        <v>0</v>
      </c>
      <c r="Y1988" t="s">
        <v>171</v>
      </c>
      <c r="AD1988">
        <v>1</v>
      </c>
      <c r="AE1988">
        <v>480</v>
      </c>
      <c r="AF1988">
        <v>1</v>
      </c>
      <c r="AG1988" s="9">
        <v>1.7000000000000001E-2</v>
      </c>
      <c r="AH1988" s="9">
        <v>1.43</v>
      </c>
      <c r="AI1988" s="9">
        <v>0.4</v>
      </c>
      <c r="AK1988" s="9">
        <v>8.0000000000000004E-4</v>
      </c>
      <c r="AL1988" s="9">
        <v>17.2</v>
      </c>
      <c r="AM1988" s="9">
        <v>12.6</v>
      </c>
      <c r="AN1988" s="9">
        <v>2.5</v>
      </c>
      <c r="AO1988" s="9">
        <v>0.03</v>
      </c>
      <c r="AP1988"/>
    </row>
    <row r="1989" spans="1:42" x14ac:dyDescent="0.3">
      <c r="A1989" t="s">
        <v>298</v>
      </c>
      <c r="B1989" s="1" t="s">
        <v>1600</v>
      </c>
      <c r="C1989">
        <v>82</v>
      </c>
      <c r="D1989" s="8">
        <v>1.4403999999999999</v>
      </c>
      <c r="E1989">
        <v>14000</v>
      </c>
      <c r="H1989" t="s">
        <v>987</v>
      </c>
      <c r="N1989" s="3">
        <v>0.98730606488011274</v>
      </c>
      <c r="O1989" s="3">
        <v>0</v>
      </c>
      <c r="P1989">
        <v>25</v>
      </c>
      <c r="Q1989">
        <v>6.5</v>
      </c>
      <c r="R1989" t="s">
        <v>102</v>
      </c>
      <c r="S1989">
        <v>0</v>
      </c>
      <c r="T1989" s="6">
        <f>10^-(14-Q1989)</f>
        <v>3.1622776601683699E-8</v>
      </c>
      <c r="U1989" s="6">
        <v>0</v>
      </c>
      <c r="V1989" s="6">
        <v>0</v>
      </c>
      <c r="W1989" s="6">
        <v>0</v>
      </c>
      <c r="X1989" s="6">
        <v>0</v>
      </c>
      <c r="Y1989" t="s">
        <v>171</v>
      </c>
      <c r="AD1989">
        <v>1</v>
      </c>
      <c r="AE1989">
        <v>500</v>
      </c>
      <c r="AF1989">
        <v>1</v>
      </c>
      <c r="AG1989" s="9">
        <v>1.7000000000000001E-2</v>
      </c>
      <c r="AH1989" s="9">
        <v>1.43</v>
      </c>
      <c r="AI1989" s="9">
        <v>0.4</v>
      </c>
      <c r="AK1989" s="9">
        <v>8.0000000000000004E-4</v>
      </c>
      <c r="AL1989" s="9">
        <v>17.2</v>
      </c>
      <c r="AM1989" s="9">
        <v>12.6</v>
      </c>
      <c r="AN1989" s="9">
        <v>2.5</v>
      </c>
      <c r="AO1989" s="9">
        <v>0.03</v>
      </c>
      <c r="AP1989"/>
    </row>
    <row r="1990" spans="1:42" x14ac:dyDescent="0.3">
      <c r="A1990" t="s">
        <v>299</v>
      </c>
      <c r="B1990" s="1" t="s">
        <v>1600</v>
      </c>
      <c r="C1990">
        <v>82</v>
      </c>
      <c r="D1990" s="8">
        <v>1.4403999999999999</v>
      </c>
      <c r="E1990">
        <v>14000</v>
      </c>
      <c r="H1990" t="s">
        <v>987</v>
      </c>
      <c r="N1990" s="3">
        <v>0.98730606488011274</v>
      </c>
      <c r="O1990" s="3">
        <v>0</v>
      </c>
      <c r="P1990">
        <v>25</v>
      </c>
      <c r="Q1990">
        <v>6.5</v>
      </c>
      <c r="R1990" t="s">
        <v>102</v>
      </c>
      <c r="S1990">
        <v>0</v>
      </c>
      <c r="T1990" s="6">
        <f>10^-(14-Q1990)</f>
        <v>3.1622776601683699E-8</v>
      </c>
      <c r="U1990" s="6">
        <v>0</v>
      </c>
      <c r="V1990" s="6">
        <v>0</v>
      </c>
      <c r="W1990" s="6">
        <v>0</v>
      </c>
      <c r="X1990" s="6">
        <v>0</v>
      </c>
      <c r="Y1990" t="s">
        <v>171</v>
      </c>
      <c r="AD1990">
        <v>1</v>
      </c>
      <c r="AE1990">
        <v>400</v>
      </c>
      <c r="AF1990">
        <v>1</v>
      </c>
      <c r="AG1990" s="9">
        <v>1.4999999999999999E-2</v>
      </c>
      <c r="AH1990" s="9">
        <v>0.49</v>
      </c>
      <c r="AI1990" s="9">
        <v>0.45</v>
      </c>
      <c r="AJ1990" s="9">
        <v>1.9E-2</v>
      </c>
      <c r="AK1990" s="9">
        <v>4.5999999999999999E-3</v>
      </c>
      <c r="AL1990" s="9">
        <v>17.89</v>
      </c>
      <c r="AM1990" s="9">
        <v>12.56</v>
      </c>
      <c r="AN1990" s="9">
        <v>2.5499999999999998</v>
      </c>
      <c r="AO1990" s="9">
        <v>8.3000000000000004E-2</v>
      </c>
      <c r="AP1990"/>
    </row>
    <row r="1991" spans="1:42" x14ac:dyDescent="0.3">
      <c r="A1991" t="s">
        <v>301</v>
      </c>
      <c r="B1991" s="1" t="s">
        <v>1600</v>
      </c>
      <c r="C1991">
        <v>82</v>
      </c>
      <c r="D1991" s="8">
        <v>1.4403999999999999</v>
      </c>
      <c r="E1991">
        <v>14000</v>
      </c>
      <c r="H1991" t="s">
        <v>987</v>
      </c>
      <c r="N1991" s="3">
        <v>0.98730606488011274</v>
      </c>
      <c r="O1991" s="3">
        <v>0</v>
      </c>
      <c r="P1991">
        <v>25</v>
      </c>
      <c r="Q1991">
        <v>6.5</v>
      </c>
      <c r="R1991" t="s">
        <v>102</v>
      </c>
      <c r="S1991">
        <v>0</v>
      </c>
      <c r="T1991" s="6">
        <f>10^-(14-Q1991)</f>
        <v>3.1622776601683699E-8</v>
      </c>
      <c r="U1991" s="6">
        <v>0</v>
      </c>
      <c r="V1991" s="6">
        <v>0</v>
      </c>
      <c r="W1991" s="6">
        <v>0</v>
      </c>
      <c r="X1991" s="6">
        <v>0</v>
      </c>
      <c r="Y1991" t="s">
        <v>171</v>
      </c>
      <c r="AD1991">
        <v>1</v>
      </c>
      <c r="AE1991">
        <v>1000</v>
      </c>
      <c r="AF1991">
        <v>2</v>
      </c>
      <c r="AG1991" s="9">
        <v>1.4999999999999999E-2</v>
      </c>
      <c r="AH1991" s="9">
        <v>0.49</v>
      </c>
      <c r="AI1991" s="9">
        <v>0.45</v>
      </c>
      <c r="AJ1991" s="9">
        <v>1.9E-2</v>
      </c>
      <c r="AK1991" s="9">
        <v>4.5999999999999999E-3</v>
      </c>
      <c r="AL1991" s="9">
        <v>17.89</v>
      </c>
      <c r="AM1991" s="9">
        <v>12.56</v>
      </c>
      <c r="AN1991" s="9">
        <v>2.5499999999999998</v>
      </c>
      <c r="AO1991" s="9">
        <v>8.3000000000000004E-2</v>
      </c>
      <c r="AP1991"/>
    </row>
    <row r="1992" spans="1:42" x14ac:dyDescent="0.3">
      <c r="A1992" t="s">
        <v>296</v>
      </c>
      <c r="B1992" s="1" t="s">
        <v>1600</v>
      </c>
      <c r="C1992">
        <v>82</v>
      </c>
      <c r="D1992" s="8">
        <v>1.4300999999999999</v>
      </c>
      <c r="E1992">
        <v>14000</v>
      </c>
      <c r="H1992" t="s">
        <v>987</v>
      </c>
      <c r="N1992" s="3">
        <v>0.98730606488011274</v>
      </c>
      <c r="O1992" s="3">
        <v>0</v>
      </c>
      <c r="P1992">
        <v>25</v>
      </c>
      <c r="Q1992">
        <v>6.5</v>
      </c>
      <c r="R1992" t="s">
        <v>102</v>
      </c>
      <c r="S1992">
        <v>0</v>
      </c>
      <c r="T1992" s="6">
        <f>10^-(14-Q1992)</f>
        <v>3.1622776601683699E-8</v>
      </c>
      <c r="U1992" s="6">
        <v>0</v>
      </c>
      <c r="V1992" s="6">
        <v>0</v>
      </c>
      <c r="W1992" s="6">
        <v>0</v>
      </c>
      <c r="X1992" s="6">
        <v>0</v>
      </c>
      <c r="Y1992" t="s">
        <v>171</v>
      </c>
      <c r="AD1992">
        <v>1</v>
      </c>
      <c r="AE1992">
        <v>350</v>
      </c>
      <c r="AF1992">
        <v>1</v>
      </c>
      <c r="AG1992" s="9">
        <v>1.7999999999999999E-2</v>
      </c>
      <c r="AH1992" s="9">
        <v>1.1299999999999999</v>
      </c>
      <c r="AI1992" s="9">
        <v>0.4</v>
      </c>
      <c r="AK1992" s="9">
        <v>4.4000000000000003E-3</v>
      </c>
      <c r="AL1992" s="9">
        <v>18.170000000000002</v>
      </c>
      <c r="AM1992" s="9">
        <v>10.130000000000001</v>
      </c>
      <c r="AN1992" s="9">
        <v>0.2</v>
      </c>
      <c r="AO1992" s="9">
        <v>7.2999999999999995E-2</v>
      </c>
      <c r="AP1992"/>
    </row>
    <row r="1993" spans="1:42" x14ac:dyDescent="0.3">
      <c r="A1993" t="s">
        <v>302</v>
      </c>
      <c r="B1993" s="1" t="s">
        <v>1600</v>
      </c>
      <c r="C1993">
        <v>82</v>
      </c>
      <c r="D1993" s="8">
        <v>1.4539</v>
      </c>
      <c r="E1993">
        <v>14000</v>
      </c>
      <c r="H1993" t="s">
        <v>987</v>
      </c>
      <c r="N1993" s="3">
        <v>0.98730606488011274</v>
      </c>
      <c r="O1993" s="3">
        <v>0</v>
      </c>
      <c r="P1993">
        <v>25</v>
      </c>
      <c r="Q1993">
        <v>6.5</v>
      </c>
      <c r="R1993" t="s">
        <v>102</v>
      </c>
      <c r="S1993">
        <v>0</v>
      </c>
      <c r="T1993" s="6">
        <f>10^-(14-Q1993)</f>
        <v>3.1622776601683699E-8</v>
      </c>
      <c r="U1993" s="6">
        <v>0</v>
      </c>
      <c r="V1993" s="6">
        <v>0</v>
      </c>
      <c r="W1993" s="6">
        <v>0</v>
      </c>
      <c r="X1993" s="6">
        <v>0</v>
      </c>
      <c r="Y1993" t="s">
        <v>171</v>
      </c>
      <c r="AD1993">
        <v>1</v>
      </c>
      <c r="AE1993">
        <v>1000</v>
      </c>
      <c r="AF1993">
        <v>2</v>
      </c>
      <c r="AG1993" s="9">
        <v>2.1000000000000001E-2</v>
      </c>
      <c r="AH1993" s="9">
        <v>1.41</v>
      </c>
      <c r="AI1993" s="9">
        <v>0.2</v>
      </c>
      <c r="AK1993" s="9">
        <v>2.0000000000000001E-4</v>
      </c>
      <c r="AL1993" s="9">
        <v>19.55</v>
      </c>
      <c r="AM1993" s="9">
        <v>24.2</v>
      </c>
      <c r="AN1993" s="9">
        <v>4</v>
      </c>
      <c r="AO1993" s="9">
        <v>7.3999999999999996E-2</v>
      </c>
      <c r="AP1993"/>
    </row>
    <row r="1994" spans="1:42" x14ac:dyDescent="0.3">
      <c r="A1994" t="s">
        <v>150</v>
      </c>
      <c r="B1994" t="s">
        <v>1580</v>
      </c>
      <c r="C1994">
        <v>84</v>
      </c>
      <c r="D1994" s="8">
        <v>1.4003000000000001</v>
      </c>
      <c r="E1994">
        <v>1200</v>
      </c>
      <c r="G1994" t="s">
        <v>32</v>
      </c>
      <c r="H1994">
        <v>1.5</v>
      </c>
      <c r="I1994" s="4">
        <v>0.62</v>
      </c>
      <c r="J1994" s="3">
        <f>1/3</f>
        <v>0.33333333333333331</v>
      </c>
      <c r="L1994" t="s">
        <v>140</v>
      </c>
      <c r="M1994" t="s">
        <v>28</v>
      </c>
      <c r="N1994" s="3">
        <v>1</v>
      </c>
      <c r="O1994" s="3">
        <v>0</v>
      </c>
      <c r="P1994">
        <v>22.5</v>
      </c>
      <c r="Q1994">
        <v>6.5</v>
      </c>
      <c r="R1994" t="s">
        <v>102</v>
      </c>
      <c r="S1994">
        <v>0</v>
      </c>
      <c r="T1994" s="6">
        <f>10^-(14-Q1994)</f>
        <v>3.1622776601683699E-8</v>
      </c>
      <c r="U1994" s="6">
        <v>0</v>
      </c>
      <c r="V1994" s="6">
        <v>0</v>
      </c>
      <c r="W1994" s="6">
        <v>0</v>
      </c>
      <c r="X1994" s="6">
        <v>0</v>
      </c>
      <c r="Y1994" t="s">
        <v>28</v>
      </c>
      <c r="Z1994" s="5">
        <v>-108</v>
      </c>
      <c r="AA1994" s="3">
        <v>3.5760000000000003E-5</v>
      </c>
      <c r="AB1994" s="2">
        <v>0.1913</v>
      </c>
      <c r="AC1994" s="2">
        <v>9.2499999999999999E-2</v>
      </c>
      <c r="AD1994">
        <v>0.3</v>
      </c>
      <c r="AE1994">
        <v>113</v>
      </c>
      <c r="AF1994">
        <v>1</v>
      </c>
      <c r="AG1994" s="9">
        <v>2.1000000000000001E-2</v>
      </c>
      <c r="AH1994" s="9">
        <v>0.55000000000000004</v>
      </c>
      <c r="AI1994" s="9">
        <v>0.68</v>
      </c>
      <c r="AJ1994" s="9">
        <v>2.1000000000000001E-2</v>
      </c>
      <c r="AK1994" s="9">
        <v>1E-3</v>
      </c>
      <c r="AL1994" s="9">
        <v>11.5</v>
      </c>
      <c r="AM1994" s="9">
        <v>0.5</v>
      </c>
      <c r="AN1994" s="9">
        <v>0.01</v>
      </c>
      <c r="AO1994" s="9">
        <v>1.2E-2</v>
      </c>
      <c r="AP1994"/>
    </row>
    <row r="1995" spans="1:42" x14ac:dyDescent="0.3">
      <c r="A1995" t="s">
        <v>151</v>
      </c>
      <c r="B1995" t="s">
        <v>1580</v>
      </c>
      <c r="C1995">
        <v>84</v>
      </c>
      <c r="D1995" s="8">
        <v>1.4003000000000001</v>
      </c>
      <c r="E1995">
        <v>1200</v>
      </c>
      <c r="G1995" t="s">
        <v>32</v>
      </c>
      <c r="H1995">
        <v>1.5</v>
      </c>
      <c r="I1995" s="4">
        <v>0.62</v>
      </c>
      <c r="J1995" s="3">
        <f>1/3</f>
        <v>0.33333333333333331</v>
      </c>
      <c r="L1995" t="s">
        <v>140</v>
      </c>
      <c r="M1995" t="s">
        <v>28</v>
      </c>
      <c r="N1995" s="3">
        <v>1</v>
      </c>
      <c r="O1995" s="3">
        <v>0</v>
      </c>
      <c r="P1995">
        <v>22.5</v>
      </c>
      <c r="Q1995">
        <v>6.5</v>
      </c>
      <c r="R1995" t="s">
        <v>102</v>
      </c>
      <c r="S1995">
        <v>0</v>
      </c>
      <c r="T1995" s="6">
        <f>10^-(14-Q1995)</f>
        <v>3.1622776601683699E-8</v>
      </c>
      <c r="U1995" s="6">
        <v>0</v>
      </c>
      <c r="V1995" s="6">
        <v>0</v>
      </c>
      <c r="W1995" s="6">
        <v>0</v>
      </c>
      <c r="X1995" s="6">
        <v>0</v>
      </c>
      <c r="Y1995" t="s">
        <v>28</v>
      </c>
      <c r="Z1995" s="5">
        <v>-136</v>
      </c>
      <c r="AA1995" s="3">
        <v>5.4120000000000004E-5</v>
      </c>
      <c r="AB1995" s="2">
        <v>0.2268</v>
      </c>
      <c r="AC1995" s="2">
        <v>9.5500000000000002E-2</v>
      </c>
      <c r="AD1995">
        <v>0.3</v>
      </c>
      <c r="AE1995">
        <v>122.7</v>
      </c>
      <c r="AF1995">
        <v>1</v>
      </c>
      <c r="AG1995" s="9">
        <v>2.1000000000000001E-2</v>
      </c>
      <c r="AH1995" s="9">
        <v>0.55000000000000004</v>
      </c>
      <c r="AI1995" s="9">
        <v>0.68</v>
      </c>
      <c r="AJ1995" s="9">
        <v>2.1000000000000001E-2</v>
      </c>
      <c r="AK1995" s="9">
        <v>1E-3</v>
      </c>
      <c r="AL1995" s="9">
        <v>11.5</v>
      </c>
      <c r="AM1995" s="9">
        <v>0.5</v>
      </c>
      <c r="AN1995" s="9">
        <v>0.01</v>
      </c>
      <c r="AO1995" s="9">
        <v>1.2E-2</v>
      </c>
      <c r="AP1995"/>
    </row>
    <row r="1996" spans="1:42" x14ac:dyDescent="0.3">
      <c r="A1996" t="s">
        <v>152</v>
      </c>
      <c r="B1996" t="s">
        <v>1580</v>
      </c>
      <c r="C1996">
        <v>84</v>
      </c>
      <c r="D1996" s="8">
        <v>1.4003000000000001</v>
      </c>
      <c r="E1996">
        <v>1200</v>
      </c>
      <c r="G1996" t="s">
        <v>32</v>
      </c>
      <c r="H1996">
        <v>1.5</v>
      </c>
      <c r="I1996" s="4">
        <v>0.62</v>
      </c>
      <c r="J1996" s="3">
        <f>1/3</f>
        <v>0.33333333333333331</v>
      </c>
      <c r="L1996" t="s">
        <v>140</v>
      </c>
      <c r="M1996" t="s">
        <v>28</v>
      </c>
      <c r="N1996" s="3">
        <v>1</v>
      </c>
      <c r="O1996" s="3">
        <v>0</v>
      </c>
      <c r="P1996">
        <v>22.5</v>
      </c>
      <c r="Q1996">
        <v>6.5</v>
      </c>
      <c r="R1996" t="s">
        <v>102</v>
      </c>
      <c r="S1996">
        <v>0</v>
      </c>
      <c r="T1996" s="6">
        <f>10^-(14-Q1996)</f>
        <v>3.1622776601683699E-8</v>
      </c>
      <c r="U1996" s="6">
        <v>0</v>
      </c>
      <c r="V1996" s="6">
        <v>0</v>
      </c>
      <c r="W1996" s="6">
        <v>0</v>
      </c>
      <c r="X1996" s="6">
        <v>0</v>
      </c>
      <c r="Y1996" t="s">
        <v>28</v>
      </c>
      <c r="Z1996" s="5">
        <v>-139</v>
      </c>
      <c r="AA1996" s="3">
        <v>2.9309999999999999E-5</v>
      </c>
      <c r="AB1996" s="2">
        <v>0.25740000000000002</v>
      </c>
      <c r="AC1996" s="2">
        <v>7.4999999999999997E-2</v>
      </c>
      <c r="AD1996">
        <v>0.3</v>
      </c>
      <c r="AE1996">
        <v>154.69999999999999</v>
      </c>
      <c r="AF1996">
        <v>1</v>
      </c>
      <c r="AG1996" s="9">
        <v>2.1000000000000001E-2</v>
      </c>
      <c r="AH1996" s="9">
        <v>0.55000000000000004</v>
      </c>
      <c r="AI1996" s="9">
        <v>0.68</v>
      </c>
      <c r="AJ1996" s="9">
        <v>2.1000000000000001E-2</v>
      </c>
      <c r="AK1996" s="9">
        <v>1E-3</v>
      </c>
      <c r="AL1996" s="9">
        <v>11.5</v>
      </c>
      <c r="AM1996" s="9">
        <v>0.5</v>
      </c>
      <c r="AN1996" s="9">
        <v>0.01</v>
      </c>
      <c r="AO1996" s="9">
        <v>1.2E-2</v>
      </c>
      <c r="AP1996"/>
    </row>
    <row r="1997" spans="1:42" x14ac:dyDescent="0.3">
      <c r="A1997" t="s">
        <v>153</v>
      </c>
      <c r="B1997" t="s">
        <v>1580</v>
      </c>
      <c r="C1997">
        <v>84</v>
      </c>
      <c r="D1997" s="8">
        <v>1.4003000000000001</v>
      </c>
      <c r="E1997">
        <v>1200</v>
      </c>
      <c r="G1997" t="s">
        <v>31</v>
      </c>
      <c r="H1997">
        <v>-1.2</v>
      </c>
      <c r="I1997" s="4">
        <v>1</v>
      </c>
      <c r="J1997" s="3">
        <v>0.5</v>
      </c>
      <c r="L1997" t="s">
        <v>140</v>
      </c>
      <c r="M1997" t="s">
        <v>28</v>
      </c>
      <c r="N1997" s="3">
        <v>1</v>
      </c>
      <c r="O1997" s="3">
        <v>0</v>
      </c>
      <c r="P1997">
        <v>22.5</v>
      </c>
      <c r="Q1997">
        <v>6.5</v>
      </c>
      <c r="R1997" t="s">
        <v>102</v>
      </c>
      <c r="S1997">
        <v>0</v>
      </c>
      <c r="T1997" s="6">
        <f>10^-(14-Q1997)</f>
        <v>3.1622776601683699E-8</v>
      </c>
      <c r="U1997" s="6">
        <v>0</v>
      </c>
      <c r="V1997" s="6">
        <v>0</v>
      </c>
      <c r="W1997" s="6">
        <v>0</v>
      </c>
      <c r="X1997" s="6">
        <v>0</v>
      </c>
      <c r="Y1997" t="s">
        <v>28</v>
      </c>
      <c r="Z1997" s="5">
        <v>-164</v>
      </c>
      <c r="AA1997" s="3">
        <v>4.918E-5</v>
      </c>
      <c r="AB1997" s="2">
        <v>0.2316</v>
      </c>
      <c r="AC1997" s="2">
        <v>7.0699999999999999E-2</v>
      </c>
      <c r="AD1997">
        <v>0.3</v>
      </c>
      <c r="AE1997">
        <v>141.4</v>
      </c>
      <c r="AF1997">
        <v>1</v>
      </c>
      <c r="AG1997" s="9">
        <v>2.1000000000000001E-2</v>
      </c>
      <c r="AH1997" s="9">
        <v>0.55000000000000004</v>
      </c>
      <c r="AI1997" s="9">
        <v>0.68</v>
      </c>
      <c r="AJ1997" s="9">
        <v>2.1000000000000001E-2</v>
      </c>
      <c r="AK1997" s="9">
        <v>1E-3</v>
      </c>
      <c r="AL1997" s="9">
        <v>11.5</v>
      </c>
      <c r="AM1997" s="9">
        <v>0.5</v>
      </c>
      <c r="AN1997" s="9">
        <v>0.01</v>
      </c>
      <c r="AO1997" s="9">
        <v>1.2E-2</v>
      </c>
      <c r="AP1997"/>
    </row>
    <row r="1998" spans="1:42" x14ac:dyDescent="0.3">
      <c r="A1998" t="s">
        <v>154</v>
      </c>
      <c r="B1998" t="s">
        <v>1580</v>
      </c>
      <c r="C1998">
        <v>84</v>
      </c>
      <c r="D1998" s="8">
        <v>1.4003000000000001</v>
      </c>
      <c r="E1998">
        <v>1200</v>
      </c>
      <c r="G1998" t="s">
        <v>31</v>
      </c>
      <c r="H1998">
        <v>-1.2</v>
      </c>
      <c r="I1998" s="4">
        <v>1</v>
      </c>
      <c r="J1998" s="3">
        <v>0.5</v>
      </c>
      <c r="L1998" t="s">
        <v>140</v>
      </c>
      <c r="M1998" t="s">
        <v>28</v>
      </c>
      <c r="N1998" s="3">
        <v>1</v>
      </c>
      <c r="O1998" s="3">
        <v>0</v>
      </c>
      <c r="P1998">
        <v>22.5</v>
      </c>
      <c r="Q1998">
        <v>6.5</v>
      </c>
      <c r="R1998" t="s">
        <v>102</v>
      </c>
      <c r="S1998">
        <v>0</v>
      </c>
      <c r="T1998" s="6">
        <f>10^-(14-Q1998)</f>
        <v>3.1622776601683699E-8</v>
      </c>
      <c r="U1998" s="6">
        <v>0</v>
      </c>
      <c r="V1998" s="6">
        <v>0</v>
      </c>
      <c r="W1998" s="6">
        <v>0</v>
      </c>
      <c r="X1998" s="6">
        <v>0</v>
      </c>
      <c r="Y1998" t="s">
        <v>28</v>
      </c>
      <c r="Z1998" s="5">
        <v>-226</v>
      </c>
      <c r="AA1998" s="3">
        <v>1.596E-5</v>
      </c>
      <c r="AB1998" s="2">
        <v>0.14680000000000001</v>
      </c>
      <c r="AC1998" s="2">
        <v>7.1499999999999994E-2</v>
      </c>
      <c r="AD1998">
        <v>0.3</v>
      </c>
      <c r="AE1998">
        <v>343.4</v>
      </c>
      <c r="AF1998">
        <v>1</v>
      </c>
      <c r="AG1998" s="9">
        <v>2.1000000000000001E-2</v>
      </c>
      <c r="AH1998" s="9">
        <v>0.55000000000000004</v>
      </c>
      <c r="AI1998" s="9">
        <v>0.68</v>
      </c>
      <c r="AJ1998" s="9">
        <v>2.1000000000000001E-2</v>
      </c>
      <c r="AK1998" s="9">
        <v>1E-3</v>
      </c>
      <c r="AL1998" s="9">
        <v>11.5</v>
      </c>
      <c r="AM1998" s="9">
        <v>0.5</v>
      </c>
      <c r="AN1998" s="9">
        <v>0.01</v>
      </c>
      <c r="AO1998" s="9">
        <v>1.2E-2</v>
      </c>
      <c r="AP1998"/>
    </row>
    <row r="1999" spans="1:42" x14ac:dyDescent="0.3">
      <c r="A1999" t="s">
        <v>155</v>
      </c>
      <c r="B1999" t="s">
        <v>1580</v>
      </c>
      <c r="C1999">
        <v>84</v>
      </c>
      <c r="D1999" s="8">
        <v>1.4003000000000001</v>
      </c>
      <c r="E1999">
        <v>1200</v>
      </c>
      <c r="G1999" t="s">
        <v>31</v>
      </c>
      <c r="H1999">
        <v>-1.2</v>
      </c>
      <c r="I1999" s="4">
        <v>1</v>
      </c>
      <c r="J1999" s="3">
        <v>0.5</v>
      </c>
      <c r="L1999" t="s">
        <v>140</v>
      </c>
      <c r="M1999" t="s">
        <v>28</v>
      </c>
      <c r="N1999" s="3">
        <v>1</v>
      </c>
      <c r="O1999" s="3">
        <v>0</v>
      </c>
      <c r="P1999">
        <v>22.5</v>
      </c>
      <c r="Q1999">
        <v>6.5</v>
      </c>
      <c r="R1999" t="s">
        <v>102</v>
      </c>
      <c r="S1999">
        <v>0</v>
      </c>
      <c r="T1999" s="6">
        <f>10^-(14-Q1999)</f>
        <v>3.1622776601683699E-8</v>
      </c>
      <c r="U1999" s="6">
        <v>0</v>
      </c>
      <c r="V1999" s="6">
        <v>0</v>
      </c>
      <c r="W1999" s="6">
        <v>0</v>
      </c>
      <c r="X1999" s="6">
        <v>0</v>
      </c>
      <c r="Y1999" t="s">
        <v>28</v>
      </c>
      <c r="Z1999" s="5">
        <v>-193</v>
      </c>
      <c r="AA1999" s="3">
        <v>1.6609999999999999E-5</v>
      </c>
      <c r="AB1999" s="2">
        <v>0.16589999999999999</v>
      </c>
      <c r="AC1999" s="2">
        <v>6.6100000000000006E-2</v>
      </c>
      <c r="AD1999">
        <v>0.3</v>
      </c>
      <c r="AE1999">
        <v>408.8</v>
      </c>
      <c r="AF1999">
        <v>1</v>
      </c>
      <c r="AG1999" s="9">
        <v>2.1000000000000001E-2</v>
      </c>
      <c r="AH1999" s="9">
        <v>0.55000000000000004</v>
      </c>
      <c r="AI1999" s="9">
        <v>0.68</v>
      </c>
      <c r="AJ1999" s="9">
        <v>2.1000000000000001E-2</v>
      </c>
      <c r="AK1999" s="9">
        <v>1E-3</v>
      </c>
      <c r="AL1999" s="9">
        <v>11.5</v>
      </c>
      <c r="AM1999" s="9">
        <v>0.5</v>
      </c>
      <c r="AN1999" s="9">
        <v>0.01</v>
      </c>
      <c r="AO1999" s="9">
        <v>1.2E-2</v>
      </c>
      <c r="AP1999"/>
    </row>
    <row r="2000" spans="1:42" x14ac:dyDescent="0.3">
      <c r="A2000" t="s">
        <v>0</v>
      </c>
      <c r="B2000" t="s">
        <v>1580</v>
      </c>
      <c r="C2000">
        <v>84</v>
      </c>
      <c r="D2000" s="8">
        <v>1.4300999999999999</v>
      </c>
      <c r="E2000">
        <v>1200</v>
      </c>
      <c r="G2000" t="s">
        <v>30</v>
      </c>
      <c r="H2000">
        <v>6.5</v>
      </c>
      <c r="I2000" s="4">
        <v>0.15</v>
      </c>
      <c r="J2000" s="3">
        <v>2.5</v>
      </c>
      <c r="K2000" s="4">
        <v>1</v>
      </c>
      <c r="L2000" t="s">
        <v>140</v>
      </c>
      <c r="M2000" t="s">
        <v>28</v>
      </c>
      <c r="N2000" s="3">
        <v>1</v>
      </c>
      <c r="O2000" s="3">
        <v>0</v>
      </c>
      <c r="P2000">
        <v>22.5</v>
      </c>
      <c r="Q2000">
        <v>6.5</v>
      </c>
      <c r="R2000" t="s">
        <v>102</v>
      </c>
      <c r="S2000">
        <v>0</v>
      </c>
      <c r="T2000" s="6">
        <f>10^-(14-Q2000)</f>
        <v>3.1622776601683699E-8</v>
      </c>
      <c r="U2000" s="6">
        <v>0</v>
      </c>
      <c r="V2000" s="6">
        <v>0</v>
      </c>
      <c r="W2000" s="6">
        <v>0</v>
      </c>
      <c r="X2000" s="6">
        <v>0</v>
      </c>
      <c r="Y2000" t="s">
        <v>28</v>
      </c>
      <c r="Z2000" s="5">
        <v>-69.400000000000006</v>
      </c>
      <c r="AA2000" s="3">
        <v>1.4411805552850699E-3</v>
      </c>
      <c r="AB2000" s="2">
        <v>0.58488045915743792</v>
      </c>
      <c r="AC2000" s="2">
        <v>0.15450797460762436</v>
      </c>
      <c r="AD2000">
        <v>0.3</v>
      </c>
      <c r="AE2000">
        <v>427.1</v>
      </c>
      <c r="AF2000">
        <v>1</v>
      </c>
      <c r="AL2000" s="9">
        <v>18</v>
      </c>
      <c r="AM2000" s="9">
        <v>8</v>
      </c>
      <c r="AP2000"/>
    </row>
    <row r="2001" spans="1:42" x14ac:dyDescent="0.3">
      <c r="A2001" t="s">
        <v>1</v>
      </c>
      <c r="B2001" t="s">
        <v>1580</v>
      </c>
      <c r="C2001">
        <v>84</v>
      </c>
      <c r="D2001" s="8">
        <v>1.4300999999999999</v>
      </c>
      <c r="E2001">
        <v>1200</v>
      </c>
      <c r="G2001" t="s">
        <v>30</v>
      </c>
      <c r="H2001">
        <v>6.5</v>
      </c>
      <c r="I2001" s="4">
        <v>0.15</v>
      </c>
      <c r="J2001" s="3">
        <v>2.5</v>
      </c>
      <c r="K2001" s="4">
        <v>1</v>
      </c>
      <c r="L2001" t="s">
        <v>140</v>
      </c>
      <c r="M2001" t="s">
        <v>28</v>
      </c>
      <c r="N2001" s="3">
        <v>1</v>
      </c>
      <c r="O2001" s="3">
        <v>0</v>
      </c>
      <c r="P2001">
        <v>22.5</v>
      </c>
      <c r="Q2001">
        <v>6.5</v>
      </c>
      <c r="R2001" t="s">
        <v>102</v>
      </c>
      <c r="S2001">
        <v>0</v>
      </c>
      <c r="T2001" s="6">
        <f>10^-(14-Q2001)</f>
        <v>3.1622776601683699E-8</v>
      </c>
      <c r="U2001" s="6">
        <v>0</v>
      </c>
      <c r="V2001" s="6">
        <v>0</v>
      </c>
      <c r="W2001" s="6">
        <v>0</v>
      </c>
      <c r="X2001" s="6">
        <v>0</v>
      </c>
      <c r="Y2001" t="s">
        <v>28</v>
      </c>
      <c r="Z2001" s="5">
        <v>-54.7</v>
      </c>
      <c r="AA2001" s="3">
        <v>1.597167438565018E-4</v>
      </c>
      <c r="AB2001" s="2">
        <v>0.24123138249263648</v>
      </c>
      <c r="AC2001" s="2">
        <v>7.8430164727964213E-2</v>
      </c>
      <c r="AD2001">
        <v>0.3</v>
      </c>
      <c r="AE2001">
        <v>421.5</v>
      </c>
      <c r="AF2001">
        <v>1</v>
      </c>
      <c r="AL2001" s="9">
        <v>18</v>
      </c>
      <c r="AM2001" s="9">
        <v>8</v>
      </c>
      <c r="AP2001"/>
    </row>
    <row r="2002" spans="1:42" x14ac:dyDescent="0.3">
      <c r="A2002" t="s">
        <v>2</v>
      </c>
      <c r="B2002" t="s">
        <v>1580</v>
      </c>
      <c r="C2002">
        <v>84</v>
      </c>
      <c r="D2002" s="8">
        <v>1.4300999999999999</v>
      </c>
      <c r="E2002">
        <v>1200</v>
      </c>
      <c r="G2002" t="s">
        <v>30</v>
      </c>
      <c r="H2002">
        <v>6.5</v>
      </c>
      <c r="I2002" s="4">
        <v>0.15</v>
      </c>
      <c r="J2002" s="3">
        <v>2.5</v>
      </c>
      <c r="K2002" s="4">
        <v>1</v>
      </c>
      <c r="L2002" t="s">
        <v>140</v>
      </c>
      <c r="M2002" t="s">
        <v>28</v>
      </c>
      <c r="N2002" s="3">
        <v>1</v>
      </c>
      <c r="O2002" s="3">
        <v>0</v>
      </c>
      <c r="P2002">
        <v>22.5</v>
      </c>
      <c r="Q2002">
        <v>6.5</v>
      </c>
      <c r="R2002" t="s">
        <v>102</v>
      </c>
      <c r="S2002">
        <v>0</v>
      </c>
      <c r="T2002" s="6">
        <f>10^-(14-Q2002)</f>
        <v>3.1622776601683699E-8</v>
      </c>
      <c r="U2002" s="6">
        <v>0</v>
      </c>
      <c r="V2002" s="6">
        <v>0</v>
      </c>
      <c r="W2002" s="6">
        <v>0</v>
      </c>
      <c r="X2002" s="6">
        <v>0</v>
      </c>
      <c r="Y2002" t="s">
        <v>28</v>
      </c>
      <c r="Z2002" s="5">
        <v>4.53</v>
      </c>
      <c r="AA2002" s="3">
        <v>1.036350683959324E-4</v>
      </c>
      <c r="AB2002" s="2">
        <v>0.26114444903869055</v>
      </c>
      <c r="AC2002" s="2">
        <v>6.5893979860550567E-2</v>
      </c>
      <c r="AD2002">
        <v>0.3</v>
      </c>
      <c r="AE2002">
        <v>410.3</v>
      </c>
      <c r="AF2002">
        <v>1</v>
      </c>
      <c r="AL2002" s="9">
        <v>18</v>
      </c>
      <c r="AM2002" s="9">
        <v>8</v>
      </c>
      <c r="AP2002"/>
    </row>
    <row r="2003" spans="1:42" x14ac:dyDescent="0.3">
      <c r="A2003" t="s">
        <v>3</v>
      </c>
      <c r="B2003" t="s">
        <v>1580</v>
      </c>
      <c r="C2003">
        <v>84</v>
      </c>
      <c r="D2003" s="8">
        <v>1.4300999999999999</v>
      </c>
      <c r="E2003">
        <v>1200</v>
      </c>
      <c r="G2003" t="s">
        <v>30</v>
      </c>
      <c r="H2003">
        <v>6.5</v>
      </c>
      <c r="I2003" s="4">
        <v>0.15</v>
      </c>
      <c r="J2003" s="3">
        <v>2.5</v>
      </c>
      <c r="K2003" s="4">
        <v>1</v>
      </c>
      <c r="L2003" t="s">
        <v>140</v>
      </c>
      <c r="M2003" t="s">
        <v>28</v>
      </c>
      <c r="N2003" s="3">
        <v>1</v>
      </c>
      <c r="O2003" s="3">
        <v>0</v>
      </c>
      <c r="P2003">
        <v>22.5</v>
      </c>
      <c r="Q2003">
        <v>6.5</v>
      </c>
      <c r="R2003" t="s">
        <v>102</v>
      </c>
      <c r="S2003">
        <v>0</v>
      </c>
      <c r="T2003" s="6">
        <f>10^-(14-Q2003)</f>
        <v>3.1622776601683699E-8</v>
      </c>
      <c r="U2003" s="6">
        <v>0</v>
      </c>
      <c r="V2003" s="6">
        <v>0</v>
      </c>
      <c r="W2003" s="6">
        <v>0</v>
      </c>
      <c r="X2003" s="6">
        <v>0</v>
      </c>
      <c r="Y2003" t="s">
        <v>28</v>
      </c>
      <c r="Z2003" s="5">
        <v>38.6</v>
      </c>
      <c r="AA2003" s="3">
        <v>7.1210927693779046E-5</v>
      </c>
      <c r="AB2003" s="2">
        <v>0.19193685912211511</v>
      </c>
      <c r="AC2003" s="2">
        <v>8.0564196558811169E-2</v>
      </c>
      <c r="AD2003">
        <v>0.3</v>
      </c>
      <c r="AE2003">
        <v>404.1</v>
      </c>
      <c r="AF2003">
        <v>1</v>
      </c>
      <c r="AL2003" s="9">
        <v>18</v>
      </c>
      <c r="AM2003" s="9">
        <v>8</v>
      </c>
      <c r="AP2003"/>
    </row>
    <row r="2004" spans="1:42" x14ac:dyDescent="0.3">
      <c r="A2004" t="s">
        <v>4</v>
      </c>
      <c r="B2004" t="s">
        <v>1580</v>
      </c>
      <c r="C2004">
        <v>84</v>
      </c>
      <c r="D2004" s="8">
        <v>1.4300999999999999</v>
      </c>
      <c r="E2004">
        <v>1200</v>
      </c>
      <c r="G2004" t="s">
        <v>30</v>
      </c>
      <c r="H2004">
        <v>6.5</v>
      </c>
      <c r="I2004" s="4">
        <v>0.15</v>
      </c>
      <c r="J2004" s="3">
        <v>2.5</v>
      </c>
      <c r="K2004" s="4">
        <v>24</v>
      </c>
      <c r="L2004" t="s">
        <v>140</v>
      </c>
      <c r="M2004" t="s">
        <v>28</v>
      </c>
      <c r="N2004" s="3">
        <v>1</v>
      </c>
      <c r="O2004" s="3">
        <v>0</v>
      </c>
      <c r="P2004">
        <v>22.5</v>
      </c>
      <c r="Q2004">
        <v>6.5</v>
      </c>
      <c r="R2004" t="s">
        <v>102</v>
      </c>
      <c r="S2004">
        <v>0</v>
      </c>
      <c r="T2004" s="6">
        <f>10^-(14-Q2004)</f>
        <v>3.1622776601683699E-8</v>
      </c>
      <c r="U2004" s="6">
        <v>0</v>
      </c>
      <c r="V2004" s="6">
        <v>0</v>
      </c>
      <c r="W2004" s="6">
        <v>0</v>
      </c>
      <c r="X2004" s="6">
        <v>0</v>
      </c>
      <c r="Y2004" t="s">
        <v>28</v>
      </c>
      <c r="Z2004" s="5">
        <v>-15.4</v>
      </c>
      <c r="AA2004" s="3">
        <v>1.23155640164827E-4</v>
      </c>
      <c r="AB2004" s="2">
        <v>0.17955251308741965</v>
      </c>
      <c r="AC2004" s="2">
        <v>7.8528878606722183E-2</v>
      </c>
      <c r="AD2004">
        <v>0.3</v>
      </c>
      <c r="AE2004">
        <v>453.4</v>
      </c>
      <c r="AF2004">
        <v>1</v>
      </c>
      <c r="AL2004" s="9">
        <v>18</v>
      </c>
      <c r="AM2004" s="9">
        <v>8</v>
      </c>
      <c r="AP2004"/>
    </row>
    <row r="2005" spans="1:42" x14ac:dyDescent="0.3">
      <c r="A2005" t="s">
        <v>5</v>
      </c>
      <c r="B2005" t="s">
        <v>1580</v>
      </c>
      <c r="C2005">
        <v>84</v>
      </c>
      <c r="D2005" s="8">
        <v>1.4300999999999999</v>
      </c>
      <c r="E2005">
        <v>1200</v>
      </c>
      <c r="G2005" t="s">
        <v>30</v>
      </c>
      <c r="H2005">
        <v>6.5</v>
      </c>
      <c r="I2005" s="4">
        <v>0.15</v>
      </c>
      <c r="J2005" s="3">
        <v>2.5</v>
      </c>
      <c r="K2005" s="4">
        <v>24</v>
      </c>
      <c r="L2005" t="s">
        <v>140</v>
      </c>
      <c r="M2005" t="s">
        <v>28</v>
      </c>
      <c r="N2005" s="3">
        <v>1</v>
      </c>
      <c r="O2005" s="3">
        <v>0</v>
      </c>
      <c r="P2005">
        <v>22.5</v>
      </c>
      <c r="Q2005">
        <v>6.5</v>
      </c>
      <c r="R2005" t="s">
        <v>102</v>
      </c>
      <c r="S2005">
        <v>0</v>
      </c>
      <c r="T2005" s="6">
        <f>10^-(14-Q2005)</f>
        <v>3.1622776601683699E-8</v>
      </c>
      <c r="U2005" s="6">
        <v>0</v>
      </c>
      <c r="V2005" s="6">
        <v>0</v>
      </c>
      <c r="W2005" s="6">
        <v>0</v>
      </c>
      <c r="X2005" s="6">
        <v>0</v>
      </c>
      <c r="Y2005" t="s">
        <v>28</v>
      </c>
      <c r="Z2005" s="5">
        <v>26.8</v>
      </c>
      <c r="AA2005" s="3">
        <v>4.6521178061065266E-5</v>
      </c>
      <c r="AB2005" s="2">
        <v>0.15480134773235282</v>
      </c>
      <c r="AC2005" s="2">
        <v>5.7194430548698307E-2</v>
      </c>
      <c r="AD2005">
        <v>0.3</v>
      </c>
      <c r="AE2005">
        <v>502.9</v>
      </c>
      <c r="AF2005">
        <v>1</v>
      </c>
      <c r="AL2005" s="9">
        <v>18</v>
      </c>
      <c r="AM2005" s="9">
        <v>8</v>
      </c>
      <c r="AP2005"/>
    </row>
    <row r="2006" spans="1:42" x14ac:dyDescent="0.3">
      <c r="A2006" t="s">
        <v>6</v>
      </c>
      <c r="B2006" t="s">
        <v>1580</v>
      </c>
      <c r="C2006">
        <v>84</v>
      </c>
      <c r="D2006" s="8">
        <v>1.4300999999999999</v>
      </c>
      <c r="E2006">
        <v>1200</v>
      </c>
      <c r="G2006" t="s">
        <v>30</v>
      </c>
      <c r="H2006">
        <v>6.5</v>
      </c>
      <c r="I2006" s="4">
        <v>0.15</v>
      </c>
      <c r="J2006" s="3">
        <v>2.5</v>
      </c>
      <c r="K2006" s="4">
        <v>24</v>
      </c>
      <c r="L2006" t="s">
        <v>140</v>
      </c>
      <c r="M2006" t="s">
        <v>28</v>
      </c>
      <c r="N2006" s="3">
        <v>1</v>
      </c>
      <c r="O2006" s="3">
        <v>0</v>
      </c>
      <c r="P2006">
        <v>22.5</v>
      </c>
      <c r="Q2006">
        <v>6.5</v>
      </c>
      <c r="R2006" t="s">
        <v>102</v>
      </c>
      <c r="S2006">
        <v>0</v>
      </c>
      <c r="T2006" s="6">
        <f>10^-(14-Q2006)</f>
        <v>3.1622776601683699E-8</v>
      </c>
      <c r="U2006" s="6">
        <v>0</v>
      </c>
      <c r="V2006" s="6">
        <v>0</v>
      </c>
      <c r="W2006" s="6">
        <v>0</v>
      </c>
      <c r="X2006" s="6">
        <v>0</v>
      </c>
      <c r="Y2006" t="s">
        <v>28</v>
      </c>
      <c r="Z2006" s="5">
        <v>-108</v>
      </c>
      <c r="AA2006" s="3">
        <v>3.5260011269358918E-5</v>
      </c>
      <c r="AB2006" s="2">
        <v>0.1853400661077961</v>
      </c>
      <c r="AC2006" s="2">
        <v>5.4876524957671764E-2</v>
      </c>
      <c r="AD2006">
        <v>0.3</v>
      </c>
      <c r="AE2006">
        <v>470.8</v>
      </c>
      <c r="AF2006">
        <v>1</v>
      </c>
      <c r="AL2006" s="9">
        <v>18</v>
      </c>
      <c r="AM2006" s="9">
        <v>8</v>
      </c>
      <c r="AP2006"/>
    </row>
    <row r="2007" spans="1:42" x14ac:dyDescent="0.3">
      <c r="A2007" t="s">
        <v>7</v>
      </c>
      <c r="B2007" t="s">
        <v>1580</v>
      </c>
      <c r="C2007">
        <v>84</v>
      </c>
      <c r="D2007" s="8">
        <v>1.4300999999999999</v>
      </c>
      <c r="E2007">
        <v>1200</v>
      </c>
      <c r="G2007" t="s">
        <v>30</v>
      </c>
      <c r="H2007">
        <v>6.5</v>
      </c>
      <c r="I2007" s="4">
        <v>0.15</v>
      </c>
      <c r="J2007" s="3">
        <v>2.5</v>
      </c>
      <c r="K2007" s="4">
        <v>5</v>
      </c>
      <c r="L2007" t="s">
        <v>140</v>
      </c>
      <c r="M2007" t="s">
        <v>28</v>
      </c>
      <c r="N2007" s="3">
        <v>1</v>
      </c>
      <c r="O2007" s="3">
        <v>0</v>
      </c>
      <c r="P2007">
        <v>22.5</v>
      </c>
      <c r="Q2007">
        <v>6.5</v>
      </c>
      <c r="R2007" t="s">
        <v>102</v>
      </c>
      <c r="S2007">
        <v>0</v>
      </c>
      <c r="T2007" s="6">
        <f>10^-(14-Q2007)</f>
        <v>3.1622776601683699E-8</v>
      </c>
      <c r="U2007" s="6">
        <v>0</v>
      </c>
      <c r="V2007" s="6">
        <v>0</v>
      </c>
      <c r="W2007" s="6">
        <v>0</v>
      </c>
      <c r="X2007" s="6">
        <v>0</v>
      </c>
      <c r="Y2007" t="s">
        <v>28</v>
      </c>
      <c r="Z2007" s="5">
        <v>4.12</v>
      </c>
      <c r="AA2007" s="3">
        <v>4.4633107394835264E-5</v>
      </c>
      <c r="AB2007" s="2">
        <v>0.20035600437719794</v>
      </c>
      <c r="AC2007" s="2">
        <v>7.3233386233701916E-2</v>
      </c>
      <c r="AD2007">
        <v>0.3</v>
      </c>
      <c r="AE2007">
        <v>468.1</v>
      </c>
      <c r="AF2007">
        <v>1</v>
      </c>
      <c r="AL2007" s="9">
        <v>18</v>
      </c>
      <c r="AM2007" s="9">
        <v>8</v>
      </c>
      <c r="AP2007"/>
    </row>
    <row r="2008" spans="1:42" x14ac:dyDescent="0.3">
      <c r="A2008" t="s">
        <v>8</v>
      </c>
      <c r="B2008" t="s">
        <v>1580</v>
      </c>
      <c r="C2008">
        <v>84</v>
      </c>
      <c r="D2008" s="8">
        <v>1.4300999999999999</v>
      </c>
      <c r="E2008">
        <v>1200</v>
      </c>
      <c r="G2008" t="s">
        <v>30</v>
      </c>
      <c r="H2008">
        <v>6.5</v>
      </c>
      <c r="I2008" s="4">
        <v>0.15</v>
      </c>
      <c r="J2008" s="3">
        <v>2.5</v>
      </c>
      <c r="K2008" s="4">
        <v>5</v>
      </c>
      <c r="L2008" t="s">
        <v>140</v>
      </c>
      <c r="M2008" t="s">
        <v>28</v>
      </c>
      <c r="N2008" s="3">
        <v>1</v>
      </c>
      <c r="O2008" s="3">
        <v>0</v>
      </c>
      <c r="P2008">
        <v>22.5</v>
      </c>
      <c r="Q2008">
        <v>6.5</v>
      </c>
      <c r="R2008" t="s">
        <v>102</v>
      </c>
      <c r="S2008">
        <v>0</v>
      </c>
      <c r="T2008" s="6">
        <f>10^-(14-Q2008)</f>
        <v>3.1622776601683699E-8</v>
      </c>
      <c r="U2008" s="6">
        <v>0</v>
      </c>
      <c r="V2008" s="6">
        <v>0</v>
      </c>
      <c r="W2008" s="6">
        <v>0</v>
      </c>
      <c r="X2008" s="6">
        <v>0</v>
      </c>
      <c r="Y2008" t="s">
        <v>28</v>
      </c>
      <c r="Z2008" s="5">
        <v>-49.6</v>
      </c>
      <c r="AA2008" s="3">
        <v>3.807949340895484E-5</v>
      </c>
      <c r="AB2008" s="2">
        <v>0.20304767093791898</v>
      </c>
      <c r="AC2008" s="2">
        <v>5.8189280825146947E-2</v>
      </c>
      <c r="AD2008">
        <v>0.3</v>
      </c>
      <c r="AE2008">
        <v>470.6</v>
      </c>
      <c r="AF2008">
        <v>1</v>
      </c>
      <c r="AL2008" s="9">
        <v>18</v>
      </c>
      <c r="AM2008" s="9">
        <v>8</v>
      </c>
      <c r="AP2008"/>
    </row>
    <row r="2009" spans="1:42" x14ac:dyDescent="0.3">
      <c r="A2009" t="s">
        <v>9</v>
      </c>
      <c r="B2009" t="s">
        <v>1580</v>
      </c>
      <c r="C2009">
        <v>84</v>
      </c>
      <c r="D2009" s="8">
        <v>1.4300999999999999</v>
      </c>
      <c r="E2009">
        <v>1200</v>
      </c>
      <c r="G2009" t="s">
        <v>32</v>
      </c>
      <c r="H2009">
        <v>1.5</v>
      </c>
      <c r="I2009" s="4">
        <v>0.62</v>
      </c>
      <c r="J2009" s="3">
        <v>0.33333333333333331</v>
      </c>
      <c r="K2009" s="4">
        <v>1</v>
      </c>
      <c r="L2009" t="s">
        <v>140</v>
      </c>
      <c r="M2009" t="s">
        <v>28</v>
      </c>
      <c r="N2009" s="3">
        <v>1</v>
      </c>
      <c r="O2009" s="3">
        <v>0</v>
      </c>
      <c r="P2009">
        <v>22.5</v>
      </c>
      <c r="Q2009">
        <v>6.5</v>
      </c>
      <c r="R2009" t="s">
        <v>102</v>
      </c>
      <c r="S2009">
        <v>0</v>
      </c>
      <c r="T2009" s="6">
        <f>10^-(14-Q2009)</f>
        <v>3.1622776601683699E-8</v>
      </c>
      <c r="U2009" s="6">
        <v>0</v>
      </c>
      <c r="V2009" s="6">
        <v>0</v>
      </c>
      <c r="W2009" s="6">
        <v>0</v>
      </c>
      <c r="X2009" s="6">
        <v>0</v>
      </c>
      <c r="Y2009" t="s">
        <v>28</v>
      </c>
      <c r="Z2009" s="5">
        <v>-194</v>
      </c>
      <c r="AA2009" s="3">
        <v>6.7766941778660977E-4</v>
      </c>
      <c r="AB2009" s="2">
        <v>0.17014671940556039</v>
      </c>
      <c r="AC2009" s="2">
        <v>7.3298313251292407E-2</v>
      </c>
      <c r="AD2009">
        <v>0.3</v>
      </c>
      <c r="AE2009">
        <v>454.8</v>
      </c>
      <c r="AF2009">
        <v>1</v>
      </c>
      <c r="AL2009" s="9">
        <v>18</v>
      </c>
      <c r="AM2009" s="9">
        <v>8</v>
      </c>
      <c r="AP2009"/>
    </row>
    <row r="2010" spans="1:42" x14ac:dyDescent="0.3">
      <c r="A2010" t="s">
        <v>10</v>
      </c>
      <c r="B2010" t="s">
        <v>1580</v>
      </c>
      <c r="C2010">
        <v>84</v>
      </c>
      <c r="D2010" s="8">
        <v>1.4300999999999999</v>
      </c>
      <c r="E2010">
        <v>1200</v>
      </c>
      <c r="G2010" t="s">
        <v>32</v>
      </c>
      <c r="H2010">
        <v>1.5</v>
      </c>
      <c r="I2010" s="4">
        <v>0.62</v>
      </c>
      <c r="J2010" s="3">
        <v>0.33333333333333331</v>
      </c>
      <c r="K2010" s="4">
        <v>1</v>
      </c>
      <c r="L2010" t="s">
        <v>140</v>
      </c>
      <c r="M2010" t="s">
        <v>28</v>
      </c>
      <c r="N2010" s="3">
        <v>1</v>
      </c>
      <c r="O2010" s="3">
        <v>0</v>
      </c>
      <c r="P2010">
        <v>22.5</v>
      </c>
      <c r="Q2010">
        <v>6.5</v>
      </c>
      <c r="R2010" t="s">
        <v>102</v>
      </c>
      <c r="S2010">
        <v>0</v>
      </c>
      <c r="T2010" s="6">
        <f>10^-(14-Q2010)</f>
        <v>3.1622776601683699E-8</v>
      </c>
      <c r="U2010" s="6">
        <v>0</v>
      </c>
      <c r="V2010" s="6">
        <v>0</v>
      </c>
      <c r="W2010" s="6">
        <v>0</v>
      </c>
      <c r="X2010" s="6">
        <v>0</v>
      </c>
      <c r="Y2010" t="s">
        <v>28</v>
      </c>
      <c r="Z2010" s="5">
        <v>-135</v>
      </c>
      <c r="AA2010" s="3">
        <v>4.5698199777412745E-4</v>
      </c>
      <c r="AB2010" s="2">
        <v>0.17608402912221605</v>
      </c>
      <c r="AC2010" s="2">
        <v>0.10665168819990692</v>
      </c>
      <c r="AD2010">
        <v>0.3</v>
      </c>
      <c r="AE2010">
        <v>400.6</v>
      </c>
      <c r="AF2010">
        <v>1</v>
      </c>
      <c r="AL2010" s="9">
        <v>18</v>
      </c>
      <c r="AM2010" s="9">
        <v>8</v>
      </c>
      <c r="AP2010"/>
    </row>
    <row r="2011" spans="1:42" x14ac:dyDescent="0.3">
      <c r="A2011" t="s">
        <v>11</v>
      </c>
      <c r="B2011" t="s">
        <v>1580</v>
      </c>
      <c r="C2011">
        <v>84</v>
      </c>
      <c r="D2011" s="8">
        <v>1.4300999999999999</v>
      </c>
      <c r="E2011">
        <v>1200</v>
      </c>
      <c r="G2011" t="s">
        <v>32</v>
      </c>
      <c r="H2011">
        <v>1.5</v>
      </c>
      <c r="I2011" s="4">
        <v>0.62</v>
      </c>
      <c r="J2011" s="3">
        <v>0.33333333333333331</v>
      </c>
      <c r="K2011" s="4">
        <v>1</v>
      </c>
      <c r="L2011" t="s">
        <v>140</v>
      </c>
      <c r="M2011" t="s">
        <v>28</v>
      </c>
      <c r="N2011" s="3">
        <v>1</v>
      </c>
      <c r="O2011" s="3">
        <v>0</v>
      </c>
      <c r="P2011">
        <v>22.5</v>
      </c>
      <c r="Q2011">
        <v>6.5</v>
      </c>
      <c r="R2011" t="s">
        <v>102</v>
      </c>
      <c r="S2011">
        <v>0</v>
      </c>
      <c r="T2011" s="6">
        <f>10^-(14-Q2011)</f>
        <v>3.1622776601683699E-8</v>
      </c>
      <c r="U2011" s="6">
        <v>0</v>
      </c>
      <c r="V2011" s="6">
        <v>0</v>
      </c>
      <c r="W2011" s="6">
        <v>0</v>
      </c>
      <c r="X2011" s="6">
        <v>0</v>
      </c>
      <c r="Y2011" t="s">
        <v>28</v>
      </c>
      <c r="Z2011" s="5">
        <v>-97.8</v>
      </c>
      <c r="AA2011" s="3">
        <v>7.565017353305725E-4</v>
      </c>
      <c r="AB2011" s="2">
        <v>0.17728749439072286</v>
      </c>
      <c r="AC2011" s="2">
        <v>9.5147448250823857E-2</v>
      </c>
      <c r="AD2011">
        <v>0.3</v>
      </c>
      <c r="AE2011">
        <v>392.3</v>
      </c>
      <c r="AF2011">
        <v>1</v>
      </c>
      <c r="AL2011" s="9">
        <v>18</v>
      </c>
      <c r="AM2011" s="9">
        <v>8</v>
      </c>
      <c r="AP2011"/>
    </row>
    <row r="2012" spans="1:42" x14ac:dyDescent="0.3">
      <c r="A2012" t="s">
        <v>12</v>
      </c>
      <c r="B2012" t="s">
        <v>1580</v>
      </c>
      <c r="C2012">
        <v>84</v>
      </c>
      <c r="D2012" s="8">
        <v>1.4300999999999999</v>
      </c>
      <c r="E2012">
        <v>1200</v>
      </c>
      <c r="G2012" t="s">
        <v>32</v>
      </c>
      <c r="H2012">
        <v>1.5</v>
      </c>
      <c r="I2012" s="4">
        <v>0.62</v>
      </c>
      <c r="J2012" s="3">
        <v>0.33333333333333331</v>
      </c>
      <c r="K2012" s="4">
        <v>24</v>
      </c>
      <c r="L2012" t="s">
        <v>140</v>
      </c>
      <c r="M2012" t="s">
        <v>28</v>
      </c>
      <c r="N2012" s="3">
        <v>1</v>
      </c>
      <c r="O2012" s="3">
        <v>0</v>
      </c>
      <c r="P2012">
        <v>22.5</v>
      </c>
      <c r="Q2012">
        <v>6.5</v>
      </c>
      <c r="R2012" t="s">
        <v>102</v>
      </c>
      <c r="S2012">
        <v>0</v>
      </c>
      <c r="T2012" s="6">
        <f>10^-(14-Q2012)</f>
        <v>3.1622776601683699E-8</v>
      </c>
      <c r="U2012" s="6">
        <v>0</v>
      </c>
      <c r="V2012" s="6">
        <v>0</v>
      </c>
      <c r="W2012" s="6">
        <v>0</v>
      </c>
      <c r="X2012" s="6">
        <v>0</v>
      </c>
      <c r="Y2012" t="s">
        <v>28</v>
      </c>
      <c r="Z2012" s="5">
        <v>-44.7</v>
      </c>
      <c r="AA2012" s="3">
        <v>7.2583818120818615E-5</v>
      </c>
      <c r="AB2012" s="2">
        <v>0.2420957724534071</v>
      </c>
      <c r="AC2012" s="2">
        <v>6.6961162492767845E-2</v>
      </c>
      <c r="AD2012">
        <v>0.3</v>
      </c>
      <c r="AE2012">
        <v>450.8</v>
      </c>
      <c r="AF2012">
        <v>1</v>
      </c>
      <c r="AL2012" s="9">
        <v>18</v>
      </c>
      <c r="AM2012" s="9">
        <v>8</v>
      </c>
      <c r="AP2012"/>
    </row>
    <row r="2013" spans="1:42" x14ac:dyDescent="0.3">
      <c r="A2013" t="s">
        <v>13</v>
      </c>
      <c r="B2013" t="s">
        <v>1580</v>
      </c>
      <c r="C2013">
        <v>84</v>
      </c>
      <c r="D2013" s="8">
        <v>1.4300999999999999</v>
      </c>
      <c r="E2013">
        <v>1200</v>
      </c>
      <c r="G2013" t="s">
        <v>32</v>
      </c>
      <c r="H2013">
        <v>1.5</v>
      </c>
      <c r="I2013" s="4">
        <v>0.62</v>
      </c>
      <c r="J2013" s="3">
        <v>0.33333333333333331</v>
      </c>
      <c r="K2013" s="4">
        <v>24</v>
      </c>
      <c r="L2013" t="s">
        <v>140</v>
      </c>
      <c r="M2013" t="s">
        <v>28</v>
      </c>
      <c r="N2013" s="3">
        <v>1</v>
      </c>
      <c r="O2013" s="3">
        <v>0</v>
      </c>
      <c r="P2013">
        <v>22.5</v>
      </c>
      <c r="Q2013">
        <v>6.5</v>
      </c>
      <c r="R2013" t="s">
        <v>102</v>
      </c>
      <c r="S2013">
        <v>0</v>
      </c>
      <c r="T2013" s="6">
        <f>10^-(14-Q2013)</f>
        <v>3.1622776601683699E-8</v>
      </c>
      <c r="U2013" s="6">
        <v>0</v>
      </c>
      <c r="V2013" s="6">
        <v>0</v>
      </c>
      <c r="W2013" s="6">
        <v>0</v>
      </c>
      <c r="X2013" s="6">
        <v>0</v>
      </c>
      <c r="Y2013" t="s">
        <v>28</v>
      </c>
      <c r="Z2013" s="5">
        <v>-58</v>
      </c>
      <c r="AA2013" s="3">
        <v>1.16598596249432E-4</v>
      </c>
      <c r="AB2013" s="2">
        <v>0.20634483360084219</v>
      </c>
      <c r="AC2013" s="2">
        <v>7.4781962262354201E-2</v>
      </c>
      <c r="AD2013">
        <v>0.3</v>
      </c>
      <c r="AE2013">
        <v>449.4</v>
      </c>
      <c r="AF2013">
        <v>1</v>
      </c>
      <c r="AL2013" s="9">
        <v>18</v>
      </c>
      <c r="AM2013" s="9">
        <v>8</v>
      </c>
      <c r="AP2013"/>
    </row>
    <row r="2014" spans="1:42" x14ac:dyDescent="0.3">
      <c r="A2014" t="s">
        <v>14</v>
      </c>
      <c r="B2014" t="s">
        <v>1580</v>
      </c>
      <c r="C2014">
        <v>84</v>
      </c>
      <c r="D2014" s="8">
        <v>1.4300999999999999</v>
      </c>
      <c r="E2014">
        <v>1200</v>
      </c>
      <c r="G2014" t="s">
        <v>29</v>
      </c>
      <c r="J2014" s="3">
        <v>24</v>
      </c>
      <c r="K2014" s="4">
        <v>24</v>
      </c>
      <c r="L2014" t="s">
        <v>140</v>
      </c>
      <c r="M2014" t="s">
        <v>28</v>
      </c>
      <c r="N2014" s="3">
        <v>1</v>
      </c>
      <c r="O2014" s="3">
        <v>0</v>
      </c>
      <c r="P2014">
        <v>22.5</v>
      </c>
      <c r="Q2014">
        <v>6.5</v>
      </c>
      <c r="R2014" t="s">
        <v>102</v>
      </c>
      <c r="S2014">
        <v>0</v>
      </c>
      <c r="T2014" s="6">
        <f>10^-(14-Q2014)</f>
        <v>3.1622776601683699E-8</v>
      </c>
      <c r="U2014" s="6">
        <v>0</v>
      </c>
      <c r="V2014" s="6">
        <v>0</v>
      </c>
      <c r="W2014" s="6">
        <v>0</v>
      </c>
      <c r="X2014" s="6">
        <v>0</v>
      </c>
      <c r="Y2014" t="s">
        <v>28</v>
      </c>
      <c r="Z2014" s="5">
        <v>-40.9</v>
      </c>
      <c r="AA2014" s="3">
        <v>1.013568407397618E-4</v>
      </c>
      <c r="AB2014" s="2">
        <v>0.25607161071033402</v>
      </c>
      <c r="AC2014" s="2">
        <v>6.149951377164975E-2</v>
      </c>
      <c r="AD2014">
        <v>0.3</v>
      </c>
      <c r="AE2014">
        <v>401.1</v>
      </c>
      <c r="AF2014">
        <v>1</v>
      </c>
      <c r="AL2014" s="9">
        <v>18</v>
      </c>
      <c r="AM2014" s="9">
        <v>8</v>
      </c>
      <c r="AP2014"/>
    </row>
    <row r="2015" spans="1:42" x14ac:dyDescent="0.3">
      <c r="A2015" t="s">
        <v>15</v>
      </c>
      <c r="B2015" t="s">
        <v>1580</v>
      </c>
      <c r="C2015">
        <v>84</v>
      </c>
      <c r="D2015" s="8">
        <v>1.4300999999999999</v>
      </c>
      <c r="E2015">
        <v>1200</v>
      </c>
      <c r="G2015" t="s">
        <v>29</v>
      </c>
      <c r="J2015" s="3">
        <v>24</v>
      </c>
      <c r="K2015" s="4">
        <v>24</v>
      </c>
      <c r="L2015" t="s">
        <v>140</v>
      </c>
      <c r="M2015" t="s">
        <v>28</v>
      </c>
      <c r="N2015" s="3">
        <v>1</v>
      </c>
      <c r="O2015" s="3">
        <v>0</v>
      </c>
      <c r="P2015">
        <v>22.5</v>
      </c>
      <c r="Q2015">
        <v>6.5</v>
      </c>
      <c r="R2015" t="s">
        <v>102</v>
      </c>
      <c r="S2015">
        <v>0</v>
      </c>
      <c r="T2015" s="6">
        <f>10^-(14-Q2015)</f>
        <v>3.1622776601683699E-8</v>
      </c>
      <c r="U2015" s="6">
        <v>0</v>
      </c>
      <c r="V2015" s="6">
        <v>0</v>
      </c>
      <c r="W2015" s="6">
        <v>0</v>
      </c>
      <c r="X2015" s="6">
        <v>0</v>
      </c>
      <c r="Y2015" t="s">
        <v>28</v>
      </c>
      <c r="Z2015" s="5">
        <v>-48.5</v>
      </c>
      <c r="AA2015" s="3">
        <v>1.0515625766527291E-4</v>
      </c>
      <c r="AB2015" s="2">
        <v>0.19365949327097254</v>
      </c>
      <c r="AC2015" s="2">
        <v>7.1627851589663116E-2</v>
      </c>
      <c r="AD2015">
        <v>0.3</v>
      </c>
      <c r="AE2015">
        <v>427.3</v>
      </c>
      <c r="AF2015">
        <v>1</v>
      </c>
      <c r="AL2015" s="9">
        <v>18</v>
      </c>
      <c r="AM2015" s="9">
        <v>8</v>
      </c>
      <c r="AP2015"/>
    </row>
    <row r="2016" spans="1:42" x14ac:dyDescent="0.3">
      <c r="A2016" t="s">
        <v>16</v>
      </c>
      <c r="B2016" t="s">
        <v>1580</v>
      </c>
      <c r="C2016">
        <v>84</v>
      </c>
      <c r="D2016" s="8">
        <v>1.4300999999999999</v>
      </c>
      <c r="E2016">
        <v>1200</v>
      </c>
      <c r="G2016" t="s">
        <v>31</v>
      </c>
      <c r="H2016">
        <v>-1.2</v>
      </c>
      <c r="I2016" s="4">
        <v>1</v>
      </c>
      <c r="J2016" s="3">
        <v>0.5</v>
      </c>
      <c r="K2016" s="4">
        <v>1</v>
      </c>
      <c r="L2016" t="s">
        <v>140</v>
      </c>
      <c r="M2016" t="s">
        <v>28</v>
      </c>
      <c r="N2016" s="3">
        <v>1</v>
      </c>
      <c r="O2016" s="3">
        <v>0</v>
      </c>
      <c r="P2016">
        <v>22.5</v>
      </c>
      <c r="Q2016">
        <v>6.5</v>
      </c>
      <c r="R2016" t="s">
        <v>102</v>
      </c>
      <c r="S2016">
        <v>0</v>
      </c>
      <c r="T2016" s="6">
        <f>10^-(14-Q2016)</f>
        <v>3.1622776601683699E-8</v>
      </c>
      <c r="U2016" s="6">
        <v>0</v>
      </c>
      <c r="V2016" s="6">
        <v>0</v>
      </c>
      <c r="W2016" s="6">
        <v>0</v>
      </c>
      <c r="X2016" s="6">
        <v>0</v>
      </c>
      <c r="Y2016" t="s">
        <v>28</v>
      </c>
      <c r="Z2016" s="5">
        <v>-93.5</v>
      </c>
      <c r="AA2016" s="3">
        <v>5.5054603272802045E-4</v>
      </c>
      <c r="AB2016" s="2">
        <v>0.24007125300947707</v>
      </c>
      <c r="AC2016" s="2">
        <v>0.10098596429732558</v>
      </c>
      <c r="AD2016">
        <v>0.3</v>
      </c>
      <c r="AE2016">
        <v>442.5</v>
      </c>
      <c r="AF2016">
        <v>1</v>
      </c>
      <c r="AL2016" s="9">
        <v>18</v>
      </c>
      <c r="AM2016" s="9">
        <v>8</v>
      </c>
      <c r="AP2016"/>
    </row>
    <row r="2017" spans="1:42" x14ac:dyDescent="0.3">
      <c r="A2017" t="s">
        <v>17</v>
      </c>
      <c r="B2017" t="s">
        <v>1580</v>
      </c>
      <c r="C2017">
        <v>84</v>
      </c>
      <c r="D2017" s="8">
        <v>1.4300999999999999</v>
      </c>
      <c r="E2017">
        <v>1200</v>
      </c>
      <c r="G2017" t="s">
        <v>31</v>
      </c>
      <c r="H2017">
        <v>-1.2</v>
      </c>
      <c r="I2017" s="4">
        <v>1</v>
      </c>
      <c r="J2017" s="3">
        <v>0.5</v>
      </c>
      <c r="K2017" s="4">
        <v>1</v>
      </c>
      <c r="L2017" t="s">
        <v>140</v>
      </c>
      <c r="M2017" t="s">
        <v>28</v>
      </c>
      <c r="N2017" s="3">
        <v>1</v>
      </c>
      <c r="O2017" s="3">
        <v>0</v>
      </c>
      <c r="P2017">
        <v>22.5</v>
      </c>
      <c r="Q2017">
        <v>6.5</v>
      </c>
      <c r="R2017" t="s">
        <v>102</v>
      </c>
      <c r="S2017">
        <v>0</v>
      </c>
      <c r="T2017" s="6">
        <f>10^-(14-Q2017)</f>
        <v>3.1622776601683699E-8</v>
      </c>
      <c r="U2017" s="6">
        <v>0</v>
      </c>
      <c r="V2017" s="6">
        <v>0</v>
      </c>
      <c r="W2017" s="6">
        <v>0</v>
      </c>
      <c r="X2017" s="6">
        <v>0</v>
      </c>
      <c r="Y2017" t="s">
        <v>28</v>
      </c>
      <c r="Z2017" s="5">
        <v>-191</v>
      </c>
      <c r="AA2017" s="3">
        <v>3.4751142671969566E-4</v>
      </c>
      <c r="AB2017" s="2">
        <v>0.15892183499865647</v>
      </c>
      <c r="AC2017" s="2">
        <v>6.7148860708305252E-2</v>
      </c>
      <c r="AD2017">
        <v>0.3</v>
      </c>
      <c r="AE2017">
        <v>558.70000000000005</v>
      </c>
      <c r="AF2017">
        <v>1</v>
      </c>
      <c r="AL2017" s="9">
        <v>18</v>
      </c>
      <c r="AM2017" s="9">
        <v>8</v>
      </c>
      <c r="AP2017"/>
    </row>
    <row r="2018" spans="1:42" x14ac:dyDescent="0.3">
      <c r="A2018" t="s">
        <v>18</v>
      </c>
      <c r="B2018" t="s">
        <v>1580</v>
      </c>
      <c r="C2018">
        <v>84</v>
      </c>
      <c r="D2018" s="8">
        <v>1.4300999999999999</v>
      </c>
      <c r="E2018">
        <v>1200</v>
      </c>
      <c r="G2018" t="s">
        <v>31</v>
      </c>
      <c r="H2018">
        <v>-1.2</v>
      </c>
      <c r="I2018" s="4">
        <v>1</v>
      </c>
      <c r="J2018" s="3">
        <v>0.5</v>
      </c>
      <c r="K2018" s="4">
        <v>1</v>
      </c>
      <c r="L2018" t="s">
        <v>140</v>
      </c>
      <c r="M2018" t="s">
        <v>28</v>
      </c>
      <c r="N2018" s="3">
        <v>1</v>
      </c>
      <c r="O2018" s="3">
        <v>0</v>
      </c>
      <c r="P2018">
        <v>22.5</v>
      </c>
      <c r="Q2018">
        <v>6.5</v>
      </c>
      <c r="R2018" t="s">
        <v>102</v>
      </c>
      <c r="S2018">
        <v>0</v>
      </c>
      <c r="T2018" s="6">
        <f>10^-(14-Q2018)</f>
        <v>3.1622776601683699E-8</v>
      </c>
      <c r="U2018" s="6">
        <v>0</v>
      </c>
      <c r="V2018" s="6">
        <v>0</v>
      </c>
      <c r="W2018" s="6">
        <v>0</v>
      </c>
      <c r="X2018" s="6">
        <v>0</v>
      </c>
      <c r="Y2018" t="s">
        <v>28</v>
      </c>
      <c r="Z2018" s="5">
        <v>56</v>
      </c>
      <c r="AA2018" s="3">
        <v>8.6913869528783665E-5</v>
      </c>
      <c r="AB2018" s="2">
        <v>0.25997122633180469</v>
      </c>
      <c r="AC2018" s="2">
        <v>0.15253903514809655</v>
      </c>
      <c r="AD2018">
        <v>0.3</v>
      </c>
      <c r="AE2018">
        <v>651.9</v>
      </c>
      <c r="AF2018">
        <v>1</v>
      </c>
      <c r="AL2018" s="9">
        <v>18</v>
      </c>
      <c r="AM2018" s="9">
        <v>8</v>
      </c>
      <c r="AP2018"/>
    </row>
    <row r="2019" spans="1:42" x14ac:dyDescent="0.3">
      <c r="A2019" t="s">
        <v>19</v>
      </c>
      <c r="B2019" t="s">
        <v>1580</v>
      </c>
      <c r="C2019">
        <v>84</v>
      </c>
      <c r="D2019" s="8">
        <v>1.4300999999999999</v>
      </c>
      <c r="E2019">
        <v>1200</v>
      </c>
      <c r="G2019" t="s">
        <v>31</v>
      </c>
      <c r="H2019">
        <v>-1.2</v>
      </c>
      <c r="I2019" s="4">
        <v>1</v>
      </c>
      <c r="J2019" s="3">
        <v>0.5</v>
      </c>
      <c r="K2019" s="4">
        <v>24</v>
      </c>
      <c r="L2019" t="s">
        <v>140</v>
      </c>
      <c r="M2019" t="s">
        <v>28</v>
      </c>
      <c r="N2019" s="3">
        <v>1</v>
      </c>
      <c r="O2019" s="3">
        <v>0</v>
      </c>
      <c r="P2019">
        <v>22.5</v>
      </c>
      <c r="Q2019">
        <v>6.5</v>
      </c>
      <c r="R2019" t="s">
        <v>102</v>
      </c>
      <c r="S2019">
        <v>0</v>
      </c>
      <c r="T2019" s="6">
        <f>10^-(14-Q2019)</f>
        <v>3.1622776601683699E-8</v>
      </c>
      <c r="U2019" s="6">
        <v>0</v>
      </c>
      <c r="V2019" s="6">
        <v>0</v>
      </c>
      <c r="W2019" s="6">
        <v>0</v>
      </c>
      <c r="X2019" s="6">
        <v>0</v>
      </c>
      <c r="Y2019" t="s">
        <v>28</v>
      </c>
      <c r="Z2019" s="5">
        <v>16.899999999999999</v>
      </c>
      <c r="AA2019" s="3">
        <v>4.3234549949885097E-5</v>
      </c>
      <c r="AB2019" s="2">
        <v>0.13003813069858333</v>
      </c>
      <c r="AC2019" s="2">
        <v>5.0471564773408542E-2</v>
      </c>
      <c r="AD2019">
        <v>0.3</v>
      </c>
      <c r="AE2019">
        <v>665.5</v>
      </c>
      <c r="AF2019">
        <v>1</v>
      </c>
      <c r="AL2019" s="9">
        <v>18</v>
      </c>
      <c r="AM2019" s="9">
        <v>8</v>
      </c>
      <c r="AP2019"/>
    </row>
    <row r="2020" spans="1:42" x14ac:dyDescent="0.3">
      <c r="A2020" t="s">
        <v>33</v>
      </c>
      <c r="B2020" t="s">
        <v>1580</v>
      </c>
      <c r="C2020">
        <v>84</v>
      </c>
      <c r="D2020" s="8">
        <v>1.4300999999999999</v>
      </c>
      <c r="E2020">
        <v>1200</v>
      </c>
      <c r="G2020" t="s">
        <v>31</v>
      </c>
      <c r="H2020">
        <v>-1.2</v>
      </c>
      <c r="I2020" s="4">
        <v>1</v>
      </c>
      <c r="J2020" s="3">
        <v>0.5</v>
      </c>
      <c r="K2020" s="4">
        <v>0.16666666666666666</v>
      </c>
      <c r="L2020" t="s">
        <v>140</v>
      </c>
      <c r="M2020" t="s">
        <v>28</v>
      </c>
      <c r="N2020" s="3">
        <v>1</v>
      </c>
      <c r="O2020" s="3">
        <v>0</v>
      </c>
      <c r="P2020">
        <v>22.5</v>
      </c>
      <c r="Q2020">
        <v>6.5</v>
      </c>
      <c r="R2020" t="s">
        <v>102</v>
      </c>
      <c r="S2020">
        <v>0</v>
      </c>
      <c r="T2020" s="6">
        <f>10^-(14-Q2020)</f>
        <v>3.1622776601683699E-8</v>
      </c>
      <c r="U2020" s="6">
        <v>0</v>
      </c>
      <c r="V2020" s="6">
        <v>0</v>
      </c>
      <c r="W2020" s="6">
        <v>0</v>
      </c>
      <c r="X2020" s="6">
        <v>0</v>
      </c>
      <c r="Y2020" t="s">
        <v>28</v>
      </c>
      <c r="Z2020" s="5">
        <v>55.8</v>
      </c>
      <c r="AA2020" s="3">
        <v>1.07E-4</v>
      </c>
      <c r="AB2020" s="2">
        <v>0.19159999999999999</v>
      </c>
      <c r="AC2020" s="2">
        <v>8.6499999999999994E-2</v>
      </c>
      <c r="AD2020">
        <v>0.3</v>
      </c>
      <c r="AE2020">
        <v>653.70000000000005</v>
      </c>
      <c r="AF2020">
        <v>1</v>
      </c>
      <c r="AL2020" s="9">
        <v>18</v>
      </c>
      <c r="AM2020" s="9">
        <v>8</v>
      </c>
      <c r="AP2020"/>
    </row>
    <row r="2021" spans="1:42" x14ac:dyDescent="0.3">
      <c r="A2021" t="s">
        <v>20</v>
      </c>
      <c r="B2021" t="s">
        <v>1580</v>
      </c>
      <c r="C2021">
        <v>84</v>
      </c>
      <c r="D2021" s="8">
        <v>1.4300999999999999</v>
      </c>
      <c r="E2021">
        <v>1200</v>
      </c>
      <c r="G2021" t="s">
        <v>31</v>
      </c>
      <c r="H2021">
        <v>-1.2</v>
      </c>
      <c r="I2021" s="4">
        <v>1</v>
      </c>
      <c r="J2021" s="3">
        <v>0.5</v>
      </c>
      <c r="K2021" s="4">
        <v>0.16666666666666666</v>
      </c>
      <c r="L2021" t="s">
        <v>140</v>
      </c>
      <c r="M2021" t="s">
        <v>28</v>
      </c>
      <c r="N2021" s="3">
        <v>1</v>
      </c>
      <c r="O2021" s="3">
        <v>0</v>
      </c>
      <c r="P2021">
        <v>22.5</v>
      </c>
      <c r="Q2021">
        <v>6.5</v>
      </c>
      <c r="R2021" t="s">
        <v>102</v>
      </c>
      <c r="S2021">
        <v>0</v>
      </c>
      <c r="T2021" s="6">
        <f>10^-(14-Q2021)</f>
        <v>3.1622776601683699E-8</v>
      </c>
      <c r="U2021" s="6">
        <v>0</v>
      </c>
      <c r="V2021" s="6">
        <v>0</v>
      </c>
      <c r="W2021" s="6">
        <v>0</v>
      </c>
      <c r="X2021" s="6">
        <v>0</v>
      </c>
      <c r="Y2021" t="s">
        <v>28</v>
      </c>
      <c r="Z2021" s="5">
        <v>-150</v>
      </c>
      <c r="AA2021" s="3">
        <v>7.0326587142330608E-5</v>
      </c>
      <c r="AB2021" s="2">
        <v>0.15404044408650078</v>
      </c>
      <c r="AC2021" s="2">
        <v>7.0482157641905505E-2</v>
      </c>
      <c r="AD2021">
        <v>0.3</v>
      </c>
      <c r="AE2021">
        <v>869.5</v>
      </c>
      <c r="AF2021">
        <v>1</v>
      </c>
      <c r="AL2021" s="9">
        <v>18</v>
      </c>
      <c r="AM2021" s="9">
        <v>8</v>
      </c>
      <c r="AP2021"/>
    </row>
    <row r="2022" spans="1:42" x14ac:dyDescent="0.3">
      <c r="A2022" t="s">
        <v>21</v>
      </c>
      <c r="B2022" t="s">
        <v>1580</v>
      </c>
      <c r="C2022">
        <v>84</v>
      </c>
      <c r="D2022" s="8">
        <v>1.4300999999999999</v>
      </c>
      <c r="E2022">
        <v>1200</v>
      </c>
      <c r="G2022" t="s">
        <v>31</v>
      </c>
      <c r="H2022">
        <v>-1.2</v>
      </c>
      <c r="I2022" s="4">
        <v>1</v>
      </c>
      <c r="J2022" s="3">
        <v>0.5</v>
      </c>
      <c r="K2022" s="4">
        <v>0.16666666666666666</v>
      </c>
      <c r="L2022" t="s">
        <v>140</v>
      </c>
      <c r="M2022" t="s">
        <v>28</v>
      </c>
      <c r="N2022" s="3">
        <v>1</v>
      </c>
      <c r="O2022" s="3">
        <v>0</v>
      </c>
      <c r="P2022">
        <v>22.5</v>
      </c>
      <c r="Q2022">
        <v>6.5</v>
      </c>
      <c r="R2022" t="s">
        <v>102</v>
      </c>
      <c r="S2022">
        <v>0</v>
      </c>
      <c r="T2022" s="6">
        <f>10^-(14-Q2022)</f>
        <v>3.1622776601683699E-8</v>
      </c>
      <c r="U2022" s="6">
        <v>0</v>
      </c>
      <c r="V2022" s="6">
        <v>0</v>
      </c>
      <c r="W2022" s="6">
        <v>0</v>
      </c>
      <c r="X2022" s="6">
        <v>0</v>
      </c>
      <c r="Y2022" t="s">
        <v>28</v>
      </c>
      <c r="Z2022" s="5">
        <v>-177</v>
      </c>
      <c r="AA2022" s="3">
        <v>5.4109920787937373E-4</v>
      </c>
      <c r="AB2022" s="2">
        <v>0.1789217412922372</v>
      </c>
      <c r="AC2022" s="2">
        <v>6.9282431710335185E-2</v>
      </c>
      <c r="AD2022">
        <v>0.3</v>
      </c>
      <c r="AE2022">
        <v>446.8</v>
      </c>
      <c r="AF2022">
        <v>1</v>
      </c>
      <c r="AL2022" s="9">
        <v>18</v>
      </c>
      <c r="AM2022" s="9">
        <v>8</v>
      </c>
      <c r="AP2022"/>
    </row>
    <row r="2023" spans="1:42" x14ac:dyDescent="0.3">
      <c r="A2023" t="s">
        <v>22</v>
      </c>
      <c r="B2023" t="s">
        <v>1580</v>
      </c>
      <c r="C2023">
        <v>84</v>
      </c>
      <c r="D2023" s="8">
        <v>1.4300999999999999</v>
      </c>
      <c r="E2023">
        <v>1200</v>
      </c>
      <c r="G2023" t="s">
        <v>31</v>
      </c>
      <c r="H2023">
        <v>-1.2</v>
      </c>
      <c r="I2023" s="4">
        <v>1</v>
      </c>
      <c r="J2023" s="3">
        <v>0.5</v>
      </c>
      <c r="K2023" s="4">
        <v>0.16666666666666666</v>
      </c>
      <c r="L2023" t="s">
        <v>140</v>
      </c>
      <c r="M2023" t="s">
        <v>28</v>
      </c>
      <c r="N2023" s="3">
        <v>1</v>
      </c>
      <c r="O2023" s="3">
        <v>0</v>
      </c>
      <c r="P2023">
        <v>22.5</v>
      </c>
      <c r="Q2023">
        <v>6.5</v>
      </c>
      <c r="R2023" t="s">
        <v>102</v>
      </c>
      <c r="S2023">
        <v>0</v>
      </c>
      <c r="T2023" s="6">
        <f>10^-(14-Q2023)</f>
        <v>3.1622776601683699E-8</v>
      </c>
      <c r="U2023" s="6">
        <v>0</v>
      </c>
      <c r="V2023" s="6">
        <v>0</v>
      </c>
      <c r="W2023" s="6">
        <v>0</v>
      </c>
      <c r="X2023" s="6">
        <v>0</v>
      </c>
      <c r="Y2023" t="s">
        <v>28</v>
      </c>
      <c r="Z2023" s="5">
        <v>-150</v>
      </c>
      <c r="AA2023" s="3">
        <v>3.4219407292541314E-4</v>
      </c>
      <c r="AB2023" s="2">
        <v>0.18221421776924474</v>
      </c>
      <c r="AC2023" s="2">
        <v>6.8916608205554244E-2</v>
      </c>
      <c r="AD2023">
        <v>0.3</v>
      </c>
      <c r="AE2023">
        <v>448.5</v>
      </c>
      <c r="AF2023">
        <v>1</v>
      </c>
      <c r="AL2023" s="9">
        <v>18</v>
      </c>
      <c r="AM2023" s="9">
        <v>8</v>
      </c>
      <c r="AP2023"/>
    </row>
    <row r="2024" spans="1:42" x14ac:dyDescent="0.3">
      <c r="A2024" t="s">
        <v>161</v>
      </c>
      <c r="B2024" t="s">
        <v>1580</v>
      </c>
      <c r="C2024">
        <v>84</v>
      </c>
      <c r="D2024" s="8" t="s">
        <v>1733</v>
      </c>
      <c r="E2024">
        <v>1200</v>
      </c>
      <c r="G2024" t="s">
        <v>32</v>
      </c>
      <c r="H2024">
        <v>1.5</v>
      </c>
      <c r="I2024" s="4">
        <v>0.62</v>
      </c>
      <c r="J2024" s="3">
        <f>1/3</f>
        <v>0.33333333333333331</v>
      </c>
      <c r="L2024" t="s">
        <v>140</v>
      </c>
      <c r="M2024" t="s">
        <v>28</v>
      </c>
      <c r="N2024" s="3">
        <v>1</v>
      </c>
      <c r="O2024" s="3">
        <v>0</v>
      </c>
      <c r="P2024">
        <v>22.5</v>
      </c>
      <c r="Q2024">
        <v>6.5</v>
      </c>
      <c r="R2024" t="s">
        <v>102</v>
      </c>
      <c r="S2024">
        <v>0</v>
      </c>
      <c r="T2024" s="6">
        <f>10^-(14-Q2024)</f>
        <v>3.1622776601683699E-8</v>
      </c>
      <c r="U2024" s="6">
        <v>0</v>
      </c>
      <c r="V2024" s="6">
        <v>0</v>
      </c>
      <c r="W2024" s="6">
        <v>0</v>
      </c>
      <c r="X2024" s="6">
        <v>0</v>
      </c>
      <c r="Y2024" t="s">
        <v>28</v>
      </c>
      <c r="Z2024" s="5">
        <v>-133</v>
      </c>
      <c r="AA2024" s="3">
        <v>2.4660000000000001E-5</v>
      </c>
      <c r="AB2024" s="2">
        <v>0.20960000000000001</v>
      </c>
      <c r="AC2024" s="2">
        <v>0.1037</v>
      </c>
      <c r="AD2024">
        <v>0.3</v>
      </c>
      <c r="AE2024">
        <v>1000</v>
      </c>
      <c r="AF2024">
        <v>2</v>
      </c>
      <c r="AL2024" s="9">
        <v>18.5</v>
      </c>
      <c r="AM2024" s="9">
        <v>14</v>
      </c>
      <c r="AN2024" s="9">
        <v>3.5</v>
      </c>
      <c r="AP2024"/>
    </row>
    <row r="2025" spans="1:42" x14ac:dyDescent="0.3">
      <c r="A2025" t="s">
        <v>162</v>
      </c>
      <c r="B2025" t="s">
        <v>1580</v>
      </c>
      <c r="C2025">
        <v>84</v>
      </c>
      <c r="D2025" s="8" t="s">
        <v>1733</v>
      </c>
      <c r="E2025">
        <v>1200</v>
      </c>
      <c r="G2025" t="s">
        <v>32</v>
      </c>
      <c r="H2025">
        <v>1.5</v>
      </c>
      <c r="I2025" s="4">
        <v>0.62</v>
      </c>
      <c r="J2025" s="3">
        <f>1/3</f>
        <v>0.33333333333333331</v>
      </c>
      <c r="L2025" t="s">
        <v>140</v>
      </c>
      <c r="M2025" t="s">
        <v>28</v>
      </c>
      <c r="N2025" s="3">
        <v>1</v>
      </c>
      <c r="O2025" s="3">
        <v>0</v>
      </c>
      <c r="P2025">
        <v>22.5</v>
      </c>
      <c r="Q2025">
        <v>6.5</v>
      </c>
      <c r="R2025" t="s">
        <v>102</v>
      </c>
      <c r="S2025">
        <v>0</v>
      </c>
      <c r="T2025" s="6">
        <f>10^-(14-Q2025)</f>
        <v>3.1622776601683699E-8</v>
      </c>
      <c r="U2025" s="6">
        <v>0</v>
      </c>
      <c r="V2025" s="6">
        <v>0</v>
      </c>
      <c r="W2025" s="6">
        <v>0</v>
      </c>
      <c r="X2025" s="6">
        <v>0</v>
      </c>
      <c r="Y2025" t="s">
        <v>28</v>
      </c>
      <c r="Z2025" s="5">
        <v>-70.099999999999994</v>
      </c>
      <c r="AA2025" s="3">
        <v>1.6049999999999997E-5</v>
      </c>
      <c r="AB2025" s="2">
        <v>0.21590000000000001</v>
      </c>
      <c r="AC2025" s="2">
        <v>0.1062</v>
      </c>
      <c r="AD2025">
        <v>0.3</v>
      </c>
      <c r="AE2025">
        <v>1000</v>
      </c>
      <c r="AF2025">
        <v>2</v>
      </c>
      <c r="AL2025" s="9">
        <v>18.5</v>
      </c>
      <c r="AM2025" s="9">
        <v>14</v>
      </c>
      <c r="AN2025" s="9">
        <v>3.5</v>
      </c>
      <c r="AP2025"/>
    </row>
    <row r="2026" spans="1:42" x14ac:dyDescent="0.3">
      <c r="A2026" t="s">
        <v>164</v>
      </c>
      <c r="B2026" t="s">
        <v>1580</v>
      </c>
      <c r="C2026">
        <v>84</v>
      </c>
      <c r="D2026" s="8" t="s">
        <v>1733</v>
      </c>
      <c r="E2026">
        <v>1200</v>
      </c>
      <c r="G2026" t="s">
        <v>32</v>
      </c>
      <c r="H2026">
        <v>1.5</v>
      </c>
      <c r="I2026" s="4">
        <v>0.62</v>
      </c>
      <c r="J2026" s="3">
        <f>1/3</f>
        <v>0.33333333333333331</v>
      </c>
      <c r="L2026" t="s">
        <v>140</v>
      </c>
      <c r="M2026" t="s">
        <v>28</v>
      </c>
      <c r="N2026" s="3">
        <v>1</v>
      </c>
      <c r="O2026" s="3">
        <v>0</v>
      </c>
      <c r="P2026">
        <v>22.5</v>
      </c>
      <c r="Q2026">
        <v>6.5</v>
      </c>
      <c r="R2026" t="s">
        <v>102</v>
      </c>
      <c r="S2026">
        <v>0</v>
      </c>
      <c r="T2026" s="6">
        <f>10^-(14-Q2026)</f>
        <v>3.1622776601683699E-8</v>
      </c>
      <c r="U2026" s="6">
        <v>0</v>
      </c>
      <c r="V2026" s="6">
        <v>0</v>
      </c>
      <c r="W2026" s="6">
        <v>0</v>
      </c>
      <c r="X2026" s="6">
        <v>0</v>
      </c>
      <c r="Y2026" t="s">
        <v>28</v>
      </c>
      <c r="Z2026" s="5">
        <v>-100</v>
      </c>
      <c r="AA2026" s="3">
        <v>3.0200000000000002E-5</v>
      </c>
      <c r="AB2026" s="2">
        <v>0.18429999999999999</v>
      </c>
      <c r="AC2026" s="2">
        <v>0.1109</v>
      </c>
      <c r="AD2026">
        <v>0.3</v>
      </c>
      <c r="AE2026">
        <v>1000</v>
      </c>
      <c r="AF2026">
        <v>2</v>
      </c>
      <c r="AL2026" s="9">
        <v>18.5</v>
      </c>
      <c r="AM2026" s="9">
        <v>14</v>
      </c>
      <c r="AN2026" s="9">
        <v>3.5</v>
      </c>
      <c r="AP2026"/>
    </row>
    <row r="2027" spans="1:42" x14ac:dyDescent="0.3">
      <c r="A2027" t="s">
        <v>156</v>
      </c>
      <c r="B2027" t="s">
        <v>1580</v>
      </c>
      <c r="C2027">
        <v>84</v>
      </c>
      <c r="D2027" s="8" t="s">
        <v>167</v>
      </c>
      <c r="E2027">
        <v>1200</v>
      </c>
      <c r="G2027" t="s">
        <v>29</v>
      </c>
      <c r="H2027" t="s">
        <v>987</v>
      </c>
      <c r="J2027" s="3">
        <v>6</v>
      </c>
      <c r="L2027" t="s">
        <v>140</v>
      </c>
      <c r="M2027" t="s">
        <v>28</v>
      </c>
      <c r="N2027" s="3">
        <v>1</v>
      </c>
      <c r="O2027" s="3">
        <v>0</v>
      </c>
      <c r="P2027">
        <v>22.5</v>
      </c>
      <c r="Q2027">
        <v>6.5</v>
      </c>
      <c r="R2027" t="s">
        <v>102</v>
      </c>
      <c r="S2027">
        <v>0</v>
      </c>
      <c r="T2027" s="6">
        <f>10^-(14-Q2027)</f>
        <v>3.1622776601683699E-8</v>
      </c>
      <c r="U2027" s="6">
        <v>0</v>
      </c>
      <c r="V2027" s="6">
        <v>0</v>
      </c>
      <c r="W2027" s="6">
        <v>0</v>
      </c>
      <c r="X2027" s="6">
        <v>0</v>
      </c>
      <c r="Y2027" t="s">
        <v>28</v>
      </c>
      <c r="Z2027" s="5">
        <v>-216</v>
      </c>
      <c r="AA2027" s="3">
        <v>1.0919999999999999E-5</v>
      </c>
      <c r="AB2027" s="2">
        <v>0.1497</v>
      </c>
      <c r="AC2027" s="2">
        <v>7.6799999999999993E-2</v>
      </c>
      <c r="AD2027">
        <v>0.3</v>
      </c>
      <c r="AE2027">
        <v>1000</v>
      </c>
      <c r="AF2027">
        <v>2</v>
      </c>
      <c r="AG2027" s="9">
        <v>1.6E-2</v>
      </c>
      <c r="AH2027" s="9">
        <v>0.53</v>
      </c>
      <c r="AI2027" s="9">
        <v>2.8000000000000001E-2</v>
      </c>
      <c r="AJ2027" s="9">
        <v>0.37</v>
      </c>
      <c r="AK2027" s="9">
        <v>1E-4</v>
      </c>
      <c r="AL2027" s="9">
        <v>20.59</v>
      </c>
      <c r="AM2027" s="9">
        <v>23.66</v>
      </c>
      <c r="AN2027" s="9">
        <v>6.09</v>
      </c>
      <c r="AO2027" s="9">
        <v>0.21</v>
      </c>
      <c r="AP2027"/>
    </row>
    <row r="2028" spans="1:42" x14ac:dyDescent="0.3">
      <c r="A2028" t="s">
        <v>157</v>
      </c>
      <c r="B2028" t="s">
        <v>1580</v>
      </c>
      <c r="C2028">
        <v>84</v>
      </c>
      <c r="D2028" s="8" t="s">
        <v>167</v>
      </c>
      <c r="E2028">
        <v>1200</v>
      </c>
      <c r="G2028" t="s">
        <v>29</v>
      </c>
      <c r="H2028" t="s">
        <v>987</v>
      </c>
      <c r="J2028" s="3">
        <v>6</v>
      </c>
      <c r="L2028" t="s">
        <v>140</v>
      </c>
      <c r="M2028" t="s">
        <v>28</v>
      </c>
      <c r="N2028" s="3">
        <v>5</v>
      </c>
      <c r="O2028" s="3">
        <v>0</v>
      </c>
      <c r="P2028">
        <v>22.5</v>
      </c>
      <c r="Q2028">
        <v>6.5</v>
      </c>
      <c r="R2028" t="s">
        <v>102</v>
      </c>
      <c r="S2028">
        <v>0</v>
      </c>
      <c r="T2028" s="6">
        <f>10^-(14-Q2028)</f>
        <v>3.1622776601683699E-8</v>
      </c>
      <c r="U2028" s="6">
        <v>0</v>
      </c>
      <c r="V2028" s="6">
        <v>0</v>
      </c>
      <c r="W2028" s="6">
        <v>0</v>
      </c>
      <c r="X2028" s="6">
        <v>0</v>
      </c>
      <c r="Y2028" t="s">
        <v>28</v>
      </c>
      <c r="Z2028" s="5">
        <v>-62.8</v>
      </c>
      <c r="AA2028" s="3">
        <v>1.668E-5</v>
      </c>
      <c r="AB2028" s="2">
        <v>0.2233</v>
      </c>
      <c r="AC2028" s="2">
        <v>7.7499999999999999E-2</v>
      </c>
      <c r="AD2028">
        <v>0.3</v>
      </c>
      <c r="AE2028">
        <v>1000</v>
      </c>
      <c r="AF2028">
        <v>2</v>
      </c>
      <c r="AG2028" s="9">
        <v>1.6E-2</v>
      </c>
      <c r="AH2028" s="9">
        <v>0.53</v>
      </c>
      <c r="AI2028" s="9">
        <v>2.8000000000000001E-2</v>
      </c>
      <c r="AJ2028" s="9">
        <v>0.37</v>
      </c>
      <c r="AK2028" s="9">
        <v>1E-4</v>
      </c>
      <c r="AL2028" s="9">
        <v>20.59</v>
      </c>
      <c r="AM2028" s="9">
        <v>23.66</v>
      </c>
      <c r="AN2028" s="9">
        <v>6.09</v>
      </c>
      <c r="AO2028" s="9">
        <v>0.21</v>
      </c>
      <c r="AP2028"/>
    </row>
    <row r="2029" spans="1:42" x14ac:dyDescent="0.3">
      <c r="A2029" t="s">
        <v>158</v>
      </c>
      <c r="B2029" t="s">
        <v>1580</v>
      </c>
      <c r="C2029">
        <v>84</v>
      </c>
      <c r="D2029" s="8" t="s">
        <v>167</v>
      </c>
      <c r="E2029">
        <v>1200</v>
      </c>
      <c r="G2029" t="s">
        <v>29</v>
      </c>
      <c r="H2029" t="s">
        <v>987</v>
      </c>
      <c r="J2029" s="3">
        <v>6</v>
      </c>
      <c r="L2029" t="s">
        <v>140</v>
      </c>
      <c r="M2029" t="s">
        <v>28</v>
      </c>
      <c r="N2029" s="3">
        <v>5</v>
      </c>
      <c r="O2029" s="3">
        <v>0</v>
      </c>
      <c r="P2029">
        <v>22.5</v>
      </c>
      <c r="Q2029">
        <v>3.5</v>
      </c>
      <c r="R2029" t="s">
        <v>102</v>
      </c>
      <c r="S2029">
        <v>0</v>
      </c>
      <c r="T2029" s="6">
        <f>10^-(14-Q2029)</f>
        <v>3.162277660168371E-11</v>
      </c>
      <c r="U2029" s="6">
        <v>0</v>
      </c>
      <c r="V2029" s="6">
        <v>0</v>
      </c>
      <c r="W2029" s="6">
        <v>0</v>
      </c>
      <c r="X2029" s="6">
        <v>0</v>
      </c>
      <c r="Y2029" t="s">
        <v>28</v>
      </c>
      <c r="Z2029" s="5">
        <v>51.5</v>
      </c>
      <c r="AA2029" s="3">
        <v>4.7500000000000003E-5</v>
      </c>
      <c r="AB2029" s="2">
        <v>0.12659999999999999</v>
      </c>
      <c r="AC2029" s="2">
        <v>0.37</v>
      </c>
      <c r="AD2029">
        <v>0.3</v>
      </c>
      <c r="AE2029">
        <v>1000</v>
      </c>
      <c r="AF2029">
        <v>2</v>
      </c>
      <c r="AG2029" s="9">
        <v>1.6E-2</v>
      </c>
      <c r="AH2029" s="9">
        <v>0.53</v>
      </c>
      <c r="AI2029" s="9">
        <v>2.8000000000000001E-2</v>
      </c>
      <c r="AJ2029" s="9">
        <v>0.37</v>
      </c>
      <c r="AK2029" s="9">
        <v>1E-4</v>
      </c>
      <c r="AL2029" s="9">
        <v>20.59</v>
      </c>
      <c r="AM2029" s="9">
        <v>23.66</v>
      </c>
      <c r="AN2029" s="9">
        <v>6.09</v>
      </c>
      <c r="AO2029" s="9">
        <v>0.21</v>
      </c>
      <c r="AP2029"/>
    </row>
    <row r="2030" spans="1:42" x14ac:dyDescent="0.3">
      <c r="A2030" t="s">
        <v>159</v>
      </c>
      <c r="B2030" t="s">
        <v>1580</v>
      </c>
      <c r="C2030">
        <v>84</v>
      </c>
      <c r="D2030" s="8">
        <v>1.4461999999999999</v>
      </c>
      <c r="E2030">
        <v>1200</v>
      </c>
      <c r="G2030" t="s">
        <v>32</v>
      </c>
      <c r="H2030">
        <v>1.5</v>
      </c>
      <c r="I2030" s="4">
        <v>0.62</v>
      </c>
      <c r="J2030" s="3">
        <f>1/3</f>
        <v>0.33333333333333331</v>
      </c>
      <c r="L2030" t="s">
        <v>140</v>
      </c>
      <c r="M2030" t="s">
        <v>28</v>
      </c>
      <c r="N2030" s="3">
        <v>1</v>
      </c>
      <c r="O2030" s="3">
        <v>0</v>
      </c>
      <c r="P2030">
        <v>22.5</v>
      </c>
      <c r="Q2030">
        <v>6.5</v>
      </c>
      <c r="R2030" t="s">
        <v>102</v>
      </c>
      <c r="S2030">
        <v>0</v>
      </c>
      <c r="T2030" s="6">
        <f>10^-(14-Q2030)</f>
        <v>3.1622776601683699E-8</v>
      </c>
      <c r="U2030" s="6">
        <v>0</v>
      </c>
      <c r="V2030" s="6">
        <v>0</v>
      </c>
      <c r="W2030" s="6">
        <v>0</v>
      </c>
      <c r="X2030" s="6">
        <v>0</v>
      </c>
      <c r="Y2030" t="s">
        <v>28</v>
      </c>
      <c r="Z2030" s="5">
        <v>-67.5</v>
      </c>
      <c r="AA2030" s="3">
        <v>3.2100000000000002E-6</v>
      </c>
      <c r="AB2030" s="2">
        <v>0.19950000000000001</v>
      </c>
      <c r="AC2030" s="2">
        <v>7.0599999999999996E-2</v>
      </c>
      <c r="AD2030">
        <v>0.3</v>
      </c>
      <c r="AE2030">
        <v>1000</v>
      </c>
      <c r="AF2030">
        <v>2</v>
      </c>
      <c r="AG2030" s="9">
        <v>2.1000000000000001E-2</v>
      </c>
      <c r="AH2030" s="9">
        <v>1.37</v>
      </c>
      <c r="AI2030" s="9">
        <v>0.42</v>
      </c>
      <c r="AJ2030" s="9">
        <v>2.7E-2</v>
      </c>
      <c r="AK2030" s="9">
        <v>1E-3</v>
      </c>
      <c r="AL2030" s="9">
        <v>22.7</v>
      </c>
      <c r="AM2030" s="9">
        <v>5.44</v>
      </c>
      <c r="AN2030" s="9">
        <v>3.23</v>
      </c>
      <c r="AO2030" s="9">
        <v>0.154</v>
      </c>
      <c r="AP2030"/>
    </row>
    <row r="2031" spans="1:42" x14ac:dyDescent="0.3">
      <c r="A2031" t="s">
        <v>160</v>
      </c>
      <c r="B2031" t="s">
        <v>1580</v>
      </c>
      <c r="C2031">
        <v>84</v>
      </c>
      <c r="D2031" s="8">
        <v>1.4461999999999999</v>
      </c>
      <c r="E2031">
        <v>1200</v>
      </c>
      <c r="G2031" t="s">
        <v>32</v>
      </c>
      <c r="H2031">
        <v>1.5</v>
      </c>
      <c r="I2031" s="4">
        <v>0.62</v>
      </c>
      <c r="J2031" s="3">
        <f>1/3</f>
        <v>0.33333333333333331</v>
      </c>
      <c r="L2031" t="s">
        <v>140</v>
      </c>
      <c r="M2031" t="s">
        <v>28</v>
      </c>
      <c r="N2031" s="3">
        <v>1</v>
      </c>
      <c r="O2031" s="3">
        <v>0</v>
      </c>
      <c r="P2031">
        <v>22.5</v>
      </c>
      <c r="Q2031">
        <v>6.5</v>
      </c>
      <c r="R2031" t="s">
        <v>102</v>
      </c>
      <c r="S2031">
        <v>0</v>
      </c>
      <c r="T2031" s="6">
        <f>10^-(14-Q2031)</f>
        <v>3.1622776601683699E-8</v>
      </c>
      <c r="U2031" s="6">
        <v>0</v>
      </c>
      <c r="V2031" s="6">
        <v>0</v>
      </c>
      <c r="W2031" s="6">
        <v>0</v>
      </c>
      <c r="X2031" s="6">
        <v>0</v>
      </c>
      <c r="Y2031" t="s">
        <v>28</v>
      </c>
      <c r="Z2031" s="5">
        <v>-54.6</v>
      </c>
      <c r="AA2031" s="3">
        <v>3.58E-6</v>
      </c>
      <c r="AB2031" s="2">
        <v>0.22170000000000001</v>
      </c>
      <c r="AC2031" s="2">
        <v>7.1199999999999999E-2</v>
      </c>
      <c r="AD2031">
        <v>0.3</v>
      </c>
      <c r="AE2031">
        <v>1000</v>
      </c>
      <c r="AF2031">
        <v>2</v>
      </c>
      <c r="AG2031" s="9">
        <v>2.1000000000000001E-2</v>
      </c>
      <c r="AH2031" s="9">
        <v>1.37</v>
      </c>
      <c r="AI2031" s="9">
        <v>0.42</v>
      </c>
      <c r="AJ2031" s="9">
        <v>2.7E-2</v>
      </c>
      <c r="AK2031" s="9">
        <v>1E-3</v>
      </c>
      <c r="AL2031" s="9">
        <v>22.7</v>
      </c>
      <c r="AM2031" s="9">
        <v>5.44</v>
      </c>
      <c r="AN2031" s="9">
        <v>3.23</v>
      </c>
      <c r="AO2031" s="9">
        <v>0.154</v>
      </c>
      <c r="AP2031"/>
    </row>
    <row r="2032" spans="1:42" x14ac:dyDescent="0.3">
      <c r="A2032" t="s">
        <v>163</v>
      </c>
      <c r="B2032" t="s">
        <v>1580</v>
      </c>
      <c r="C2032">
        <v>84</v>
      </c>
      <c r="D2032" s="8">
        <v>1.4461999999999999</v>
      </c>
      <c r="E2032">
        <v>1200</v>
      </c>
      <c r="G2032" t="s">
        <v>29</v>
      </c>
      <c r="H2032" t="s">
        <v>987</v>
      </c>
      <c r="J2032" s="3">
        <v>24</v>
      </c>
      <c r="L2032" t="s">
        <v>140</v>
      </c>
      <c r="M2032" t="s">
        <v>28</v>
      </c>
      <c r="N2032" s="3">
        <v>1</v>
      </c>
      <c r="O2032" s="3">
        <v>0</v>
      </c>
      <c r="P2032">
        <v>22.5</v>
      </c>
      <c r="Q2032">
        <v>6.5</v>
      </c>
      <c r="R2032" t="s">
        <v>102</v>
      </c>
      <c r="S2032">
        <v>0</v>
      </c>
      <c r="T2032" s="6">
        <f>10^-(14-Q2032)</f>
        <v>3.1622776601683699E-8</v>
      </c>
      <c r="U2032" s="6">
        <v>0</v>
      </c>
      <c r="V2032" s="6">
        <v>0</v>
      </c>
      <c r="W2032" s="6">
        <v>0</v>
      </c>
      <c r="X2032" s="6">
        <v>0</v>
      </c>
      <c r="Y2032" t="s">
        <v>28</v>
      </c>
      <c r="Z2032" s="5">
        <v>-39.799999999999997</v>
      </c>
      <c r="AA2032" s="3">
        <v>4.3559999999999995E-6</v>
      </c>
      <c r="AB2032" s="2">
        <v>0.27110000000000001</v>
      </c>
      <c r="AC2032" s="2">
        <v>7.5200000000000003E-2</v>
      </c>
      <c r="AD2032">
        <v>0.3</v>
      </c>
      <c r="AE2032">
        <v>1000</v>
      </c>
      <c r="AF2032">
        <v>2</v>
      </c>
      <c r="AG2032" s="9">
        <v>2.1000000000000001E-2</v>
      </c>
      <c r="AH2032" s="9">
        <v>1.37</v>
      </c>
      <c r="AI2032" s="9">
        <v>0.42</v>
      </c>
      <c r="AJ2032" s="9">
        <v>2.7E-2</v>
      </c>
      <c r="AK2032" s="9">
        <v>1E-3</v>
      </c>
      <c r="AL2032" s="9">
        <v>22.7</v>
      </c>
      <c r="AM2032" s="9">
        <v>5.44</v>
      </c>
      <c r="AN2032" s="9">
        <v>3.23</v>
      </c>
      <c r="AO2032" s="9">
        <v>0.154</v>
      </c>
      <c r="AP2032"/>
    </row>
    <row r="2033" spans="1:42" x14ac:dyDescent="0.3">
      <c r="A2033" t="s">
        <v>165</v>
      </c>
      <c r="B2033" t="s">
        <v>1580</v>
      </c>
      <c r="C2033">
        <v>84</v>
      </c>
      <c r="D2033" s="8">
        <v>1.4461999999999999</v>
      </c>
      <c r="E2033">
        <v>1200</v>
      </c>
      <c r="G2033" t="s">
        <v>29</v>
      </c>
      <c r="H2033" t="s">
        <v>987</v>
      </c>
      <c r="J2033" s="3">
        <v>24</v>
      </c>
      <c r="L2033" t="s">
        <v>140</v>
      </c>
      <c r="M2033" t="s">
        <v>28</v>
      </c>
      <c r="N2033" s="3">
        <v>1</v>
      </c>
      <c r="O2033" s="3">
        <v>0</v>
      </c>
      <c r="P2033">
        <v>22.5</v>
      </c>
      <c r="Q2033">
        <v>6.5</v>
      </c>
      <c r="R2033" t="s">
        <v>102</v>
      </c>
      <c r="S2033">
        <v>0</v>
      </c>
      <c r="T2033" s="6">
        <f>10^-(14-Q2033)</f>
        <v>3.1622776601683699E-8</v>
      </c>
      <c r="U2033" s="6">
        <v>0</v>
      </c>
      <c r="V2033" s="6">
        <v>0</v>
      </c>
      <c r="W2033" s="6">
        <v>0</v>
      </c>
      <c r="X2033" s="6">
        <v>0</v>
      </c>
      <c r="Y2033" t="s">
        <v>28</v>
      </c>
      <c r="Z2033" s="5">
        <v>-42.5</v>
      </c>
      <c r="AA2033" s="3">
        <v>5.4049999999999999E-6</v>
      </c>
      <c r="AB2033" s="2">
        <v>0.22</v>
      </c>
      <c r="AC2033" s="2">
        <v>7.9000000000000001E-2</v>
      </c>
      <c r="AD2033">
        <v>0.3</v>
      </c>
      <c r="AE2033">
        <v>1000</v>
      </c>
      <c r="AF2033">
        <v>2</v>
      </c>
      <c r="AG2033" s="9">
        <v>2.1000000000000001E-2</v>
      </c>
      <c r="AH2033" s="9">
        <v>1.37</v>
      </c>
      <c r="AI2033" s="9">
        <v>0.42</v>
      </c>
      <c r="AJ2033" s="9">
        <v>2.7E-2</v>
      </c>
      <c r="AK2033" s="9">
        <v>1E-3</v>
      </c>
      <c r="AL2033" s="9">
        <v>22.7</v>
      </c>
      <c r="AM2033" s="9">
        <v>5.44</v>
      </c>
      <c r="AN2033" s="9">
        <v>3.23</v>
      </c>
      <c r="AO2033" s="9">
        <v>0.154</v>
      </c>
      <c r="AP2033"/>
    </row>
    <row r="2034" spans="1:42" x14ac:dyDescent="0.3">
      <c r="A2034" t="s">
        <v>166</v>
      </c>
      <c r="B2034" t="s">
        <v>1580</v>
      </c>
      <c r="C2034">
        <v>84</v>
      </c>
      <c r="D2034" s="8">
        <v>1.4461999999999999</v>
      </c>
      <c r="E2034">
        <v>1200</v>
      </c>
      <c r="G2034" t="s">
        <v>31</v>
      </c>
      <c r="H2034">
        <v>-1.2</v>
      </c>
      <c r="I2034" s="4">
        <v>1</v>
      </c>
      <c r="J2034" s="3">
        <v>0.5</v>
      </c>
      <c r="L2034" t="s">
        <v>140</v>
      </c>
      <c r="M2034" t="s">
        <v>28</v>
      </c>
      <c r="N2034" s="3">
        <v>1</v>
      </c>
      <c r="O2034" s="3">
        <v>0</v>
      </c>
      <c r="P2034">
        <v>22.5</v>
      </c>
      <c r="Q2034">
        <v>6.5</v>
      </c>
      <c r="R2034" t="s">
        <v>102</v>
      </c>
      <c r="S2034">
        <v>0</v>
      </c>
      <c r="T2034" s="6">
        <f>10^-(14-Q2034)</f>
        <v>3.1622776601683699E-8</v>
      </c>
      <c r="U2034" s="6">
        <v>0</v>
      </c>
      <c r="V2034" s="6">
        <v>0</v>
      </c>
      <c r="W2034" s="6">
        <v>0</v>
      </c>
      <c r="X2034" s="6">
        <v>0</v>
      </c>
      <c r="Y2034" t="s">
        <v>28</v>
      </c>
      <c r="Z2034" s="5">
        <v>-50.4</v>
      </c>
      <c r="AA2034" s="3">
        <v>3.3639999999999999E-6</v>
      </c>
      <c r="AB2034" s="2">
        <v>0.2253</v>
      </c>
      <c r="AC2034" s="2">
        <v>6.7299999999999999E-2</v>
      </c>
      <c r="AD2034">
        <v>0.3</v>
      </c>
      <c r="AE2034">
        <v>1000</v>
      </c>
      <c r="AF2034">
        <v>2</v>
      </c>
      <c r="AG2034" s="9">
        <v>2.1000000000000001E-2</v>
      </c>
      <c r="AH2034" s="9">
        <v>1.37</v>
      </c>
      <c r="AI2034" s="9">
        <v>0.42</v>
      </c>
      <c r="AJ2034" s="9">
        <v>2.7E-2</v>
      </c>
      <c r="AK2034" s="9">
        <v>1E-3</v>
      </c>
      <c r="AL2034" s="9">
        <v>22.7</v>
      </c>
      <c r="AM2034" s="9">
        <v>5.44</v>
      </c>
      <c r="AN2034" s="9">
        <v>3.23</v>
      </c>
      <c r="AO2034" s="9">
        <v>0.154</v>
      </c>
      <c r="AP2034"/>
    </row>
    <row r="2035" spans="1:42" x14ac:dyDescent="0.3">
      <c r="A2035" t="s">
        <v>142</v>
      </c>
      <c r="B2035" t="s">
        <v>1581</v>
      </c>
      <c r="C2035">
        <v>85</v>
      </c>
      <c r="D2035" s="8">
        <v>1.4403999999999999</v>
      </c>
      <c r="E2035">
        <v>1200</v>
      </c>
      <c r="G2035" s="1" t="s">
        <v>29</v>
      </c>
      <c r="H2035" t="s">
        <v>987</v>
      </c>
      <c r="J2035" s="3">
        <v>6</v>
      </c>
      <c r="K2035" s="4">
        <v>1</v>
      </c>
      <c r="L2035" t="s">
        <v>140</v>
      </c>
      <c r="M2035" t="s">
        <v>28</v>
      </c>
      <c r="N2035" s="3">
        <v>1</v>
      </c>
      <c r="O2035" s="3">
        <v>0</v>
      </c>
      <c r="P2035">
        <v>22.5</v>
      </c>
      <c r="Q2035">
        <v>6.5</v>
      </c>
      <c r="R2035" t="s">
        <v>102</v>
      </c>
      <c r="S2035">
        <v>0</v>
      </c>
      <c r="T2035" s="6">
        <f>10^-(14-Q2035)</f>
        <v>3.1622776601683699E-8</v>
      </c>
      <c r="U2035" s="6">
        <v>0</v>
      </c>
      <c r="V2035" s="6">
        <v>0</v>
      </c>
      <c r="W2035" s="6">
        <v>0</v>
      </c>
      <c r="X2035" s="6">
        <v>0</v>
      </c>
      <c r="Y2035" t="s">
        <v>28</v>
      </c>
      <c r="Z2035" s="5">
        <v>-41.5</v>
      </c>
      <c r="AA2035" s="3">
        <v>6.3027802953621165E-4</v>
      </c>
      <c r="AB2035" s="2">
        <v>0.16857948721616309</v>
      </c>
      <c r="AC2035" s="2">
        <v>0.23189021779374641</v>
      </c>
      <c r="AD2035">
        <v>0.3</v>
      </c>
      <c r="AE2035">
        <v>564.6</v>
      </c>
      <c r="AF2035">
        <v>1</v>
      </c>
      <c r="AL2035" s="9">
        <v>17.5</v>
      </c>
      <c r="AM2035" s="9">
        <v>11</v>
      </c>
      <c r="AN2035" s="9">
        <v>2.5</v>
      </c>
      <c r="AP2035"/>
    </row>
    <row r="2036" spans="1:42" x14ac:dyDescent="0.3">
      <c r="A2036" t="s">
        <v>143</v>
      </c>
      <c r="B2036" t="s">
        <v>1581</v>
      </c>
      <c r="C2036">
        <v>85</v>
      </c>
      <c r="D2036" s="8">
        <v>1.4403999999999999</v>
      </c>
      <c r="E2036">
        <v>1200</v>
      </c>
      <c r="G2036" s="1" t="s">
        <v>29</v>
      </c>
      <c r="H2036" t="s">
        <v>987</v>
      </c>
      <c r="J2036" s="3">
        <v>6</v>
      </c>
      <c r="K2036" s="4">
        <v>1</v>
      </c>
      <c r="L2036" t="s">
        <v>140</v>
      </c>
      <c r="M2036" t="s">
        <v>28</v>
      </c>
      <c r="N2036" s="3">
        <v>1</v>
      </c>
      <c r="O2036" s="3">
        <v>0</v>
      </c>
      <c r="P2036">
        <v>22.5</v>
      </c>
      <c r="Q2036">
        <v>6.5</v>
      </c>
      <c r="R2036" t="s">
        <v>102</v>
      </c>
      <c r="S2036">
        <v>0</v>
      </c>
      <c r="T2036" s="6">
        <f>10^-(14-Q2036)</f>
        <v>3.1622776601683699E-8</v>
      </c>
      <c r="U2036" s="6">
        <v>0</v>
      </c>
      <c r="V2036" s="6">
        <v>0</v>
      </c>
      <c r="W2036" s="6">
        <v>0</v>
      </c>
      <c r="X2036" s="6">
        <v>0</v>
      </c>
      <c r="Y2036" t="s">
        <v>28</v>
      </c>
      <c r="Z2036" s="5">
        <v>20.399999999999999</v>
      </c>
      <c r="AA2036" s="3">
        <v>5.7370520708129795E-4</v>
      </c>
      <c r="AB2036" s="2">
        <v>0.16616761756695353</v>
      </c>
      <c r="AC2036" s="2">
        <v>0.14526692482288286</v>
      </c>
      <c r="AD2036">
        <v>0.3</v>
      </c>
      <c r="AE2036">
        <v>529.6</v>
      </c>
      <c r="AF2036">
        <v>1</v>
      </c>
      <c r="AL2036" s="9">
        <v>17.5</v>
      </c>
      <c r="AM2036" s="9">
        <v>11</v>
      </c>
      <c r="AN2036" s="9">
        <v>2.5</v>
      </c>
      <c r="AP2036"/>
    </row>
    <row r="2037" spans="1:42" x14ac:dyDescent="0.3">
      <c r="A2037" t="s">
        <v>135</v>
      </c>
      <c r="B2037" t="s">
        <v>1581</v>
      </c>
      <c r="C2037">
        <v>85</v>
      </c>
      <c r="D2037" s="8">
        <v>1.4403999999999999</v>
      </c>
      <c r="E2037">
        <v>1200</v>
      </c>
      <c r="G2037" s="1" t="s">
        <v>29</v>
      </c>
      <c r="H2037" t="s">
        <v>987</v>
      </c>
      <c r="J2037" s="3">
        <v>6</v>
      </c>
      <c r="K2037" s="4">
        <v>1</v>
      </c>
      <c r="L2037" t="s">
        <v>140</v>
      </c>
      <c r="M2037" t="s">
        <v>28</v>
      </c>
      <c r="N2037" s="3">
        <v>1</v>
      </c>
      <c r="O2037" s="3">
        <v>0</v>
      </c>
      <c r="P2037">
        <v>22.5</v>
      </c>
      <c r="Q2037">
        <v>6.5</v>
      </c>
      <c r="R2037" t="s">
        <v>102</v>
      </c>
      <c r="S2037">
        <v>0</v>
      </c>
      <c r="T2037" s="6">
        <f>10^-(14-Q2037)</f>
        <v>3.1622776601683699E-8</v>
      </c>
      <c r="U2037" s="6">
        <v>0</v>
      </c>
      <c r="V2037" s="6">
        <v>0</v>
      </c>
      <c r="W2037" s="6">
        <v>0</v>
      </c>
      <c r="X2037" s="6">
        <v>0</v>
      </c>
      <c r="Y2037" t="s">
        <v>28</v>
      </c>
      <c r="Z2037" s="5">
        <v>-125</v>
      </c>
      <c r="AA2037" s="3">
        <v>1.0403981911713219E-3</v>
      </c>
      <c r="AB2037" s="2">
        <v>0.34473644489432048</v>
      </c>
      <c r="AC2037" s="2">
        <v>9.3686255380572472E-2</v>
      </c>
      <c r="AD2037">
        <v>0.3</v>
      </c>
      <c r="AE2037">
        <v>569.1</v>
      </c>
      <c r="AF2037">
        <v>1</v>
      </c>
      <c r="AL2037" s="9">
        <v>17.5</v>
      </c>
      <c r="AM2037" s="9">
        <v>11</v>
      </c>
      <c r="AN2037" s="9">
        <v>2.5</v>
      </c>
      <c r="AP2037"/>
    </row>
    <row r="2038" spans="1:42" x14ac:dyDescent="0.3">
      <c r="A2038" t="s">
        <v>137</v>
      </c>
      <c r="B2038" t="s">
        <v>1581</v>
      </c>
      <c r="C2038">
        <v>85</v>
      </c>
      <c r="D2038" s="8">
        <v>1.4403999999999999</v>
      </c>
      <c r="E2038">
        <v>1200</v>
      </c>
      <c r="G2038" t="s">
        <v>29</v>
      </c>
      <c r="H2038" t="s">
        <v>987</v>
      </c>
      <c r="J2038" s="3">
        <v>6</v>
      </c>
      <c r="K2038" s="4">
        <v>1</v>
      </c>
      <c r="L2038" t="s">
        <v>140</v>
      </c>
      <c r="M2038" t="s">
        <v>28</v>
      </c>
      <c r="N2038" s="3">
        <v>1</v>
      </c>
      <c r="O2038" s="3">
        <v>0</v>
      </c>
      <c r="P2038">
        <v>22.5</v>
      </c>
      <c r="Q2038">
        <v>6.5</v>
      </c>
      <c r="R2038" t="s">
        <v>102</v>
      </c>
      <c r="S2038">
        <v>0</v>
      </c>
      <c r="T2038" s="6">
        <f>10^-(14-Q2038)</f>
        <v>3.1622776601683699E-8</v>
      </c>
      <c r="U2038" s="6">
        <v>0</v>
      </c>
      <c r="V2038" s="6">
        <v>0</v>
      </c>
      <c r="W2038" s="6">
        <v>0</v>
      </c>
      <c r="X2038" s="6">
        <v>0</v>
      </c>
      <c r="Y2038" t="s">
        <v>28</v>
      </c>
      <c r="Z2038" s="5">
        <v>-56</v>
      </c>
      <c r="AA2038" s="3">
        <v>1.4955916654950166E-4</v>
      </c>
      <c r="AB2038" s="2">
        <v>0.18797287119754677</v>
      </c>
      <c r="AC2038" s="2">
        <v>7.5580000246071324E-2</v>
      </c>
      <c r="AD2038">
        <v>0.3</v>
      </c>
      <c r="AE2038">
        <v>537.6</v>
      </c>
      <c r="AF2038">
        <v>1</v>
      </c>
      <c r="AL2038" s="9">
        <v>17.5</v>
      </c>
      <c r="AM2038" s="9">
        <v>11</v>
      </c>
      <c r="AN2038" s="9">
        <v>2.5</v>
      </c>
      <c r="AP2038"/>
    </row>
    <row r="2039" spans="1:42" x14ac:dyDescent="0.3">
      <c r="A2039" t="s">
        <v>136</v>
      </c>
      <c r="B2039" t="s">
        <v>1581</v>
      </c>
      <c r="C2039">
        <v>85</v>
      </c>
      <c r="D2039" s="8">
        <v>1.4403999999999999</v>
      </c>
      <c r="E2039">
        <v>1200</v>
      </c>
      <c r="G2039" t="s">
        <v>29</v>
      </c>
      <c r="H2039" t="s">
        <v>987</v>
      </c>
      <c r="J2039" s="3">
        <v>24</v>
      </c>
      <c r="K2039" s="4">
        <v>1</v>
      </c>
      <c r="L2039" t="s">
        <v>140</v>
      </c>
      <c r="M2039" t="s">
        <v>28</v>
      </c>
      <c r="N2039" s="3">
        <v>1</v>
      </c>
      <c r="O2039" s="3">
        <v>0</v>
      </c>
      <c r="P2039">
        <v>22.5</v>
      </c>
      <c r="Q2039">
        <v>6.5</v>
      </c>
      <c r="R2039" t="s">
        <v>102</v>
      </c>
      <c r="S2039">
        <v>0</v>
      </c>
      <c r="T2039" s="6">
        <f>10^-(14-Q2039)</f>
        <v>3.1622776601683699E-8</v>
      </c>
      <c r="U2039" s="6">
        <v>0</v>
      </c>
      <c r="V2039" s="6">
        <v>0</v>
      </c>
      <c r="W2039" s="6">
        <v>0</v>
      </c>
      <c r="X2039" s="6">
        <v>0</v>
      </c>
      <c r="Y2039" t="s">
        <v>28</v>
      </c>
      <c r="Z2039" s="5">
        <v>-165</v>
      </c>
      <c r="AA2039" s="3">
        <v>4.3696332083751558E-4</v>
      </c>
      <c r="AB2039" s="2">
        <v>0.18179287071966163</v>
      </c>
      <c r="AC2039" s="2">
        <v>7.6125286312026044E-2</v>
      </c>
      <c r="AD2039">
        <v>0.3</v>
      </c>
      <c r="AE2039">
        <v>568.20000000000005</v>
      </c>
      <c r="AF2039">
        <v>1</v>
      </c>
      <c r="AL2039" s="9">
        <v>17.5</v>
      </c>
      <c r="AM2039" s="9">
        <v>11</v>
      </c>
      <c r="AN2039" s="9">
        <v>2.5</v>
      </c>
      <c r="AP2039"/>
    </row>
    <row r="2040" spans="1:42" x14ac:dyDescent="0.3">
      <c r="A2040" t="s">
        <v>138</v>
      </c>
      <c r="B2040" t="s">
        <v>1581</v>
      </c>
      <c r="C2040">
        <v>85</v>
      </c>
      <c r="D2040" s="8">
        <v>1.4403999999999999</v>
      </c>
      <c r="E2040">
        <v>1200</v>
      </c>
      <c r="G2040" t="s">
        <v>29</v>
      </c>
      <c r="H2040" t="s">
        <v>987</v>
      </c>
      <c r="J2040" s="3">
        <v>24</v>
      </c>
      <c r="K2040" s="4">
        <v>1</v>
      </c>
      <c r="L2040" t="s">
        <v>140</v>
      </c>
      <c r="M2040" t="s">
        <v>28</v>
      </c>
      <c r="N2040" s="3">
        <v>1</v>
      </c>
      <c r="O2040" s="3">
        <v>0</v>
      </c>
      <c r="P2040">
        <v>22.5</v>
      </c>
      <c r="Q2040">
        <v>6.5</v>
      </c>
      <c r="R2040" t="s">
        <v>102</v>
      </c>
      <c r="S2040">
        <v>0</v>
      </c>
      <c r="T2040" s="6">
        <f>10^-(14-Q2040)</f>
        <v>3.1622776601683699E-8</v>
      </c>
      <c r="U2040" s="6">
        <v>0</v>
      </c>
      <c r="V2040" s="6">
        <v>0</v>
      </c>
      <c r="W2040" s="6">
        <v>0</v>
      </c>
      <c r="X2040" s="6">
        <v>0</v>
      </c>
      <c r="Y2040" t="s">
        <v>28</v>
      </c>
      <c r="Z2040" s="5">
        <v>-186</v>
      </c>
      <c r="AA2040" s="3">
        <v>3.6026920697962558E-4</v>
      </c>
      <c r="AB2040" s="2">
        <v>0.14962510845920118</v>
      </c>
      <c r="AC2040" s="2">
        <v>9.2728699524118094E-2</v>
      </c>
      <c r="AD2040">
        <v>0.3</v>
      </c>
      <c r="AE2040">
        <v>780.4</v>
      </c>
      <c r="AF2040">
        <v>1</v>
      </c>
      <c r="AL2040" s="9">
        <v>17.5</v>
      </c>
      <c r="AM2040" s="9">
        <v>11</v>
      </c>
      <c r="AN2040" s="9">
        <v>2.5</v>
      </c>
      <c r="AP2040"/>
    </row>
    <row r="2041" spans="1:42" x14ac:dyDescent="0.3">
      <c r="A2041" t="s">
        <v>134</v>
      </c>
      <c r="B2041" t="s">
        <v>1581</v>
      </c>
      <c r="C2041">
        <v>85</v>
      </c>
      <c r="D2041" s="8">
        <v>1.4403999999999999</v>
      </c>
      <c r="E2041">
        <v>1200</v>
      </c>
      <c r="G2041" s="1" t="s">
        <v>29</v>
      </c>
      <c r="I2041" s="4">
        <v>1</v>
      </c>
      <c r="J2041" s="3">
        <v>24</v>
      </c>
      <c r="K2041" s="4">
        <v>1</v>
      </c>
      <c r="L2041" t="s">
        <v>140</v>
      </c>
      <c r="M2041" t="s">
        <v>28</v>
      </c>
      <c r="N2041" s="3">
        <v>1</v>
      </c>
      <c r="O2041" s="3">
        <v>0</v>
      </c>
      <c r="P2041">
        <v>22.5</v>
      </c>
      <c r="Q2041">
        <v>6.5</v>
      </c>
      <c r="R2041" t="s">
        <v>102</v>
      </c>
      <c r="S2041">
        <v>0</v>
      </c>
      <c r="T2041" s="6">
        <f>10^-(14-Q2041)</f>
        <v>3.1622776601683699E-8</v>
      </c>
      <c r="U2041" s="6">
        <v>0</v>
      </c>
      <c r="V2041" s="6">
        <v>0</v>
      </c>
      <c r="W2041" s="6">
        <v>0</v>
      </c>
      <c r="X2041" s="6">
        <v>0</v>
      </c>
      <c r="Y2041" t="s">
        <v>28</v>
      </c>
      <c r="Z2041" s="5">
        <v>-72.8</v>
      </c>
      <c r="AA2041" s="3">
        <v>7.2145743880329166E-4</v>
      </c>
      <c r="AB2041" s="2">
        <v>0.28970224158755159</v>
      </c>
      <c r="AC2041" s="2">
        <v>0.10318030797363964</v>
      </c>
      <c r="AD2041">
        <v>0.3</v>
      </c>
      <c r="AE2041">
        <v>564.6</v>
      </c>
      <c r="AF2041">
        <v>1</v>
      </c>
      <c r="AL2041" s="9">
        <v>17.5</v>
      </c>
      <c r="AM2041" s="9">
        <v>11</v>
      </c>
      <c r="AN2041" s="9">
        <v>2.5</v>
      </c>
      <c r="AP2041"/>
    </row>
    <row r="2042" spans="1:42" x14ac:dyDescent="0.3">
      <c r="A2042" t="s">
        <v>34</v>
      </c>
      <c r="B2042" t="s">
        <v>1581</v>
      </c>
      <c r="C2042">
        <v>85</v>
      </c>
      <c r="D2042" s="8">
        <v>1.4403999999999999</v>
      </c>
      <c r="E2042">
        <v>1200</v>
      </c>
      <c r="G2042" s="1" t="s">
        <v>31</v>
      </c>
      <c r="H2042">
        <v>-1.2</v>
      </c>
      <c r="I2042" s="4">
        <v>1</v>
      </c>
      <c r="J2042" s="3">
        <v>1</v>
      </c>
      <c r="K2042" s="4">
        <v>24</v>
      </c>
      <c r="L2042" t="s">
        <v>140</v>
      </c>
      <c r="M2042" t="s">
        <v>28</v>
      </c>
      <c r="N2042" s="3">
        <v>1</v>
      </c>
      <c r="O2042" s="3">
        <v>0</v>
      </c>
      <c r="P2042">
        <v>22.5</v>
      </c>
      <c r="Q2042">
        <v>6.5</v>
      </c>
      <c r="R2042" t="s">
        <v>102</v>
      </c>
      <c r="S2042">
        <v>0</v>
      </c>
      <c r="T2042" s="6">
        <f>10^-(14-Q2042)</f>
        <v>3.1622776601683699E-8</v>
      </c>
      <c r="U2042" s="6">
        <v>0</v>
      </c>
      <c r="V2042" s="6">
        <v>0</v>
      </c>
      <c r="W2042" s="6">
        <v>0</v>
      </c>
      <c r="X2042" s="6">
        <v>0</v>
      </c>
      <c r="Y2042" t="s">
        <v>28</v>
      </c>
      <c r="Z2042" s="5">
        <v>-101</v>
      </c>
      <c r="AA2042" s="3">
        <v>7.177856034641688E-5</v>
      </c>
      <c r="AB2042" s="2">
        <v>0.27282568159744086</v>
      </c>
      <c r="AC2042" s="2">
        <v>5.759508801524435E-2</v>
      </c>
      <c r="AD2042">
        <v>0.3</v>
      </c>
      <c r="AE2042">
        <v>948.2</v>
      </c>
      <c r="AF2042">
        <v>1</v>
      </c>
      <c r="AL2042" s="9">
        <v>17.5</v>
      </c>
      <c r="AM2042" s="9">
        <v>11</v>
      </c>
      <c r="AN2042" s="9">
        <v>2.5</v>
      </c>
      <c r="AP2042"/>
    </row>
    <row r="2043" spans="1:42" x14ac:dyDescent="0.3">
      <c r="A2043" t="s">
        <v>35</v>
      </c>
      <c r="B2043" t="s">
        <v>1581</v>
      </c>
      <c r="C2043">
        <v>85</v>
      </c>
      <c r="D2043" s="8">
        <v>1.4403999999999999</v>
      </c>
      <c r="E2043">
        <v>1200</v>
      </c>
      <c r="G2043" s="1" t="s">
        <v>31</v>
      </c>
      <c r="H2043">
        <v>-1.2</v>
      </c>
      <c r="I2043" s="4">
        <v>1</v>
      </c>
      <c r="J2043" s="3">
        <v>1</v>
      </c>
      <c r="K2043" s="4">
        <v>24</v>
      </c>
      <c r="L2043" t="s">
        <v>140</v>
      </c>
      <c r="M2043" t="s">
        <v>28</v>
      </c>
      <c r="N2043" s="3">
        <v>1</v>
      </c>
      <c r="O2043" s="3">
        <v>0</v>
      </c>
      <c r="P2043">
        <v>22.5</v>
      </c>
      <c r="Q2043">
        <v>6.5</v>
      </c>
      <c r="R2043" t="s">
        <v>102</v>
      </c>
      <c r="S2043">
        <v>0</v>
      </c>
      <c r="T2043" s="6">
        <f>10^-(14-Q2043)</f>
        <v>3.1622776601683699E-8</v>
      </c>
      <c r="U2043" s="6">
        <v>0</v>
      </c>
      <c r="V2043" s="6">
        <v>0</v>
      </c>
      <c r="W2043" s="6">
        <v>0</v>
      </c>
      <c r="X2043" s="6">
        <v>0</v>
      </c>
      <c r="Y2043" t="s">
        <v>28</v>
      </c>
      <c r="Z2043" s="5">
        <v>-220</v>
      </c>
      <c r="AA2043" s="3">
        <v>9.2184410633080582E-5</v>
      </c>
      <c r="AB2043" s="2">
        <v>0.27238994326476362</v>
      </c>
      <c r="AC2043" s="2">
        <v>7.0594718652832358E-2</v>
      </c>
      <c r="AD2043">
        <v>0.3</v>
      </c>
      <c r="AE2043">
        <v>1000</v>
      </c>
      <c r="AF2043">
        <v>2</v>
      </c>
      <c r="AL2043" s="9">
        <v>17.5</v>
      </c>
      <c r="AM2043" s="9">
        <v>11</v>
      </c>
      <c r="AN2043" s="9">
        <v>2.5</v>
      </c>
      <c r="AP2043"/>
    </row>
    <row r="2044" spans="1:42" x14ac:dyDescent="0.3">
      <c r="A2044" t="s">
        <v>36</v>
      </c>
      <c r="B2044" t="s">
        <v>1581</v>
      </c>
      <c r="C2044">
        <v>85</v>
      </c>
      <c r="D2044" s="8">
        <v>1.4403999999999999</v>
      </c>
      <c r="E2044">
        <v>1200</v>
      </c>
      <c r="G2044" t="s">
        <v>31</v>
      </c>
      <c r="H2044">
        <v>-1.2</v>
      </c>
      <c r="I2044" s="4">
        <v>1</v>
      </c>
      <c r="J2044" s="3">
        <v>1</v>
      </c>
      <c r="K2044" s="4">
        <v>24</v>
      </c>
      <c r="L2044" t="s">
        <v>140</v>
      </c>
      <c r="M2044" t="s">
        <v>28</v>
      </c>
      <c r="N2044" s="3">
        <v>1</v>
      </c>
      <c r="O2044" s="3">
        <v>0</v>
      </c>
      <c r="P2044">
        <v>22.5</v>
      </c>
      <c r="Q2044">
        <v>6.5</v>
      </c>
      <c r="R2044" t="s">
        <v>102</v>
      </c>
      <c r="S2044">
        <v>0</v>
      </c>
      <c r="T2044" s="6">
        <f>10^-(14-Q2044)</f>
        <v>3.1622776601683699E-8</v>
      </c>
      <c r="U2044" s="6">
        <v>0</v>
      </c>
      <c r="V2044" s="6">
        <v>0</v>
      </c>
      <c r="W2044" s="6">
        <v>0</v>
      </c>
      <c r="X2044" s="6">
        <v>0</v>
      </c>
      <c r="Y2044" t="s">
        <v>28</v>
      </c>
      <c r="Z2044" s="5">
        <v>-79.2</v>
      </c>
      <c r="AA2044" s="3">
        <v>9.7784641092987546E-5</v>
      </c>
      <c r="AB2044" s="2">
        <v>0.20291803734716965</v>
      </c>
      <c r="AC2044" s="2">
        <v>6.3582706142489495E-2</v>
      </c>
      <c r="AD2044">
        <v>0.3</v>
      </c>
      <c r="AE2044">
        <v>931.6</v>
      </c>
      <c r="AF2044">
        <v>1</v>
      </c>
      <c r="AL2044" s="9">
        <v>17.5</v>
      </c>
      <c r="AM2044" s="9">
        <v>11</v>
      </c>
      <c r="AN2044" s="9">
        <v>2.5</v>
      </c>
      <c r="AP2044"/>
    </row>
    <row r="2045" spans="1:42" x14ac:dyDescent="0.3">
      <c r="A2045" t="s">
        <v>144</v>
      </c>
      <c r="B2045" t="s">
        <v>1581</v>
      </c>
      <c r="C2045">
        <v>85</v>
      </c>
      <c r="D2045" s="8">
        <v>1.4403999999999999</v>
      </c>
      <c r="E2045">
        <v>1200</v>
      </c>
      <c r="G2045" t="s">
        <v>29</v>
      </c>
      <c r="H2045" t="s">
        <v>987</v>
      </c>
      <c r="J2045" s="3">
        <v>6</v>
      </c>
      <c r="K2045" s="4">
        <v>24</v>
      </c>
      <c r="L2045" t="s">
        <v>140</v>
      </c>
      <c r="M2045" t="s">
        <v>28</v>
      </c>
      <c r="N2045" s="3">
        <v>1</v>
      </c>
      <c r="O2045" s="3">
        <v>0</v>
      </c>
      <c r="P2045">
        <v>22.5</v>
      </c>
      <c r="Q2045">
        <v>6.5</v>
      </c>
      <c r="R2045" t="s">
        <v>102</v>
      </c>
      <c r="S2045">
        <v>0</v>
      </c>
      <c r="T2045" s="6">
        <f>10^-(14-Q2045)</f>
        <v>3.1622776601683699E-8</v>
      </c>
      <c r="U2045" s="6">
        <v>0</v>
      </c>
      <c r="V2045" s="6">
        <v>0</v>
      </c>
      <c r="W2045" s="6">
        <v>0</v>
      </c>
      <c r="X2045" s="6">
        <v>0</v>
      </c>
      <c r="Y2045" t="s">
        <v>28</v>
      </c>
      <c r="Z2045" s="5">
        <v>20.399999999999999</v>
      </c>
      <c r="AA2045" s="3">
        <v>1.4969125574563574E-4</v>
      </c>
      <c r="AB2045" s="2">
        <v>0.19318326660810778</v>
      </c>
      <c r="AC2045" s="2">
        <v>7.4718627686591418E-2</v>
      </c>
      <c r="AD2045">
        <v>0.3</v>
      </c>
      <c r="AE2045">
        <v>543.4</v>
      </c>
      <c r="AF2045">
        <v>1</v>
      </c>
      <c r="AL2045" s="9">
        <v>17.5</v>
      </c>
      <c r="AM2045" s="9">
        <v>11</v>
      </c>
      <c r="AN2045" s="9">
        <v>2.5</v>
      </c>
      <c r="AP2045"/>
    </row>
    <row r="2046" spans="1:42" x14ac:dyDescent="0.3">
      <c r="A2046" t="s">
        <v>145</v>
      </c>
      <c r="B2046" t="s">
        <v>1581</v>
      </c>
      <c r="C2046">
        <v>85</v>
      </c>
      <c r="D2046" s="8">
        <v>1.4403999999999999</v>
      </c>
      <c r="E2046">
        <v>1200</v>
      </c>
      <c r="G2046" s="1" t="s">
        <v>29</v>
      </c>
      <c r="H2046" t="s">
        <v>987</v>
      </c>
      <c r="J2046" s="3">
        <v>6</v>
      </c>
      <c r="K2046" s="4">
        <v>24</v>
      </c>
      <c r="L2046" t="s">
        <v>140</v>
      </c>
      <c r="M2046" t="s">
        <v>28</v>
      </c>
      <c r="N2046" s="3">
        <v>1</v>
      </c>
      <c r="O2046" s="3">
        <v>0</v>
      </c>
      <c r="P2046">
        <v>22.5</v>
      </c>
      <c r="Q2046">
        <v>6.5</v>
      </c>
      <c r="R2046" t="s">
        <v>102</v>
      </c>
      <c r="S2046">
        <v>0</v>
      </c>
      <c r="T2046" s="6">
        <f>10^-(14-Q2046)</f>
        <v>3.1622776601683699E-8</v>
      </c>
      <c r="U2046" s="6">
        <v>0</v>
      </c>
      <c r="V2046" s="6">
        <v>0</v>
      </c>
      <c r="W2046" s="6">
        <v>0</v>
      </c>
      <c r="X2046" s="6">
        <v>0</v>
      </c>
      <c r="Y2046" t="s">
        <v>28</v>
      </c>
      <c r="Z2046" s="5">
        <v>141</v>
      </c>
      <c r="AA2046" s="3">
        <v>1.5894782050679816E-4</v>
      </c>
      <c r="AB2046" s="2">
        <v>0.18745986873325685</v>
      </c>
      <c r="AC2046" s="2">
        <v>7.6458955354529026E-2</v>
      </c>
      <c r="AD2046">
        <v>0.3</v>
      </c>
      <c r="AE2046">
        <v>622.9</v>
      </c>
      <c r="AF2046">
        <v>1</v>
      </c>
      <c r="AL2046" s="9">
        <v>17.5</v>
      </c>
      <c r="AM2046" s="9">
        <v>11</v>
      </c>
      <c r="AN2046" s="9">
        <v>2.5</v>
      </c>
      <c r="AP2046"/>
    </row>
    <row r="2047" spans="1:42" x14ac:dyDescent="0.3">
      <c r="A2047" t="s">
        <v>93</v>
      </c>
      <c r="B2047" t="s">
        <v>1581</v>
      </c>
      <c r="C2047">
        <v>85</v>
      </c>
      <c r="D2047" s="8">
        <v>1.4403999999999999</v>
      </c>
      <c r="E2047">
        <v>1200</v>
      </c>
      <c r="G2047" s="1" t="s">
        <v>38</v>
      </c>
      <c r="H2047">
        <v>1.5</v>
      </c>
      <c r="I2047" s="4">
        <v>0.62</v>
      </c>
      <c r="J2047" s="3">
        <v>0.33333333333333331</v>
      </c>
      <c r="K2047" s="4">
        <v>5</v>
      </c>
      <c r="L2047" t="s">
        <v>140</v>
      </c>
      <c r="M2047" t="s">
        <v>28</v>
      </c>
      <c r="N2047" s="3">
        <v>1</v>
      </c>
      <c r="O2047" s="3">
        <v>0</v>
      </c>
      <c r="P2047">
        <v>22.5</v>
      </c>
      <c r="Q2047">
        <v>6.5</v>
      </c>
      <c r="R2047" t="s">
        <v>102</v>
      </c>
      <c r="S2047">
        <v>0</v>
      </c>
      <c r="T2047" s="6">
        <f>10^-(14-Q2047)</f>
        <v>3.1622776601683699E-8</v>
      </c>
      <c r="U2047" s="6">
        <v>0</v>
      </c>
      <c r="V2047" s="6">
        <v>0</v>
      </c>
      <c r="W2047" s="6">
        <v>0</v>
      </c>
      <c r="X2047" s="6">
        <v>0</v>
      </c>
      <c r="Y2047" t="s">
        <v>28</v>
      </c>
      <c r="Z2047" s="5">
        <v>223</v>
      </c>
      <c r="AA2047" s="3">
        <v>1.1364540343674436E-3</v>
      </c>
      <c r="AB2047" s="2">
        <v>0.20812343911871556</v>
      </c>
      <c r="AC2047" s="2">
        <v>0.19121742399406061</v>
      </c>
      <c r="AD2047">
        <v>0.3</v>
      </c>
      <c r="AE2047">
        <v>858.3</v>
      </c>
      <c r="AF2047">
        <v>1</v>
      </c>
      <c r="AL2047" s="9">
        <v>17.5</v>
      </c>
      <c r="AM2047" s="9">
        <v>11</v>
      </c>
      <c r="AN2047" s="9">
        <v>2.5</v>
      </c>
      <c r="AP2047"/>
    </row>
    <row r="2048" spans="1:42" x14ac:dyDescent="0.3">
      <c r="A2048" t="s">
        <v>37</v>
      </c>
      <c r="B2048" t="s">
        <v>1581</v>
      </c>
      <c r="C2048">
        <v>85</v>
      </c>
      <c r="D2048" s="8">
        <v>1.4403999999999999</v>
      </c>
      <c r="E2048">
        <v>1200</v>
      </c>
      <c r="G2048" s="1" t="s">
        <v>38</v>
      </c>
      <c r="H2048">
        <v>1.5</v>
      </c>
      <c r="I2048" s="4">
        <v>0.62</v>
      </c>
      <c r="J2048" s="3">
        <v>0.33333333333333331</v>
      </c>
      <c r="K2048" s="4">
        <v>5</v>
      </c>
      <c r="L2048" t="s">
        <v>140</v>
      </c>
      <c r="M2048" t="s">
        <v>28</v>
      </c>
      <c r="N2048" s="3">
        <v>1</v>
      </c>
      <c r="O2048" s="3">
        <v>0</v>
      </c>
      <c r="P2048">
        <v>22.5</v>
      </c>
      <c r="Q2048">
        <v>6.5</v>
      </c>
      <c r="R2048" t="s">
        <v>102</v>
      </c>
      <c r="S2048">
        <v>0</v>
      </c>
      <c r="T2048" s="6">
        <f>10^-(14-Q2048)</f>
        <v>3.1622776601683699E-8</v>
      </c>
      <c r="U2048" s="6">
        <v>0</v>
      </c>
      <c r="V2048" s="6">
        <v>0</v>
      </c>
      <c r="W2048" s="6">
        <v>0</v>
      </c>
      <c r="X2048" s="6">
        <v>0</v>
      </c>
      <c r="Y2048" t="s">
        <v>28</v>
      </c>
      <c r="Z2048" s="5">
        <v>-89.4</v>
      </c>
      <c r="AA2048" s="3">
        <v>8.6205368931500535E-5</v>
      </c>
      <c r="AB2048" s="2">
        <v>0.30903753419357083</v>
      </c>
      <c r="AC2048" s="2">
        <v>6.2858462045657343E-2</v>
      </c>
      <c r="AD2048">
        <v>0.3</v>
      </c>
      <c r="AE2048">
        <v>663.9</v>
      </c>
      <c r="AF2048">
        <v>1</v>
      </c>
      <c r="AL2048" s="9">
        <v>17.5</v>
      </c>
      <c r="AM2048" s="9">
        <v>11</v>
      </c>
      <c r="AN2048" s="9">
        <v>2.5</v>
      </c>
      <c r="AP2048"/>
    </row>
    <row r="2049" spans="1:42" x14ac:dyDescent="0.3">
      <c r="A2049" t="s">
        <v>39</v>
      </c>
      <c r="B2049" t="s">
        <v>1581</v>
      </c>
      <c r="C2049">
        <v>85</v>
      </c>
      <c r="D2049" s="8">
        <v>1.4403999999999999</v>
      </c>
      <c r="E2049">
        <v>1200</v>
      </c>
      <c r="G2049" s="1" t="s">
        <v>38</v>
      </c>
      <c r="H2049">
        <v>1.5</v>
      </c>
      <c r="I2049" s="4">
        <v>0.62</v>
      </c>
      <c r="J2049" s="3">
        <v>0.33333333333333331</v>
      </c>
      <c r="K2049" s="4">
        <v>5</v>
      </c>
      <c r="L2049" t="s">
        <v>140</v>
      </c>
      <c r="M2049" t="s">
        <v>28</v>
      </c>
      <c r="N2049" s="3">
        <v>1</v>
      </c>
      <c r="O2049" s="3">
        <v>0</v>
      </c>
      <c r="P2049">
        <v>22.5</v>
      </c>
      <c r="Q2049">
        <v>6.5</v>
      </c>
      <c r="R2049" t="s">
        <v>102</v>
      </c>
      <c r="S2049">
        <v>0</v>
      </c>
      <c r="T2049" s="6">
        <f>10^-(14-Q2049)</f>
        <v>3.1622776601683699E-8</v>
      </c>
      <c r="U2049" s="6">
        <v>0</v>
      </c>
      <c r="V2049" s="6">
        <v>0</v>
      </c>
      <c r="W2049" s="6">
        <v>0</v>
      </c>
      <c r="X2049" s="6">
        <v>0</v>
      </c>
      <c r="Y2049" t="s">
        <v>28</v>
      </c>
      <c r="Z2049" s="5">
        <v>-85.3</v>
      </c>
      <c r="AA2049" s="3">
        <v>7.3722949630040669E-5</v>
      </c>
      <c r="AB2049" s="2">
        <v>0.20518505083344266</v>
      </c>
      <c r="AC2049" s="2">
        <v>6.2839709077553874E-2</v>
      </c>
      <c r="AD2049">
        <v>0.3</v>
      </c>
      <c r="AE2049">
        <v>734.8</v>
      </c>
      <c r="AF2049">
        <v>1</v>
      </c>
      <c r="AL2049" s="9">
        <v>17.5</v>
      </c>
      <c r="AM2049" s="9">
        <v>11</v>
      </c>
      <c r="AN2049" s="9">
        <v>2.5</v>
      </c>
      <c r="AP2049"/>
    </row>
    <row r="2050" spans="1:42" x14ac:dyDescent="0.3">
      <c r="A2050" t="s">
        <v>40</v>
      </c>
      <c r="B2050" t="s">
        <v>1581</v>
      </c>
      <c r="C2050">
        <v>85</v>
      </c>
      <c r="D2050" s="8">
        <v>1.4403999999999999</v>
      </c>
      <c r="E2050">
        <v>1200</v>
      </c>
      <c r="G2050" t="s">
        <v>38</v>
      </c>
      <c r="H2050">
        <v>1.5</v>
      </c>
      <c r="I2050" s="4">
        <v>0.62</v>
      </c>
      <c r="J2050" s="3">
        <v>0.33333333333333331</v>
      </c>
      <c r="K2050" s="4">
        <v>5</v>
      </c>
      <c r="L2050" t="s">
        <v>140</v>
      </c>
      <c r="M2050" t="s">
        <v>28</v>
      </c>
      <c r="N2050" s="3">
        <v>1</v>
      </c>
      <c r="O2050" s="3">
        <v>0</v>
      </c>
      <c r="P2050">
        <v>22.5</v>
      </c>
      <c r="Q2050">
        <v>6.5</v>
      </c>
      <c r="R2050" t="s">
        <v>102</v>
      </c>
      <c r="S2050">
        <v>0</v>
      </c>
      <c r="T2050" s="6">
        <f>10^-(14-Q2050)</f>
        <v>3.1622776601683699E-8</v>
      </c>
      <c r="U2050" s="6">
        <v>0</v>
      </c>
      <c r="V2050" s="6">
        <v>0</v>
      </c>
      <c r="W2050" s="6">
        <v>0</v>
      </c>
      <c r="X2050" s="6">
        <v>0</v>
      </c>
      <c r="Y2050" t="s">
        <v>28</v>
      </c>
      <c r="Z2050" s="5">
        <v>-126</v>
      </c>
      <c r="AA2050" s="3">
        <v>6.3987013702286033E-5</v>
      </c>
      <c r="AB2050" s="2">
        <v>0.1728631288851078</v>
      </c>
      <c r="AC2050" s="2">
        <v>6.3559248253521092E-2</v>
      </c>
      <c r="AD2050">
        <v>0.3</v>
      </c>
      <c r="AE2050">
        <v>714.1</v>
      </c>
      <c r="AF2050">
        <v>1</v>
      </c>
      <c r="AL2050" s="9">
        <v>17.5</v>
      </c>
      <c r="AM2050" s="9">
        <v>11</v>
      </c>
      <c r="AN2050" s="9">
        <v>2.5</v>
      </c>
      <c r="AP2050"/>
    </row>
    <row r="2051" spans="1:42" x14ac:dyDescent="0.3">
      <c r="A2051" t="s">
        <v>41</v>
      </c>
      <c r="B2051" t="s">
        <v>1581</v>
      </c>
      <c r="C2051">
        <v>85</v>
      </c>
      <c r="D2051" s="8">
        <v>1.4403999999999999</v>
      </c>
      <c r="E2051">
        <v>1200</v>
      </c>
      <c r="G2051" s="1" t="s">
        <v>29</v>
      </c>
      <c r="H2051" t="s">
        <v>987</v>
      </c>
      <c r="J2051" s="3">
        <v>120</v>
      </c>
      <c r="K2051" s="4">
        <v>1</v>
      </c>
      <c r="L2051" t="s">
        <v>140</v>
      </c>
      <c r="M2051" t="s">
        <v>28</v>
      </c>
      <c r="N2051" s="3">
        <v>1</v>
      </c>
      <c r="O2051" s="3">
        <v>0</v>
      </c>
      <c r="P2051">
        <v>22.5</v>
      </c>
      <c r="Q2051">
        <v>6.5</v>
      </c>
      <c r="R2051" t="s">
        <v>102</v>
      </c>
      <c r="S2051">
        <v>0</v>
      </c>
      <c r="T2051" s="6">
        <f>10^-(14-Q2051)</f>
        <v>3.1622776601683699E-8</v>
      </c>
      <c r="U2051" s="6">
        <v>0</v>
      </c>
      <c r="V2051" s="6">
        <v>0</v>
      </c>
      <c r="W2051" s="6">
        <v>0</v>
      </c>
      <c r="X2051" s="6">
        <v>0</v>
      </c>
      <c r="Y2051" t="s">
        <v>28</v>
      </c>
      <c r="Z2051" s="5">
        <v>-44.4</v>
      </c>
      <c r="AA2051" s="3">
        <v>1.9340122915287541E-4</v>
      </c>
      <c r="AB2051" s="2">
        <v>0.20946492623537225</v>
      </c>
      <c r="AC2051" s="2">
        <v>8.2869518998258382E-2</v>
      </c>
      <c r="AD2051">
        <v>0.3</v>
      </c>
      <c r="AE2051">
        <v>756.7</v>
      </c>
      <c r="AF2051">
        <v>1</v>
      </c>
      <c r="AL2051" s="9">
        <v>17.5</v>
      </c>
      <c r="AM2051" s="9">
        <v>11</v>
      </c>
      <c r="AN2051" s="9">
        <v>2.5</v>
      </c>
      <c r="AP2051"/>
    </row>
    <row r="2052" spans="1:42" x14ac:dyDescent="0.3">
      <c r="A2052" t="s">
        <v>42</v>
      </c>
      <c r="B2052" t="s">
        <v>1581</v>
      </c>
      <c r="C2052">
        <v>85</v>
      </c>
      <c r="D2052" s="8">
        <v>1.4403999999999999</v>
      </c>
      <c r="E2052">
        <v>1200</v>
      </c>
      <c r="G2052" t="s">
        <v>29</v>
      </c>
      <c r="H2052" t="s">
        <v>987</v>
      </c>
      <c r="J2052" s="3">
        <v>120</v>
      </c>
      <c r="K2052" s="4">
        <v>24</v>
      </c>
      <c r="L2052" t="s">
        <v>140</v>
      </c>
      <c r="M2052" t="s">
        <v>28</v>
      </c>
      <c r="N2052" s="3">
        <v>1</v>
      </c>
      <c r="O2052" s="3">
        <v>0</v>
      </c>
      <c r="P2052">
        <v>22.5</v>
      </c>
      <c r="Q2052">
        <v>6.5</v>
      </c>
      <c r="R2052" t="s">
        <v>102</v>
      </c>
      <c r="S2052">
        <v>0</v>
      </c>
      <c r="T2052" s="6">
        <f>10^-(14-Q2052)</f>
        <v>3.1622776601683699E-8</v>
      </c>
      <c r="U2052" s="6">
        <v>0</v>
      </c>
      <c r="V2052" s="6">
        <v>0</v>
      </c>
      <c r="W2052" s="6">
        <v>0</v>
      </c>
      <c r="X2052" s="6">
        <v>0</v>
      </c>
      <c r="Y2052" t="s">
        <v>28</v>
      </c>
      <c r="Z2052" s="5">
        <v>-192</v>
      </c>
      <c r="AA2052" s="3">
        <v>4.7224259570472125E-5</v>
      </c>
      <c r="AB2052" s="2">
        <v>0.14356603120115183</v>
      </c>
      <c r="AC2052" s="2">
        <v>7.5210995338241826E-2</v>
      </c>
      <c r="AD2052">
        <v>0.3</v>
      </c>
      <c r="AE2052">
        <v>1000</v>
      </c>
      <c r="AF2052">
        <v>2</v>
      </c>
      <c r="AL2052" s="9">
        <v>17.5</v>
      </c>
      <c r="AM2052" s="9">
        <v>11</v>
      </c>
      <c r="AN2052" s="9">
        <v>2.5</v>
      </c>
      <c r="AP2052"/>
    </row>
    <row r="2053" spans="1:42" x14ac:dyDescent="0.3">
      <c r="A2053" t="s">
        <v>43</v>
      </c>
      <c r="B2053" t="s">
        <v>1581</v>
      </c>
      <c r="C2053">
        <v>85</v>
      </c>
      <c r="D2053" s="8">
        <v>1.4403999999999999</v>
      </c>
      <c r="E2053">
        <v>1200</v>
      </c>
      <c r="G2053" t="s">
        <v>29</v>
      </c>
      <c r="H2053" t="s">
        <v>987</v>
      </c>
      <c r="J2053" s="3">
        <v>127</v>
      </c>
      <c r="K2053" s="4">
        <v>24</v>
      </c>
      <c r="L2053" t="s">
        <v>140</v>
      </c>
      <c r="M2053" t="s">
        <v>28</v>
      </c>
      <c r="N2053" s="3">
        <v>1</v>
      </c>
      <c r="O2053" s="3">
        <v>0</v>
      </c>
      <c r="P2053">
        <v>22.5</v>
      </c>
      <c r="Q2053">
        <v>6.5</v>
      </c>
      <c r="R2053" t="s">
        <v>102</v>
      </c>
      <c r="S2053">
        <v>0</v>
      </c>
      <c r="T2053" s="6">
        <f>10^-(14-Q2053)</f>
        <v>3.1622776601683699E-8</v>
      </c>
      <c r="U2053" s="6">
        <v>0</v>
      </c>
      <c r="V2053" s="6">
        <v>0</v>
      </c>
      <c r="W2053" s="6">
        <v>0</v>
      </c>
      <c r="X2053" s="6">
        <v>0</v>
      </c>
      <c r="Y2053" t="s">
        <v>28</v>
      </c>
      <c r="Z2053" s="5">
        <v>-197</v>
      </c>
      <c r="AA2053" s="3">
        <v>6.1505404106608895E-5</v>
      </c>
      <c r="AB2053" s="2">
        <v>0.16291099629462377</v>
      </c>
      <c r="AC2053" s="2">
        <v>7.2739511228127093E-2</v>
      </c>
      <c r="AD2053">
        <v>0.3</v>
      </c>
      <c r="AE2053">
        <v>1000</v>
      </c>
      <c r="AF2053">
        <v>2</v>
      </c>
      <c r="AL2053" s="9">
        <v>17.5</v>
      </c>
      <c r="AM2053" s="9">
        <v>11</v>
      </c>
      <c r="AN2053" s="9">
        <v>2.5</v>
      </c>
      <c r="AP2053"/>
    </row>
    <row r="2054" spans="1:42" x14ac:dyDescent="0.3">
      <c r="A2054" t="s">
        <v>44</v>
      </c>
      <c r="B2054" t="s">
        <v>1581</v>
      </c>
      <c r="C2054">
        <v>85</v>
      </c>
      <c r="D2054" s="8">
        <v>1.4403999999999999</v>
      </c>
      <c r="E2054">
        <v>1200</v>
      </c>
      <c r="G2054" s="1" t="s">
        <v>29</v>
      </c>
      <c r="H2054" t="s">
        <v>987</v>
      </c>
      <c r="J2054" s="3">
        <v>140</v>
      </c>
      <c r="K2054" s="4">
        <v>1</v>
      </c>
      <c r="L2054" t="s">
        <v>140</v>
      </c>
      <c r="M2054" t="s">
        <v>28</v>
      </c>
      <c r="N2054" s="3">
        <v>1</v>
      </c>
      <c r="O2054" s="3">
        <v>0</v>
      </c>
      <c r="P2054">
        <v>22.5</v>
      </c>
      <c r="Q2054">
        <v>6.5</v>
      </c>
      <c r="R2054" t="s">
        <v>102</v>
      </c>
      <c r="S2054">
        <v>0</v>
      </c>
      <c r="T2054" s="6">
        <f>10^-(14-Q2054)</f>
        <v>3.1622776601683699E-8</v>
      </c>
      <c r="U2054" s="6">
        <v>0</v>
      </c>
      <c r="V2054" s="6">
        <v>0</v>
      </c>
      <c r="W2054" s="6">
        <v>0</v>
      </c>
      <c r="X2054" s="6">
        <v>0</v>
      </c>
      <c r="Y2054" t="s">
        <v>28</v>
      </c>
      <c r="Z2054" s="5">
        <v>66.2</v>
      </c>
      <c r="AA2054" s="3">
        <v>1.1421857299475864E-4</v>
      </c>
      <c r="AB2054" s="2">
        <v>0.18399233961282555</v>
      </c>
      <c r="AC2054" s="2">
        <v>8.5319202944669173E-2</v>
      </c>
      <c r="AD2054">
        <v>0.3</v>
      </c>
      <c r="AE2054">
        <v>688.1</v>
      </c>
      <c r="AF2054">
        <v>1</v>
      </c>
      <c r="AL2054" s="9">
        <v>17.5</v>
      </c>
      <c r="AM2054" s="9">
        <v>11</v>
      </c>
      <c r="AN2054" s="9">
        <v>2.5</v>
      </c>
      <c r="AP2054"/>
    </row>
    <row r="2055" spans="1:42" x14ac:dyDescent="0.3">
      <c r="A2055" t="s">
        <v>45</v>
      </c>
      <c r="B2055" t="s">
        <v>1581</v>
      </c>
      <c r="C2055">
        <v>85</v>
      </c>
      <c r="D2055" s="8">
        <v>1.4403999999999999</v>
      </c>
      <c r="E2055">
        <v>1200</v>
      </c>
      <c r="G2055" s="1" t="s">
        <v>29</v>
      </c>
      <c r="H2055" t="s">
        <v>987</v>
      </c>
      <c r="J2055" s="3">
        <v>140</v>
      </c>
      <c r="K2055" s="4">
        <v>1</v>
      </c>
      <c r="L2055" t="s">
        <v>140</v>
      </c>
      <c r="M2055" t="s">
        <v>28</v>
      </c>
      <c r="N2055" s="3">
        <v>1</v>
      </c>
      <c r="O2055" s="3">
        <v>0</v>
      </c>
      <c r="P2055">
        <v>22.5</v>
      </c>
      <c r="Q2055">
        <v>6.5</v>
      </c>
      <c r="R2055" t="s">
        <v>102</v>
      </c>
      <c r="S2055">
        <v>0</v>
      </c>
      <c r="T2055" s="6">
        <f>10^-(14-Q2055)</f>
        <v>3.1622776601683699E-8</v>
      </c>
      <c r="U2055" s="6">
        <v>0</v>
      </c>
      <c r="V2055" s="6">
        <v>0</v>
      </c>
      <c r="W2055" s="6">
        <v>0</v>
      </c>
      <c r="X2055" s="6">
        <v>0</v>
      </c>
      <c r="Y2055" t="s">
        <v>28</v>
      </c>
      <c r="Z2055" s="5">
        <v>17.5</v>
      </c>
      <c r="AA2055" s="3">
        <v>2.1594465729597704E-4</v>
      </c>
      <c r="AB2055" s="2">
        <v>0.28529067193810403</v>
      </c>
      <c r="AC2055" s="2">
        <v>9.2645991747982659E-2</v>
      </c>
      <c r="AD2055">
        <v>0.3</v>
      </c>
      <c r="AE2055">
        <v>637.4</v>
      </c>
      <c r="AF2055">
        <v>1</v>
      </c>
      <c r="AL2055" s="9">
        <v>17.5</v>
      </c>
      <c r="AM2055" s="9">
        <v>11</v>
      </c>
      <c r="AN2055" s="9">
        <v>2.5</v>
      </c>
      <c r="AP2055"/>
    </row>
    <row r="2056" spans="1:42" x14ac:dyDescent="0.3">
      <c r="A2056" t="s">
        <v>46</v>
      </c>
      <c r="B2056" t="s">
        <v>1581</v>
      </c>
      <c r="C2056">
        <v>85</v>
      </c>
      <c r="D2056" s="8">
        <v>1.4403999999999999</v>
      </c>
      <c r="E2056">
        <v>1200</v>
      </c>
      <c r="G2056" s="1" t="s">
        <v>29</v>
      </c>
      <c r="H2056" t="s">
        <v>987</v>
      </c>
      <c r="J2056" s="3">
        <v>140</v>
      </c>
      <c r="K2056" s="4">
        <v>1</v>
      </c>
      <c r="L2056" t="s">
        <v>140</v>
      </c>
      <c r="M2056" t="s">
        <v>28</v>
      </c>
      <c r="N2056" s="3">
        <v>1</v>
      </c>
      <c r="O2056" s="3">
        <v>0</v>
      </c>
      <c r="P2056">
        <v>22.5</v>
      </c>
      <c r="Q2056">
        <v>6.5</v>
      </c>
      <c r="R2056" t="s">
        <v>102</v>
      </c>
      <c r="S2056">
        <v>0</v>
      </c>
      <c r="T2056" s="6">
        <f>10^-(14-Q2056)</f>
        <v>3.1622776601683699E-8</v>
      </c>
      <c r="U2056" s="6">
        <v>0</v>
      </c>
      <c r="V2056" s="6">
        <v>0</v>
      </c>
      <c r="W2056" s="6">
        <v>0</v>
      </c>
      <c r="X2056" s="6">
        <v>0</v>
      </c>
      <c r="Y2056" t="s">
        <v>28</v>
      </c>
      <c r="Z2056" s="5">
        <v>-129</v>
      </c>
      <c r="AA2056" s="3">
        <v>1.0037984075713822E-4</v>
      </c>
      <c r="AB2056" s="2">
        <v>0.18010721841122512</v>
      </c>
      <c r="AC2056" s="2">
        <v>8.4511475054280388E-2</v>
      </c>
      <c r="AD2056">
        <v>0.3</v>
      </c>
      <c r="AE2056">
        <v>879.8</v>
      </c>
      <c r="AF2056">
        <v>1</v>
      </c>
      <c r="AL2056" s="9">
        <v>17.5</v>
      </c>
      <c r="AM2056" s="9">
        <v>11</v>
      </c>
      <c r="AN2056" s="9">
        <v>2.5</v>
      </c>
      <c r="AP2056"/>
    </row>
    <row r="2057" spans="1:42" x14ac:dyDescent="0.3">
      <c r="A2057" t="s">
        <v>47</v>
      </c>
      <c r="B2057" t="s">
        <v>1581</v>
      </c>
      <c r="C2057">
        <v>85</v>
      </c>
      <c r="D2057" s="8">
        <v>1.4403999999999999</v>
      </c>
      <c r="E2057">
        <v>1200</v>
      </c>
      <c r="G2057" t="s">
        <v>31</v>
      </c>
      <c r="H2057">
        <v>-1.2</v>
      </c>
      <c r="I2057" s="4">
        <v>1</v>
      </c>
      <c r="J2057" s="3">
        <v>0.25</v>
      </c>
      <c r="K2057" s="4">
        <v>24</v>
      </c>
      <c r="L2057" t="s">
        <v>140</v>
      </c>
      <c r="M2057" t="s">
        <v>28</v>
      </c>
      <c r="N2057" s="3">
        <v>1</v>
      </c>
      <c r="O2057" s="3">
        <v>0</v>
      </c>
      <c r="P2057">
        <v>22.5</v>
      </c>
      <c r="Q2057">
        <v>6.5</v>
      </c>
      <c r="R2057" t="s">
        <v>102</v>
      </c>
      <c r="S2057">
        <v>0</v>
      </c>
      <c r="T2057" s="6">
        <f>10^-(14-Q2057)</f>
        <v>3.1622776601683699E-8</v>
      </c>
      <c r="U2057" s="6">
        <v>0</v>
      </c>
      <c r="V2057" s="6">
        <v>0</v>
      </c>
      <c r="W2057" s="6">
        <v>0</v>
      </c>
      <c r="X2057" s="6">
        <v>0</v>
      </c>
      <c r="Y2057" t="s">
        <v>28</v>
      </c>
      <c r="Z2057" s="5">
        <v>-59.4</v>
      </c>
      <c r="AA2057" s="3">
        <v>5.4241364327877577E-5</v>
      </c>
      <c r="AB2057" s="2">
        <v>0.17360767091848356</v>
      </c>
      <c r="AC2057" s="2">
        <v>5.4883927969613236E-2</v>
      </c>
      <c r="AD2057">
        <v>0.3</v>
      </c>
      <c r="AE2057">
        <v>958.6</v>
      </c>
      <c r="AF2057">
        <v>1</v>
      </c>
      <c r="AL2057" s="9">
        <v>17.5</v>
      </c>
      <c r="AM2057" s="9">
        <v>11</v>
      </c>
      <c r="AN2057" s="9">
        <v>2.5</v>
      </c>
      <c r="AP2057"/>
    </row>
    <row r="2058" spans="1:42" x14ac:dyDescent="0.3">
      <c r="A2058" t="s">
        <v>48</v>
      </c>
      <c r="B2058" t="s">
        <v>1581</v>
      </c>
      <c r="C2058">
        <v>85</v>
      </c>
      <c r="D2058" s="8">
        <v>1.4403999999999999</v>
      </c>
      <c r="E2058">
        <v>1200</v>
      </c>
      <c r="G2058" t="s">
        <v>31</v>
      </c>
      <c r="H2058">
        <v>-1.2</v>
      </c>
      <c r="I2058" s="4">
        <v>1</v>
      </c>
      <c r="J2058" s="3">
        <v>0.25</v>
      </c>
      <c r="K2058" s="4">
        <v>24</v>
      </c>
      <c r="L2058" t="s">
        <v>140</v>
      </c>
      <c r="M2058" t="s">
        <v>28</v>
      </c>
      <c r="N2058" s="3">
        <v>1</v>
      </c>
      <c r="O2058" s="3">
        <v>0</v>
      </c>
      <c r="P2058">
        <v>22.5</v>
      </c>
      <c r="Q2058">
        <v>6.5</v>
      </c>
      <c r="R2058" t="s">
        <v>102</v>
      </c>
      <c r="S2058">
        <v>0</v>
      </c>
      <c r="T2058" s="6">
        <f>10^-(14-Q2058)</f>
        <v>3.1622776601683699E-8</v>
      </c>
      <c r="U2058" s="6">
        <v>0</v>
      </c>
      <c r="V2058" s="6">
        <v>0</v>
      </c>
      <c r="W2058" s="6">
        <v>0</v>
      </c>
      <c r="X2058" s="6">
        <v>0</v>
      </c>
      <c r="Y2058" t="s">
        <v>28</v>
      </c>
      <c r="Z2058" s="5">
        <v>-177</v>
      </c>
      <c r="AA2058" s="3">
        <v>6.6107398993135998E-5</v>
      </c>
      <c r="AB2058" s="2">
        <v>0.17890907391849672</v>
      </c>
      <c r="AC2058" s="2">
        <v>5.6791395385788521E-2</v>
      </c>
      <c r="AD2058">
        <v>0.3</v>
      </c>
      <c r="AE2058">
        <v>917.1</v>
      </c>
      <c r="AF2058">
        <v>1</v>
      </c>
      <c r="AL2058" s="9">
        <v>17.5</v>
      </c>
      <c r="AM2058" s="9">
        <v>11</v>
      </c>
      <c r="AN2058" s="9">
        <v>2.5</v>
      </c>
      <c r="AP2058"/>
    </row>
    <row r="2059" spans="1:42" x14ac:dyDescent="0.3">
      <c r="A2059" t="s">
        <v>49</v>
      </c>
      <c r="B2059" t="s">
        <v>1581</v>
      </c>
      <c r="C2059">
        <v>85</v>
      </c>
      <c r="D2059" s="8">
        <v>1.4403999999999999</v>
      </c>
      <c r="E2059">
        <v>1200</v>
      </c>
      <c r="G2059" s="1" t="s">
        <v>31</v>
      </c>
      <c r="H2059">
        <v>-1.2</v>
      </c>
      <c r="I2059" s="4">
        <v>1</v>
      </c>
      <c r="J2059" s="3">
        <v>0.25</v>
      </c>
      <c r="K2059" s="4">
        <v>24</v>
      </c>
      <c r="L2059" t="s">
        <v>140</v>
      </c>
      <c r="M2059" t="s">
        <v>28</v>
      </c>
      <c r="N2059" s="3">
        <v>1</v>
      </c>
      <c r="O2059" s="3">
        <v>0</v>
      </c>
      <c r="P2059">
        <v>22.5</v>
      </c>
      <c r="Q2059">
        <v>6.5</v>
      </c>
      <c r="R2059" t="s">
        <v>102</v>
      </c>
      <c r="S2059">
        <v>0</v>
      </c>
      <c r="T2059" s="6">
        <f>10^-(14-Q2059)</f>
        <v>3.1622776601683699E-8</v>
      </c>
      <c r="U2059" s="6">
        <v>0</v>
      </c>
      <c r="V2059" s="6">
        <v>0</v>
      </c>
      <c r="W2059" s="6">
        <v>0</v>
      </c>
      <c r="X2059" s="6">
        <v>0</v>
      </c>
      <c r="Y2059" t="s">
        <v>28</v>
      </c>
      <c r="Z2059" s="5">
        <v>-86.8</v>
      </c>
      <c r="AA2059" s="3">
        <v>7.1903872977025757E-5</v>
      </c>
      <c r="AB2059" s="2">
        <v>0.25092358211750182</v>
      </c>
      <c r="AC2059" s="2">
        <v>6.039090412223961E-2</v>
      </c>
      <c r="AD2059">
        <v>0.3</v>
      </c>
      <c r="AE2059">
        <v>894.3</v>
      </c>
      <c r="AF2059">
        <v>1</v>
      </c>
      <c r="AL2059" s="9">
        <v>17.5</v>
      </c>
      <c r="AM2059" s="9">
        <v>11</v>
      </c>
      <c r="AN2059" s="9">
        <v>2.5</v>
      </c>
      <c r="AP2059"/>
    </row>
    <row r="2060" spans="1:42" x14ac:dyDescent="0.3">
      <c r="A2060" t="s">
        <v>50</v>
      </c>
      <c r="B2060" t="s">
        <v>1581</v>
      </c>
      <c r="C2060">
        <v>85</v>
      </c>
      <c r="D2060" s="8">
        <v>1.4403999999999999</v>
      </c>
      <c r="E2060">
        <v>1200</v>
      </c>
      <c r="G2060" t="s">
        <v>29</v>
      </c>
      <c r="H2060" t="s">
        <v>987</v>
      </c>
      <c r="J2060" s="3">
        <v>164</v>
      </c>
      <c r="K2060" s="4">
        <v>5</v>
      </c>
      <c r="L2060" t="s">
        <v>140</v>
      </c>
      <c r="M2060" t="s">
        <v>28</v>
      </c>
      <c r="N2060" s="3">
        <v>1</v>
      </c>
      <c r="O2060" s="3">
        <v>0</v>
      </c>
      <c r="P2060">
        <v>22.5</v>
      </c>
      <c r="Q2060">
        <v>6.5</v>
      </c>
      <c r="R2060" t="s">
        <v>102</v>
      </c>
      <c r="S2060">
        <v>0</v>
      </c>
      <c r="T2060" s="6">
        <f>10^-(14-Q2060)</f>
        <v>3.1622776601683699E-8</v>
      </c>
      <c r="U2060" s="6">
        <v>0</v>
      </c>
      <c r="V2060" s="6">
        <v>0</v>
      </c>
      <c r="W2060" s="6">
        <v>0</v>
      </c>
      <c r="X2060" s="6">
        <v>0</v>
      </c>
      <c r="Y2060" t="s">
        <v>28</v>
      </c>
      <c r="Z2060" s="5">
        <v>-152</v>
      </c>
      <c r="AA2060" s="3">
        <v>5.7606053521555816E-5</v>
      </c>
      <c r="AB2060" s="2">
        <v>0.16515713273493324</v>
      </c>
      <c r="AC2060" s="2">
        <v>6.7062460898866222E-2</v>
      </c>
      <c r="AD2060">
        <v>0.3</v>
      </c>
      <c r="AE2060">
        <v>861.2</v>
      </c>
      <c r="AF2060">
        <v>1</v>
      </c>
      <c r="AL2060" s="9">
        <v>17.5</v>
      </c>
      <c r="AM2060" s="9">
        <v>11</v>
      </c>
      <c r="AN2060" s="9">
        <v>2.5</v>
      </c>
      <c r="AP2060"/>
    </row>
    <row r="2061" spans="1:42" x14ac:dyDescent="0.3">
      <c r="A2061" t="s">
        <v>51</v>
      </c>
      <c r="B2061" t="s">
        <v>1581</v>
      </c>
      <c r="C2061">
        <v>85</v>
      </c>
      <c r="D2061" s="8">
        <v>1.4403999999999999</v>
      </c>
      <c r="E2061">
        <v>1200</v>
      </c>
      <c r="G2061" s="1" t="s">
        <v>29</v>
      </c>
      <c r="H2061" t="s">
        <v>987</v>
      </c>
      <c r="J2061" s="3">
        <v>164</v>
      </c>
      <c r="K2061" s="4">
        <v>5</v>
      </c>
      <c r="L2061" t="s">
        <v>140</v>
      </c>
      <c r="M2061" t="s">
        <v>28</v>
      </c>
      <c r="N2061" s="3">
        <v>1</v>
      </c>
      <c r="O2061" s="3">
        <v>0</v>
      </c>
      <c r="P2061">
        <v>22.5</v>
      </c>
      <c r="Q2061">
        <v>6.5</v>
      </c>
      <c r="R2061" t="s">
        <v>102</v>
      </c>
      <c r="S2061">
        <v>0</v>
      </c>
      <c r="T2061" s="6">
        <f>10^-(14-Q2061)</f>
        <v>3.1622776601683699E-8</v>
      </c>
      <c r="U2061" s="6">
        <v>0</v>
      </c>
      <c r="V2061" s="6">
        <v>0</v>
      </c>
      <c r="W2061" s="6">
        <v>0</v>
      </c>
      <c r="X2061" s="6">
        <v>0</v>
      </c>
      <c r="Y2061" t="s">
        <v>28</v>
      </c>
      <c r="Z2061" s="5">
        <v>-33.799999999999997</v>
      </c>
      <c r="AA2061" s="3">
        <v>7.2437466207764774E-5</v>
      </c>
      <c r="AB2061" s="2">
        <v>0.39869287197709069</v>
      </c>
      <c r="AC2061" s="2">
        <v>7.46226853056558E-2</v>
      </c>
      <c r="AD2061">
        <v>0.3</v>
      </c>
      <c r="AE2061">
        <v>622.9</v>
      </c>
      <c r="AF2061">
        <v>1</v>
      </c>
      <c r="AL2061" s="9">
        <v>17.5</v>
      </c>
      <c r="AM2061" s="9">
        <v>11</v>
      </c>
      <c r="AN2061" s="9">
        <v>2.5</v>
      </c>
      <c r="AP2061"/>
    </row>
    <row r="2062" spans="1:42" x14ac:dyDescent="0.3">
      <c r="A2062" t="s">
        <v>52</v>
      </c>
      <c r="B2062" t="s">
        <v>1581</v>
      </c>
      <c r="C2062">
        <v>85</v>
      </c>
      <c r="D2062" s="8">
        <v>1.4403999999999999</v>
      </c>
      <c r="E2062">
        <v>1200</v>
      </c>
      <c r="G2062" t="s">
        <v>32</v>
      </c>
      <c r="H2062">
        <v>1.5</v>
      </c>
      <c r="I2062" s="4">
        <v>0.62</v>
      </c>
      <c r="J2062" s="3">
        <v>0.33333333333333331</v>
      </c>
      <c r="K2062" s="4">
        <v>1</v>
      </c>
      <c r="L2062" t="s">
        <v>140</v>
      </c>
      <c r="M2062" t="s">
        <v>28</v>
      </c>
      <c r="N2062" s="3">
        <v>1</v>
      </c>
      <c r="O2062" s="3">
        <v>0</v>
      </c>
      <c r="P2062">
        <v>22.5</v>
      </c>
      <c r="Q2062">
        <v>6.5</v>
      </c>
      <c r="R2062" t="s">
        <v>102</v>
      </c>
      <c r="S2062">
        <v>0</v>
      </c>
      <c r="T2062" s="6">
        <f>10^-(14-Q2062)</f>
        <v>3.1622776601683699E-8</v>
      </c>
      <c r="U2062" s="6">
        <v>0</v>
      </c>
      <c r="V2062" s="6">
        <v>0</v>
      </c>
      <c r="W2062" s="6">
        <v>0</v>
      </c>
      <c r="X2062" s="6">
        <v>0</v>
      </c>
      <c r="Y2062" t="s">
        <v>28</v>
      </c>
      <c r="Z2062" s="5">
        <v>-128</v>
      </c>
      <c r="AA2062" s="3">
        <v>6.9787577985542333E-4</v>
      </c>
      <c r="AB2062" s="2">
        <v>0.21053809607180493</v>
      </c>
      <c r="AC2062" s="2">
        <v>9.0578287186760587E-2</v>
      </c>
      <c r="AD2062">
        <v>0.3</v>
      </c>
      <c r="AE2062">
        <v>543.4</v>
      </c>
      <c r="AF2062">
        <v>1</v>
      </c>
      <c r="AL2062" s="9">
        <v>17.5</v>
      </c>
      <c r="AM2062" s="9">
        <v>11</v>
      </c>
      <c r="AN2062" s="9">
        <v>2.5</v>
      </c>
      <c r="AP2062"/>
    </row>
    <row r="2063" spans="1:42" x14ac:dyDescent="0.3">
      <c r="A2063" t="s">
        <v>53</v>
      </c>
      <c r="B2063" t="s">
        <v>1581</v>
      </c>
      <c r="C2063">
        <v>85</v>
      </c>
      <c r="D2063" s="8">
        <v>1.4403999999999999</v>
      </c>
      <c r="E2063">
        <v>1200</v>
      </c>
      <c r="G2063" s="1" t="s">
        <v>32</v>
      </c>
      <c r="H2063">
        <v>1.5</v>
      </c>
      <c r="I2063" s="4">
        <v>0.62</v>
      </c>
      <c r="J2063" s="3">
        <v>0.33333333333333331</v>
      </c>
      <c r="K2063" s="4">
        <v>1</v>
      </c>
      <c r="L2063" t="s">
        <v>140</v>
      </c>
      <c r="M2063" t="s">
        <v>28</v>
      </c>
      <c r="N2063" s="3">
        <v>1</v>
      </c>
      <c r="O2063" s="3">
        <v>0</v>
      </c>
      <c r="P2063">
        <v>22.5</v>
      </c>
      <c r="Q2063">
        <v>6.5</v>
      </c>
      <c r="R2063" t="s">
        <v>102</v>
      </c>
      <c r="S2063">
        <v>0</v>
      </c>
      <c r="T2063" s="6">
        <f>10^-(14-Q2063)</f>
        <v>3.1622776601683699E-8</v>
      </c>
      <c r="U2063" s="6">
        <v>0</v>
      </c>
      <c r="V2063" s="6">
        <v>0</v>
      </c>
      <c r="W2063" s="6">
        <v>0</v>
      </c>
      <c r="X2063" s="6">
        <v>0</v>
      </c>
      <c r="Y2063" t="s">
        <v>28</v>
      </c>
      <c r="Z2063" s="5">
        <v>-172</v>
      </c>
      <c r="AA2063" s="3">
        <v>6.2527742855967086E-4</v>
      </c>
      <c r="AB2063" s="2">
        <v>0.19513545129777479</v>
      </c>
      <c r="AC2063" s="2">
        <v>7.4961477574687532E-2</v>
      </c>
      <c r="AD2063">
        <v>0.3</v>
      </c>
      <c r="AE2063">
        <v>535.9</v>
      </c>
      <c r="AF2063">
        <v>1</v>
      </c>
      <c r="AL2063" s="9">
        <v>17.5</v>
      </c>
      <c r="AM2063" s="9">
        <v>11</v>
      </c>
      <c r="AN2063" s="9">
        <v>2.5</v>
      </c>
      <c r="AP2063"/>
    </row>
    <row r="2064" spans="1:42" x14ac:dyDescent="0.3">
      <c r="A2064" t="s">
        <v>54</v>
      </c>
      <c r="B2064" t="s">
        <v>1581</v>
      </c>
      <c r="C2064">
        <v>85</v>
      </c>
      <c r="D2064" s="8">
        <v>1.4403999999999999</v>
      </c>
      <c r="E2064">
        <v>1200</v>
      </c>
      <c r="G2064" t="s">
        <v>32</v>
      </c>
      <c r="H2064">
        <v>1.5</v>
      </c>
      <c r="I2064" s="4">
        <v>0.62</v>
      </c>
      <c r="J2064" s="3">
        <v>0.33333333333333331</v>
      </c>
      <c r="K2064" s="4">
        <v>1</v>
      </c>
      <c r="L2064" t="s">
        <v>140</v>
      </c>
      <c r="M2064" t="s">
        <v>28</v>
      </c>
      <c r="N2064" s="3">
        <v>1</v>
      </c>
      <c r="O2064" s="3">
        <v>0</v>
      </c>
      <c r="P2064">
        <v>22.5</v>
      </c>
      <c r="Q2064">
        <v>6.5</v>
      </c>
      <c r="R2064" t="s">
        <v>102</v>
      </c>
      <c r="S2064">
        <v>0</v>
      </c>
      <c r="T2064" s="6">
        <f>10^-(14-Q2064)</f>
        <v>3.1622776601683699E-8</v>
      </c>
      <c r="U2064" s="6">
        <v>0</v>
      </c>
      <c r="V2064" s="6">
        <v>0</v>
      </c>
      <c r="W2064" s="6">
        <v>0</v>
      </c>
      <c r="X2064" s="6">
        <v>0</v>
      </c>
      <c r="Y2064" t="s">
        <v>28</v>
      </c>
      <c r="Z2064" s="5">
        <v>-151</v>
      </c>
      <c r="AA2064" s="3">
        <v>4.8741219735177728E-4</v>
      </c>
      <c r="AB2064" s="2">
        <v>0.20671980393872261</v>
      </c>
      <c r="AC2064" s="2">
        <v>7.3647803870629372E-2</v>
      </c>
      <c r="AD2064">
        <v>0.3</v>
      </c>
      <c r="AE2064">
        <v>521.4</v>
      </c>
      <c r="AF2064">
        <v>1</v>
      </c>
      <c r="AL2064" s="9">
        <v>17.5</v>
      </c>
      <c r="AM2064" s="9">
        <v>11</v>
      </c>
      <c r="AN2064" s="9">
        <v>2.5</v>
      </c>
      <c r="AP2064"/>
    </row>
    <row r="2065" spans="1:42" x14ac:dyDescent="0.3">
      <c r="A2065" t="s">
        <v>55</v>
      </c>
      <c r="B2065" t="s">
        <v>1581</v>
      </c>
      <c r="C2065">
        <v>85</v>
      </c>
      <c r="D2065" s="8">
        <v>1.4403999999999999</v>
      </c>
      <c r="E2065">
        <v>1200</v>
      </c>
      <c r="G2065" s="1" t="s">
        <v>32</v>
      </c>
      <c r="H2065">
        <v>1.5</v>
      </c>
      <c r="I2065" s="4">
        <v>0.62</v>
      </c>
      <c r="J2065" s="3">
        <v>0.33333333333333331</v>
      </c>
      <c r="K2065" s="4">
        <v>1</v>
      </c>
      <c r="L2065" t="s">
        <v>140</v>
      </c>
      <c r="M2065" t="s">
        <v>28</v>
      </c>
      <c r="N2065" s="3">
        <v>1</v>
      </c>
      <c r="O2065" s="3">
        <v>0</v>
      </c>
      <c r="P2065">
        <v>22.5</v>
      </c>
      <c r="Q2065">
        <v>6.5</v>
      </c>
      <c r="R2065" t="s">
        <v>102</v>
      </c>
      <c r="S2065">
        <v>0</v>
      </c>
      <c r="T2065" s="6">
        <f>10^-(14-Q2065)</f>
        <v>3.1622776601683699E-8</v>
      </c>
      <c r="U2065" s="6">
        <v>0</v>
      </c>
      <c r="V2065" s="6">
        <v>0</v>
      </c>
      <c r="W2065" s="6">
        <v>0</v>
      </c>
      <c r="X2065" s="6">
        <v>0</v>
      </c>
      <c r="Y2065" t="s">
        <v>28</v>
      </c>
      <c r="Z2065" s="5">
        <v>-152</v>
      </c>
      <c r="AA2065" s="3">
        <v>9.5775258839254722E-4</v>
      </c>
      <c r="AB2065" s="2">
        <v>0.29841556775225403</v>
      </c>
      <c r="AC2065" s="2">
        <v>8.4814088955051006E-2</v>
      </c>
      <c r="AD2065">
        <v>0.3</v>
      </c>
      <c r="AE2065">
        <v>619.5</v>
      </c>
      <c r="AF2065">
        <v>1</v>
      </c>
      <c r="AL2065" s="9">
        <v>17.5</v>
      </c>
      <c r="AM2065" s="9">
        <v>11</v>
      </c>
      <c r="AN2065" s="9">
        <v>2.5</v>
      </c>
      <c r="AP2065"/>
    </row>
    <row r="2066" spans="1:42" x14ac:dyDescent="0.3">
      <c r="A2066" t="s">
        <v>56</v>
      </c>
      <c r="B2066" t="s">
        <v>1581</v>
      </c>
      <c r="C2066">
        <v>85</v>
      </c>
      <c r="D2066" s="8">
        <v>1.4403999999999999</v>
      </c>
      <c r="E2066">
        <v>1200</v>
      </c>
      <c r="G2066" s="1" t="s">
        <v>32</v>
      </c>
      <c r="H2066">
        <v>1.5</v>
      </c>
      <c r="I2066" s="4">
        <v>0.62</v>
      </c>
      <c r="J2066" s="3">
        <v>0.33333333333333331</v>
      </c>
      <c r="K2066" s="4">
        <v>1</v>
      </c>
      <c r="L2066" t="s">
        <v>140</v>
      </c>
      <c r="M2066" t="s">
        <v>28</v>
      </c>
      <c r="N2066" s="3">
        <v>1</v>
      </c>
      <c r="O2066" s="3">
        <v>0</v>
      </c>
      <c r="P2066">
        <v>22.5</v>
      </c>
      <c r="Q2066">
        <v>6.5</v>
      </c>
      <c r="R2066" t="s">
        <v>102</v>
      </c>
      <c r="S2066">
        <v>0</v>
      </c>
      <c r="T2066" s="6">
        <f>10^-(14-Q2066)</f>
        <v>3.1622776601683699E-8</v>
      </c>
      <c r="U2066" s="6">
        <v>0</v>
      </c>
      <c r="V2066" s="6">
        <v>0</v>
      </c>
      <c r="W2066" s="6">
        <v>0</v>
      </c>
      <c r="X2066" s="6">
        <v>0</v>
      </c>
      <c r="Y2066" t="s">
        <v>28</v>
      </c>
      <c r="Z2066" s="5">
        <v>-107</v>
      </c>
      <c r="AA2066" s="3">
        <v>8.28039521204811E-4</v>
      </c>
      <c r="AB2066" s="2">
        <v>0.23505160391431004</v>
      </c>
      <c r="AC2066" s="2">
        <v>9.9879057147247235E-2</v>
      </c>
      <c r="AD2066">
        <v>0.3</v>
      </c>
      <c r="AE2066">
        <v>656</v>
      </c>
      <c r="AF2066">
        <v>1</v>
      </c>
      <c r="AL2066" s="9">
        <v>17.5</v>
      </c>
      <c r="AM2066" s="9">
        <v>11</v>
      </c>
      <c r="AN2066" s="9">
        <v>2.5</v>
      </c>
      <c r="AP2066"/>
    </row>
    <row r="2067" spans="1:42" x14ac:dyDescent="0.3">
      <c r="A2067" t="s">
        <v>57</v>
      </c>
      <c r="B2067" t="s">
        <v>1581</v>
      </c>
      <c r="C2067">
        <v>85</v>
      </c>
      <c r="D2067" s="8">
        <v>1.4403999999999999</v>
      </c>
      <c r="E2067">
        <v>1200</v>
      </c>
      <c r="G2067" s="1" t="s">
        <v>32</v>
      </c>
      <c r="H2067">
        <v>1.5</v>
      </c>
      <c r="I2067" s="4">
        <v>0.62</v>
      </c>
      <c r="J2067" s="3">
        <v>0.33333333333333331</v>
      </c>
      <c r="K2067" s="4">
        <v>1</v>
      </c>
      <c r="L2067" t="s">
        <v>140</v>
      </c>
      <c r="M2067" t="s">
        <v>28</v>
      </c>
      <c r="N2067" s="3">
        <v>1</v>
      </c>
      <c r="O2067" s="3">
        <v>0</v>
      </c>
      <c r="P2067">
        <v>22.5</v>
      </c>
      <c r="Q2067">
        <v>6.5</v>
      </c>
      <c r="R2067" t="s">
        <v>102</v>
      </c>
      <c r="S2067">
        <v>0</v>
      </c>
      <c r="T2067" s="6">
        <f>10^-(14-Q2067)</f>
        <v>3.1622776601683699E-8</v>
      </c>
      <c r="U2067" s="6">
        <v>0</v>
      </c>
      <c r="V2067" s="6">
        <v>0</v>
      </c>
      <c r="W2067" s="6">
        <v>0</v>
      </c>
      <c r="X2067" s="6">
        <v>0</v>
      </c>
      <c r="Y2067" t="s">
        <v>28</v>
      </c>
      <c r="Z2067" s="5">
        <v>-120</v>
      </c>
      <c r="AA2067" s="3">
        <v>6.6224770541999274E-4</v>
      </c>
      <c r="AB2067" s="2">
        <v>0.27329598538220112</v>
      </c>
      <c r="AC2067" s="2">
        <v>9.5805735382174073E-2</v>
      </c>
      <c r="AD2067">
        <v>0.3</v>
      </c>
      <c r="AE2067">
        <v>590.29999999999995</v>
      </c>
      <c r="AF2067">
        <v>1</v>
      </c>
      <c r="AL2067" s="9">
        <v>17.5</v>
      </c>
      <c r="AM2067" s="9">
        <v>11</v>
      </c>
      <c r="AN2067" s="9">
        <v>2.5</v>
      </c>
      <c r="AP2067"/>
    </row>
    <row r="2068" spans="1:42" x14ac:dyDescent="0.3">
      <c r="A2068" t="s">
        <v>58</v>
      </c>
      <c r="B2068" t="s">
        <v>1581</v>
      </c>
      <c r="C2068">
        <v>85</v>
      </c>
      <c r="D2068" s="8">
        <v>1.4403999999999999</v>
      </c>
      <c r="E2068">
        <v>1200</v>
      </c>
      <c r="G2068" t="s">
        <v>32</v>
      </c>
      <c r="H2068">
        <v>1.5</v>
      </c>
      <c r="I2068" s="4">
        <v>0.62</v>
      </c>
      <c r="J2068" s="3">
        <v>0.33333333333333331</v>
      </c>
      <c r="K2068" s="4">
        <v>5</v>
      </c>
      <c r="L2068" t="s">
        <v>140</v>
      </c>
      <c r="M2068" t="s">
        <v>28</v>
      </c>
      <c r="N2068" s="3">
        <v>1</v>
      </c>
      <c r="O2068" s="3">
        <v>0</v>
      </c>
      <c r="P2068">
        <v>22.5</v>
      </c>
      <c r="Q2068">
        <v>6.5</v>
      </c>
      <c r="R2068" t="s">
        <v>102</v>
      </c>
      <c r="S2068">
        <v>0</v>
      </c>
      <c r="T2068" s="6">
        <f>10^-(14-Q2068)</f>
        <v>3.1622776601683699E-8</v>
      </c>
      <c r="U2068" s="6">
        <v>0</v>
      </c>
      <c r="V2068" s="6">
        <v>0</v>
      </c>
      <c r="W2068" s="6">
        <v>0</v>
      </c>
      <c r="X2068" s="6">
        <v>0</v>
      </c>
      <c r="Y2068" t="s">
        <v>28</v>
      </c>
      <c r="Z2068" s="5">
        <v>-86.6</v>
      </c>
      <c r="AA2068" s="3">
        <v>1.6910989449437505E-4</v>
      </c>
      <c r="AB2068" s="2">
        <v>0.18551801012070945</v>
      </c>
      <c r="AC2068" s="2">
        <v>8.996588054316132E-2</v>
      </c>
      <c r="AD2068">
        <v>0.3</v>
      </c>
      <c r="AE2068">
        <v>699.6</v>
      </c>
      <c r="AF2068">
        <v>1</v>
      </c>
      <c r="AL2068" s="9">
        <v>17.5</v>
      </c>
      <c r="AM2068" s="9">
        <v>11</v>
      </c>
      <c r="AN2068" s="9">
        <v>2.5</v>
      </c>
      <c r="AP2068"/>
    </row>
    <row r="2069" spans="1:42" x14ac:dyDescent="0.3">
      <c r="A2069" t="s">
        <v>59</v>
      </c>
      <c r="B2069" t="s">
        <v>1581</v>
      </c>
      <c r="C2069">
        <v>85</v>
      </c>
      <c r="D2069" s="8">
        <v>1.4403999999999999</v>
      </c>
      <c r="E2069">
        <v>1200</v>
      </c>
      <c r="G2069" s="1" t="s">
        <v>32</v>
      </c>
      <c r="H2069">
        <v>1.5</v>
      </c>
      <c r="I2069" s="4">
        <v>0.62</v>
      </c>
      <c r="J2069" s="3">
        <v>0.33333333333333331</v>
      </c>
      <c r="K2069" s="4">
        <v>5</v>
      </c>
      <c r="L2069" t="s">
        <v>140</v>
      </c>
      <c r="M2069" t="s">
        <v>28</v>
      </c>
      <c r="N2069" s="3">
        <v>1</v>
      </c>
      <c r="O2069" s="3">
        <v>0</v>
      </c>
      <c r="P2069">
        <v>22.5</v>
      </c>
      <c r="Q2069">
        <v>6.5</v>
      </c>
      <c r="R2069" t="s">
        <v>102</v>
      </c>
      <c r="S2069">
        <v>0</v>
      </c>
      <c r="T2069" s="6">
        <f>10^-(14-Q2069)</f>
        <v>3.1622776601683699E-8</v>
      </c>
      <c r="U2069" s="6">
        <v>0</v>
      </c>
      <c r="V2069" s="6">
        <v>0</v>
      </c>
      <c r="W2069" s="6">
        <v>0</v>
      </c>
      <c r="X2069" s="6">
        <v>0</v>
      </c>
      <c r="Y2069" t="s">
        <v>28</v>
      </c>
      <c r="Z2069" s="5">
        <v>-84.3</v>
      </c>
      <c r="AA2069" s="3">
        <v>2.479059612239227E-4</v>
      </c>
      <c r="AB2069" s="2">
        <v>0.20173490828394322</v>
      </c>
      <c r="AC2069" s="2">
        <v>8.3190516177733376E-2</v>
      </c>
      <c r="AD2069">
        <v>0.3</v>
      </c>
      <c r="AE2069">
        <v>894.3</v>
      </c>
      <c r="AF2069">
        <v>1</v>
      </c>
      <c r="AL2069" s="9">
        <v>17.5</v>
      </c>
      <c r="AM2069" s="9">
        <v>11</v>
      </c>
      <c r="AN2069" s="9">
        <v>2.5</v>
      </c>
      <c r="AP2069"/>
    </row>
    <row r="2070" spans="1:42" x14ac:dyDescent="0.3">
      <c r="A2070" t="s">
        <v>60</v>
      </c>
      <c r="B2070" t="s">
        <v>1581</v>
      </c>
      <c r="C2070">
        <v>85</v>
      </c>
      <c r="D2070" s="8">
        <v>1.4403999999999999</v>
      </c>
      <c r="E2070">
        <v>1200</v>
      </c>
      <c r="G2070" t="s">
        <v>32</v>
      </c>
      <c r="H2070">
        <v>1.5</v>
      </c>
      <c r="I2070" s="4">
        <v>0.62</v>
      </c>
      <c r="J2070" s="3">
        <v>0.33333333333333331</v>
      </c>
      <c r="K2070" s="4">
        <v>5</v>
      </c>
      <c r="L2070" t="s">
        <v>140</v>
      </c>
      <c r="M2070" t="s">
        <v>28</v>
      </c>
      <c r="N2070" s="3">
        <v>1</v>
      </c>
      <c r="O2070" s="3">
        <v>0</v>
      </c>
      <c r="P2070">
        <v>22.5</v>
      </c>
      <c r="Q2070">
        <v>6.5</v>
      </c>
      <c r="R2070" t="s">
        <v>102</v>
      </c>
      <c r="S2070">
        <v>0</v>
      </c>
      <c r="T2070" s="6">
        <f>10^-(14-Q2070)</f>
        <v>3.1622776601683699E-8</v>
      </c>
      <c r="U2070" s="6">
        <v>0</v>
      </c>
      <c r="V2070" s="6">
        <v>0</v>
      </c>
      <c r="W2070" s="6">
        <v>0</v>
      </c>
      <c r="X2070" s="6">
        <v>0</v>
      </c>
      <c r="Y2070" t="s">
        <v>28</v>
      </c>
      <c r="Z2070" s="5">
        <v>-121</v>
      </c>
      <c r="AA2070" s="3">
        <v>1.1537707730353124E-4</v>
      </c>
      <c r="AB2070" s="2">
        <v>0.16224613306125091</v>
      </c>
      <c r="AC2070" s="2">
        <v>6.5114531642459561E-2</v>
      </c>
      <c r="AD2070">
        <v>0.3</v>
      </c>
      <c r="AE2070">
        <v>975.1</v>
      </c>
      <c r="AF2070">
        <v>1</v>
      </c>
      <c r="AL2070" s="9">
        <v>17.5</v>
      </c>
      <c r="AM2070" s="9">
        <v>11</v>
      </c>
      <c r="AN2070" s="9">
        <v>2.5</v>
      </c>
      <c r="AP2070"/>
    </row>
    <row r="2071" spans="1:42" x14ac:dyDescent="0.3">
      <c r="A2071" t="s">
        <v>61</v>
      </c>
      <c r="B2071" t="s">
        <v>1581</v>
      </c>
      <c r="C2071">
        <v>85</v>
      </c>
      <c r="D2071" s="8">
        <v>1.4403999999999999</v>
      </c>
      <c r="E2071">
        <v>1200</v>
      </c>
      <c r="G2071" s="1" t="s">
        <v>32</v>
      </c>
      <c r="H2071">
        <v>1.5</v>
      </c>
      <c r="I2071" s="4">
        <v>0.62</v>
      </c>
      <c r="J2071" s="3">
        <v>0.33333333333333331</v>
      </c>
      <c r="K2071" s="4">
        <v>24</v>
      </c>
      <c r="L2071" t="s">
        <v>140</v>
      </c>
      <c r="M2071" t="s">
        <v>28</v>
      </c>
      <c r="N2071" s="3">
        <v>1</v>
      </c>
      <c r="O2071" s="3">
        <v>0</v>
      </c>
      <c r="P2071">
        <v>22.5</v>
      </c>
      <c r="Q2071">
        <v>6.5</v>
      </c>
      <c r="R2071" t="s">
        <v>102</v>
      </c>
      <c r="S2071">
        <v>0</v>
      </c>
      <c r="T2071" s="6">
        <f>10^-(14-Q2071)</f>
        <v>3.1622776601683699E-8</v>
      </c>
      <c r="U2071" s="6">
        <v>0</v>
      </c>
      <c r="V2071" s="6">
        <v>0</v>
      </c>
      <c r="W2071" s="6">
        <v>0</v>
      </c>
      <c r="X2071" s="6">
        <v>0</v>
      </c>
      <c r="Y2071" t="s">
        <v>28</v>
      </c>
      <c r="Z2071" s="5">
        <v>-62</v>
      </c>
      <c r="AA2071" s="3">
        <v>1.0029087522875757E-4</v>
      </c>
      <c r="AB2071" s="2">
        <v>0.21125897120330669</v>
      </c>
      <c r="AC2071" s="2">
        <v>7.099852653918963E-2</v>
      </c>
      <c r="AD2071">
        <v>0.3</v>
      </c>
      <c r="AE2071">
        <v>1000</v>
      </c>
      <c r="AF2071">
        <v>2</v>
      </c>
      <c r="AL2071" s="9">
        <v>17.5</v>
      </c>
      <c r="AM2071" s="9">
        <v>11</v>
      </c>
      <c r="AN2071" s="9">
        <v>2.5</v>
      </c>
      <c r="AP2071"/>
    </row>
    <row r="2072" spans="1:42" x14ac:dyDescent="0.3">
      <c r="A2072" t="s">
        <v>62</v>
      </c>
      <c r="B2072" t="s">
        <v>1581</v>
      </c>
      <c r="C2072">
        <v>85</v>
      </c>
      <c r="D2072" s="8">
        <v>1.4403999999999999</v>
      </c>
      <c r="E2072">
        <v>1200</v>
      </c>
      <c r="G2072" t="s">
        <v>32</v>
      </c>
      <c r="H2072">
        <v>1.5</v>
      </c>
      <c r="I2072" s="4">
        <v>0.62</v>
      </c>
      <c r="J2072" s="3">
        <v>0.33333333333333331</v>
      </c>
      <c r="K2072" s="4">
        <v>24</v>
      </c>
      <c r="L2072" t="s">
        <v>140</v>
      </c>
      <c r="M2072" t="s">
        <v>28</v>
      </c>
      <c r="N2072" s="3">
        <v>1</v>
      </c>
      <c r="O2072" s="3">
        <v>0</v>
      </c>
      <c r="P2072">
        <v>22.5</v>
      </c>
      <c r="Q2072">
        <v>6.5</v>
      </c>
      <c r="R2072" t="s">
        <v>102</v>
      </c>
      <c r="S2072">
        <v>0</v>
      </c>
      <c r="T2072" s="6">
        <f>10^-(14-Q2072)</f>
        <v>3.1622776601683699E-8</v>
      </c>
      <c r="U2072" s="6">
        <v>0</v>
      </c>
      <c r="V2072" s="6">
        <v>0</v>
      </c>
      <c r="W2072" s="6">
        <v>0</v>
      </c>
      <c r="X2072" s="6">
        <v>0</v>
      </c>
      <c r="Y2072" t="s">
        <v>28</v>
      </c>
      <c r="Z2072" s="5">
        <v>-72</v>
      </c>
      <c r="AA2072" s="3">
        <v>6.1613316116515134E-5</v>
      </c>
      <c r="AB2072" s="2">
        <v>0.1371554953619164</v>
      </c>
      <c r="AC2072" s="2">
        <v>6.3049105746817422E-2</v>
      </c>
      <c r="AD2072">
        <v>0.3</v>
      </c>
      <c r="AE2072">
        <v>1000</v>
      </c>
      <c r="AF2072">
        <v>2</v>
      </c>
      <c r="AL2072" s="9">
        <v>17.5</v>
      </c>
      <c r="AM2072" s="9">
        <v>11</v>
      </c>
      <c r="AN2072" s="9">
        <v>2.5</v>
      </c>
      <c r="AP2072"/>
    </row>
    <row r="2073" spans="1:42" x14ac:dyDescent="0.3">
      <c r="A2073" t="s">
        <v>63</v>
      </c>
      <c r="B2073" t="s">
        <v>1581</v>
      </c>
      <c r="C2073">
        <v>85</v>
      </c>
      <c r="D2073" s="8">
        <v>1.4403999999999999</v>
      </c>
      <c r="E2073">
        <v>1200</v>
      </c>
      <c r="G2073" s="1" t="s">
        <v>32</v>
      </c>
      <c r="H2073">
        <v>1.5</v>
      </c>
      <c r="I2073" s="4">
        <v>0.62</v>
      </c>
      <c r="J2073" s="3">
        <v>0.33333333333333331</v>
      </c>
      <c r="K2073" s="4">
        <v>24</v>
      </c>
      <c r="L2073" t="s">
        <v>140</v>
      </c>
      <c r="M2073" t="s">
        <v>28</v>
      </c>
      <c r="N2073" s="3">
        <v>1</v>
      </c>
      <c r="O2073" s="3">
        <v>0</v>
      </c>
      <c r="P2073">
        <v>22.5</v>
      </c>
      <c r="Q2073">
        <v>6.5</v>
      </c>
      <c r="R2073" t="s">
        <v>102</v>
      </c>
      <c r="S2073">
        <v>0</v>
      </c>
      <c r="T2073" s="6">
        <f>10^-(14-Q2073)</f>
        <v>3.1622776601683699E-8</v>
      </c>
      <c r="U2073" s="6">
        <v>0</v>
      </c>
      <c r="V2073" s="6">
        <v>0</v>
      </c>
      <c r="W2073" s="6">
        <v>0</v>
      </c>
      <c r="X2073" s="6">
        <v>0</v>
      </c>
      <c r="Y2073" t="s">
        <v>28</v>
      </c>
      <c r="Z2073" s="5">
        <v>-81.5</v>
      </c>
      <c r="AA2073" s="3">
        <v>1.0008679090303812E-4</v>
      </c>
      <c r="AB2073" s="2">
        <v>0.227308600417332</v>
      </c>
      <c r="AC2073" s="2">
        <v>6.0355874520095255E-2</v>
      </c>
      <c r="AD2073">
        <v>0.3</v>
      </c>
      <c r="AE2073">
        <v>990.7</v>
      </c>
      <c r="AF2073">
        <v>1</v>
      </c>
      <c r="AL2073" s="9">
        <v>17.5</v>
      </c>
      <c r="AM2073" s="9">
        <v>11</v>
      </c>
      <c r="AN2073" s="9">
        <v>2.5</v>
      </c>
      <c r="AP2073"/>
    </row>
    <row r="2074" spans="1:42" x14ac:dyDescent="0.3">
      <c r="A2074" t="s">
        <v>64</v>
      </c>
      <c r="B2074" t="s">
        <v>1581</v>
      </c>
      <c r="C2074">
        <v>85</v>
      </c>
      <c r="D2074" s="8">
        <v>1.4403999999999999</v>
      </c>
      <c r="E2074">
        <v>1200</v>
      </c>
      <c r="G2074" s="1" t="s">
        <v>32</v>
      </c>
      <c r="H2074">
        <v>1.5</v>
      </c>
      <c r="I2074" s="4">
        <v>0.62</v>
      </c>
      <c r="J2074" s="3">
        <v>0.33333333333333331</v>
      </c>
      <c r="K2074" s="4">
        <v>24</v>
      </c>
      <c r="L2074" t="s">
        <v>140</v>
      </c>
      <c r="M2074" t="s">
        <v>28</v>
      </c>
      <c r="N2074" s="3">
        <v>1</v>
      </c>
      <c r="O2074" s="3">
        <v>0</v>
      </c>
      <c r="P2074">
        <v>22.5</v>
      </c>
      <c r="Q2074">
        <v>6.5</v>
      </c>
      <c r="R2074" t="s">
        <v>102</v>
      </c>
      <c r="S2074">
        <v>0</v>
      </c>
      <c r="T2074" s="6">
        <f>10^-(14-Q2074)</f>
        <v>3.1622776601683699E-8</v>
      </c>
      <c r="U2074" s="6">
        <v>0</v>
      </c>
      <c r="V2074" s="6">
        <v>0</v>
      </c>
      <c r="W2074" s="6">
        <v>0</v>
      </c>
      <c r="X2074" s="6">
        <v>0</v>
      </c>
      <c r="Y2074" t="s">
        <v>28</v>
      </c>
      <c r="Z2074" s="5">
        <v>-87.5</v>
      </c>
      <c r="AA2074" s="3">
        <v>9.0969602828750028E-5</v>
      </c>
      <c r="AB2074" s="2">
        <v>0.21941313978157545</v>
      </c>
      <c r="AC2074" s="2">
        <v>5.6903444439536731E-2</v>
      </c>
      <c r="AD2074">
        <v>0.3</v>
      </c>
      <c r="AE2074">
        <v>734.8</v>
      </c>
      <c r="AF2074">
        <v>1</v>
      </c>
      <c r="AL2074" s="9">
        <v>17.5</v>
      </c>
      <c r="AM2074" s="9">
        <v>11</v>
      </c>
      <c r="AN2074" s="9">
        <v>2.5</v>
      </c>
      <c r="AP2074"/>
    </row>
    <row r="2075" spans="1:42" x14ac:dyDescent="0.3">
      <c r="A2075" t="s">
        <v>65</v>
      </c>
      <c r="B2075" t="s">
        <v>1581</v>
      </c>
      <c r="C2075">
        <v>85</v>
      </c>
      <c r="D2075" s="8">
        <v>1.4403999999999999</v>
      </c>
      <c r="E2075">
        <v>1200</v>
      </c>
      <c r="G2075" s="1" t="s">
        <v>29</v>
      </c>
      <c r="H2075" t="s">
        <v>987</v>
      </c>
      <c r="J2075" s="3">
        <v>24</v>
      </c>
      <c r="K2075" s="4">
        <v>24</v>
      </c>
      <c r="L2075" t="s">
        <v>140</v>
      </c>
      <c r="M2075" t="s">
        <v>28</v>
      </c>
      <c r="N2075" s="3">
        <v>1</v>
      </c>
      <c r="O2075" s="3">
        <v>0</v>
      </c>
      <c r="P2075">
        <v>22.5</v>
      </c>
      <c r="Q2075">
        <v>6.5</v>
      </c>
      <c r="R2075" t="s">
        <v>102</v>
      </c>
      <c r="S2075">
        <v>0</v>
      </c>
      <c r="T2075" s="6">
        <f>10^-(14-Q2075)</f>
        <v>3.1622776601683699E-8</v>
      </c>
      <c r="U2075" s="6">
        <v>0</v>
      </c>
      <c r="V2075" s="6">
        <v>0</v>
      </c>
      <c r="W2075" s="6">
        <v>0</v>
      </c>
      <c r="X2075" s="6">
        <v>0</v>
      </c>
      <c r="Y2075" t="s">
        <v>28</v>
      </c>
      <c r="Z2075" s="5">
        <v>4.96</v>
      </c>
      <c r="AA2075" s="3">
        <v>6.3688122790620558E-5</v>
      </c>
      <c r="AB2075" s="2">
        <v>0.1979145313854169</v>
      </c>
      <c r="AC2075" s="2">
        <v>5.9937036273551195E-2</v>
      </c>
      <c r="AD2075">
        <v>0.3</v>
      </c>
      <c r="AE2075">
        <v>772.4</v>
      </c>
      <c r="AF2075">
        <v>1</v>
      </c>
      <c r="AL2075" s="9">
        <v>17.5</v>
      </c>
      <c r="AM2075" s="9">
        <v>11</v>
      </c>
      <c r="AN2075" s="9">
        <v>2.5</v>
      </c>
      <c r="AP2075"/>
    </row>
    <row r="2076" spans="1:42" x14ac:dyDescent="0.3">
      <c r="A2076" t="s">
        <v>66</v>
      </c>
      <c r="B2076" t="s">
        <v>1581</v>
      </c>
      <c r="C2076">
        <v>85</v>
      </c>
      <c r="D2076" s="8">
        <v>1.4403999999999999</v>
      </c>
      <c r="E2076">
        <v>1200</v>
      </c>
      <c r="G2076" t="s">
        <v>29</v>
      </c>
      <c r="H2076" t="s">
        <v>987</v>
      </c>
      <c r="J2076" s="3">
        <v>24</v>
      </c>
      <c r="K2076" s="4">
        <v>24</v>
      </c>
      <c r="L2076" t="s">
        <v>140</v>
      </c>
      <c r="M2076" t="s">
        <v>28</v>
      </c>
      <c r="N2076" s="3">
        <v>1</v>
      </c>
      <c r="O2076" s="3">
        <v>0</v>
      </c>
      <c r="P2076">
        <v>22.5</v>
      </c>
      <c r="Q2076">
        <v>6.5</v>
      </c>
      <c r="R2076" t="s">
        <v>102</v>
      </c>
      <c r="S2076">
        <v>0</v>
      </c>
      <c r="T2076" s="6">
        <f>10^-(14-Q2076)</f>
        <v>3.1622776601683699E-8</v>
      </c>
      <c r="U2076" s="6">
        <v>0</v>
      </c>
      <c r="V2076" s="6">
        <v>0</v>
      </c>
      <c r="W2076" s="6">
        <v>0</v>
      </c>
      <c r="X2076" s="6">
        <v>0</v>
      </c>
      <c r="Y2076" t="s">
        <v>28</v>
      </c>
      <c r="Z2076" s="5">
        <v>-27.5</v>
      </c>
      <c r="AA2076" s="3">
        <v>6.2918628257547368E-5</v>
      </c>
      <c r="AB2076" s="2">
        <v>0.19660241808813309</v>
      </c>
      <c r="AC2076" s="2">
        <v>5.7066019645329098E-2</v>
      </c>
      <c r="AD2076">
        <v>0.3</v>
      </c>
      <c r="AE2076">
        <v>704.7</v>
      </c>
      <c r="AF2076">
        <v>1</v>
      </c>
      <c r="AL2076" s="9">
        <v>17.5</v>
      </c>
      <c r="AM2076" s="9">
        <v>11</v>
      </c>
      <c r="AN2076" s="9">
        <v>2.5</v>
      </c>
      <c r="AP2076"/>
    </row>
    <row r="2077" spans="1:42" x14ac:dyDescent="0.3">
      <c r="A2077" t="s">
        <v>67</v>
      </c>
      <c r="B2077" t="s">
        <v>1581</v>
      </c>
      <c r="C2077">
        <v>85</v>
      </c>
      <c r="D2077" s="8">
        <v>1.4403999999999999</v>
      </c>
      <c r="E2077">
        <v>1200</v>
      </c>
      <c r="G2077" t="s">
        <v>31</v>
      </c>
      <c r="H2077">
        <v>-1.2</v>
      </c>
      <c r="I2077" s="4">
        <v>1</v>
      </c>
      <c r="J2077" s="3">
        <v>0.5</v>
      </c>
      <c r="K2077" s="4">
        <v>24</v>
      </c>
      <c r="L2077" t="s">
        <v>140</v>
      </c>
      <c r="M2077" t="s">
        <v>28</v>
      </c>
      <c r="N2077" s="3">
        <v>1</v>
      </c>
      <c r="O2077" s="3">
        <v>0</v>
      </c>
      <c r="P2077">
        <v>22.5</v>
      </c>
      <c r="Q2077">
        <v>6.5</v>
      </c>
      <c r="R2077" t="s">
        <v>102</v>
      </c>
      <c r="S2077">
        <v>0</v>
      </c>
      <c r="T2077" s="6">
        <f>10^-(14-Q2077)</f>
        <v>3.1622776601683699E-8</v>
      </c>
      <c r="U2077" s="6">
        <v>0</v>
      </c>
      <c r="V2077" s="6">
        <v>0</v>
      </c>
      <c r="W2077" s="6">
        <v>0</v>
      </c>
      <c r="X2077" s="6">
        <v>0</v>
      </c>
      <c r="Y2077" t="s">
        <v>28</v>
      </c>
      <c r="Z2077" s="5">
        <v>-55.8</v>
      </c>
      <c r="AA2077" s="3">
        <v>5.3980546974294466E-5</v>
      </c>
      <c r="AB2077" s="2">
        <v>0.16822009735671881</v>
      </c>
      <c r="AC2077" s="2">
        <v>5.2974046187629582E-2</v>
      </c>
      <c r="AD2077">
        <v>0.3</v>
      </c>
      <c r="AE2077">
        <v>887</v>
      </c>
      <c r="AF2077">
        <v>1</v>
      </c>
      <c r="AL2077" s="9">
        <v>17.5</v>
      </c>
      <c r="AM2077" s="9">
        <v>11</v>
      </c>
      <c r="AN2077" s="9">
        <v>2.5</v>
      </c>
      <c r="AP2077"/>
    </row>
    <row r="2078" spans="1:42" x14ac:dyDescent="0.3">
      <c r="A2078" t="s">
        <v>68</v>
      </c>
      <c r="B2078" t="s">
        <v>1581</v>
      </c>
      <c r="C2078">
        <v>85</v>
      </c>
      <c r="D2078" s="8">
        <v>1.4403999999999999</v>
      </c>
      <c r="E2078">
        <v>1200</v>
      </c>
      <c r="G2078" s="1" t="s">
        <v>31</v>
      </c>
      <c r="H2078">
        <v>-1.2</v>
      </c>
      <c r="I2078" s="4">
        <v>1</v>
      </c>
      <c r="J2078" s="3">
        <v>0.5</v>
      </c>
      <c r="K2078" s="4">
        <v>24</v>
      </c>
      <c r="L2078" t="s">
        <v>140</v>
      </c>
      <c r="M2078" t="s">
        <v>28</v>
      </c>
      <c r="N2078" s="3">
        <v>1</v>
      </c>
      <c r="O2078" s="3">
        <v>0</v>
      </c>
      <c r="P2078">
        <v>22.5</v>
      </c>
      <c r="Q2078">
        <v>6.5</v>
      </c>
      <c r="R2078" t="s">
        <v>102</v>
      </c>
      <c r="S2078">
        <v>0</v>
      </c>
      <c r="T2078" s="6">
        <f>10^-(14-Q2078)</f>
        <v>3.1622776601683699E-8</v>
      </c>
      <c r="U2078" s="6">
        <v>0</v>
      </c>
      <c r="V2078" s="6">
        <v>0</v>
      </c>
      <c r="W2078" s="6">
        <v>0</v>
      </c>
      <c r="X2078" s="6">
        <v>0</v>
      </c>
      <c r="Y2078" t="s">
        <v>28</v>
      </c>
      <c r="Z2078" s="5">
        <v>-76.400000000000006</v>
      </c>
      <c r="AA2078" s="3">
        <v>5.9090614045080819E-5</v>
      </c>
      <c r="AB2078" s="2">
        <v>0.28881413172332671</v>
      </c>
      <c r="AC2078" s="2">
        <v>6.0398099601621895E-2</v>
      </c>
      <c r="AD2078">
        <v>0.3</v>
      </c>
      <c r="AE2078">
        <v>989.6</v>
      </c>
      <c r="AF2078">
        <v>1</v>
      </c>
      <c r="AL2078" s="9">
        <v>17.5</v>
      </c>
      <c r="AM2078" s="9">
        <v>11</v>
      </c>
      <c r="AN2078" s="9">
        <v>2.5</v>
      </c>
      <c r="AP2078"/>
    </row>
    <row r="2079" spans="1:42" x14ac:dyDescent="0.3">
      <c r="A2079" t="s">
        <v>69</v>
      </c>
      <c r="B2079" t="s">
        <v>1581</v>
      </c>
      <c r="C2079">
        <v>85</v>
      </c>
      <c r="D2079" s="8">
        <v>1.4403999999999999</v>
      </c>
      <c r="E2079">
        <v>1200</v>
      </c>
      <c r="G2079" s="1" t="s">
        <v>31</v>
      </c>
      <c r="H2079">
        <v>-1.2</v>
      </c>
      <c r="I2079" s="4">
        <v>1</v>
      </c>
      <c r="J2079" s="3">
        <v>0.5</v>
      </c>
      <c r="K2079" s="4">
        <v>24</v>
      </c>
      <c r="L2079" t="s">
        <v>140</v>
      </c>
      <c r="M2079" t="s">
        <v>28</v>
      </c>
      <c r="N2079" s="3">
        <v>1</v>
      </c>
      <c r="O2079" s="3">
        <v>0</v>
      </c>
      <c r="P2079">
        <v>22.5</v>
      </c>
      <c r="Q2079">
        <v>6.5</v>
      </c>
      <c r="R2079" t="s">
        <v>102</v>
      </c>
      <c r="S2079">
        <v>0</v>
      </c>
      <c r="T2079" s="6">
        <f>10^-(14-Q2079)</f>
        <v>3.1622776601683699E-8</v>
      </c>
      <c r="U2079" s="6">
        <v>0</v>
      </c>
      <c r="V2079" s="6">
        <v>0</v>
      </c>
      <c r="W2079" s="6">
        <v>0</v>
      </c>
      <c r="X2079" s="6">
        <v>0</v>
      </c>
      <c r="Y2079" t="s">
        <v>28</v>
      </c>
      <c r="Z2079" s="5">
        <v>-121</v>
      </c>
      <c r="AA2079" s="3">
        <v>4.1440680846439607E-5</v>
      </c>
      <c r="AB2079" s="2">
        <v>0.23243154241460348</v>
      </c>
      <c r="AC2079" s="2">
        <v>5.6819533798007804E-2</v>
      </c>
      <c r="AD2079">
        <v>0.3</v>
      </c>
      <c r="AE2079">
        <v>990.7</v>
      </c>
      <c r="AF2079">
        <v>1</v>
      </c>
      <c r="AL2079" s="9">
        <v>17.5</v>
      </c>
      <c r="AM2079" s="9">
        <v>11</v>
      </c>
      <c r="AN2079" s="9">
        <v>2.5</v>
      </c>
      <c r="AP2079"/>
    </row>
    <row r="2080" spans="1:42" x14ac:dyDescent="0.3">
      <c r="A2080" t="s">
        <v>70</v>
      </c>
      <c r="B2080" t="s">
        <v>1581</v>
      </c>
      <c r="C2080">
        <v>85</v>
      </c>
      <c r="D2080" s="8">
        <v>1.4403999999999999</v>
      </c>
      <c r="E2080">
        <v>1200</v>
      </c>
      <c r="G2080" s="1" t="s">
        <v>31</v>
      </c>
      <c r="H2080">
        <v>-1.2</v>
      </c>
      <c r="I2080" s="4">
        <v>1</v>
      </c>
      <c r="J2080" s="3">
        <v>0.5</v>
      </c>
      <c r="K2080" s="4">
        <v>24</v>
      </c>
      <c r="L2080" t="s">
        <v>140</v>
      </c>
      <c r="M2080" t="s">
        <v>28</v>
      </c>
      <c r="N2080" s="3">
        <v>1</v>
      </c>
      <c r="O2080" s="3">
        <v>0</v>
      </c>
      <c r="P2080">
        <v>22.5</v>
      </c>
      <c r="Q2080">
        <v>6.5</v>
      </c>
      <c r="R2080" t="s">
        <v>102</v>
      </c>
      <c r="S2080">
        <v>0</v>
      </c>
      <c r="T2080" s="6">
        <f>10^-(14-Q2080)</f>
        <v>3.1622776601683699E-8</v>
      </c>
      <c r="U2080" s="6">
        <v>0</v>
      </c>
      <c r="V2080" s="6">
        <v>0</v>
      </c>
      <c r="W2080" s="6">
        <v>0</v>
      </c>
      <c r="X2080" s="6">
        <v>0</v>
      </c>
      <c r="Y2080" t="s">
        <v>28</v>
      </c>
      <c r="Z2080" s="5">
        <v>-37</v>
      </c>
      <c r="AA2080" s="3">
        <v>7.5394782791042547E-5</v>
      </c>
      <c r="AB2080" s="2">
        <v>0.26505941762760843</v>
      </c>
      <c r="AC2080" s="2">
        <v>6.5496929325570996E-2</v>
      </c>
      <c r="AD2080">
        <v>0.3</v>
      </c>
      <c r="AE2080">
        <v>631.6</v>
      </c>
      <c r="AF2080">
        <v>1</v>
      </c>
      <c r="AL2080" s="9">
        <v>17.5</v>
      </c>
      <c r="AM2080" s="9">
        <v>11</v>
      </c>
      <c r="AN2080" s="9">
        <v>2.5</v>
      </c>
      <c r="AP2080"/>
    </row>
    <row r="2081" spans="1:42" x14ac:dyDescent="0.3">
      <c r="A2081" t="s">
        <v>71</v>
      </c>
      <c r="B2081" t="s">
        <v>1581</v>
      </c>
      <c r="C2081">
        <v>85</v>
      </c>
      <c r="D2081" s="8">
        <v>1.4403999999999999</v>
      </c>
      <c r="E2081">
        <v>1200</v>
      </c>
      <c r="G2081" s="1" t="s">
        <v>31</v>
      </c>
      <c r="H2081">
        <v>-1.2</v>
      </c>
      <c r="I2081" s="4">
        <v>1</v>
      </c>
      <c r="J2081" s="3">
        <v>0.5</v>
      </c>
      <c r="K2081" s="4">
        <v>1</v>
      </c>
      <c r="L2081" t="s">
        <v>140</v>
      </c>
      <c r="M2081" t="s">
        <v>28</v>
      </c>
      <c r="N2081" s="3">
        <v>1</v>
      </c>
      <c r="O2081" s="3">
        <v>0</v>
      </c>
      <c r="P2081">
        <v>22.5</v>
      </c>
      <c r="Q2081">
        <v>6.5</v>
      </c>
      <c r="R2081" t="s">
        <v>102</v>
      </c>
      <c r="S2081">
        <v>0</v>
      </c>
      <c r="T2081" s="6">
        <f>10^-(14-Q2081)</f>
        <v>3.1622776601683699E-8</v>
      </c>
      <c r="U2081" s="6">
        <v>0</v>
      </c>
      <c r="V2081" s="6">
        <v>0</v>
      </c>
      <c r="W2081" s="6">
        <v>0</v>
      </c>
      <c r="X2081" s="6">
        <v>0</v>
      </c>
      <c r="Y2081" t="s">
        <v>28</v>
      </c>
      <c r="Z2081" s="5">
        <v>-85.9</v>
      </c>
      <c r="AA2081" s="3">
        <v>6.4332957842363082E-4</v>
      </c>
      <c r="AB2081" s="2">
        <v>0.24255894490813532</v>
      </c>
      <c r="AC2081" s="2">
        <v>0.11086149461215962</v>
      </c>
      <c r="AD2081">
        <v>0.3</v>
      </c>
      <c r="AE2081">
        <v>526.79999999999995</v>
      </c>
      <c r="AF2081">
        <v>1</v>
      </c>
      <c r="AL2081" s="9">
        <v>17.5</v>
      </c>
      <c r="AM2081" s="9">
        <v>11</v>
      </c>
      <c r="AN2081" s="9">
        <v>2.5</v>
      </c>
      <c r="AP2081"/>
    </row>
    <row r="2082" spans="1:42" x14ac:dyDescent="0.3">
      <c r="A2082" t="s">
        <v>72</v>
      </c>
      <c r="B2082" t="s">
        <v>1581</v>
      </c>
      <c r="C2082">
        <v>85</v>
      </c>
      <c r="D2082" s="8">
        <v>1.4403999999999999</v>
      </c>
      <c r="E2082">
        <v>1200</v>
      </c>
      <c r="G2082" t="s">
        <v>31</v>
      </c>
      <c r="H2082">
        <v>-1.2</v>
      </c>
      <c r="I2082" s="4">
        <v>1</v>
      </c>
      <c r="J2082" s="3">
        <v>0.5</v>
      </c>
      <c r="K2082" s="4">
        <v>1</v>
      </c>
      <c r="L2082" t="s">
        <v>140</v>
      </c>
      <c r="M2082" t="s">
        <v>28</v>
      </c>
      <c r="N2082" s="3">
        <v>1</v>
      </c>
      <c r="O2082" s="3">
        <v>0</v>
      </c>
      <c r="P2082">
        <v>22.5</v>
      </c>
      <c r="Q2082">
        <v>6.5</v>
      </c>
      <c r="R2082" t="s">
        <v>102</v>
      </c>
      <c r="S2082">
        <v>0</v>
      </c>
      <c r="T2082" s="6">
        <f>10^-(14-Q2082)</f>
        <v>3.1622776601683699E-8</v>
      </c>
      <c r="U2082" s="6">
        <v>0</v>
      </c>
      <c r="V2082" s="6">
        <v>0</v>
      </c>
      <c r="W2082" s="6">
        <v>0</v>
      </c>
      <c r="X2082" s="6">
        <v>0</v>
      </c>
      <c r="Y2082" t="s">
        <v>28</v>
      </c>
      <c r="Z2082" s="5">
        <v>-90.2</v>
      </c>
      <c r="AA2082" s="3">
        <v>3.9005087657470325E-4</v>
      </c>
      <c r="AB2082" s="2">
        <v>0.21923006346709475</v>
      </c>
      <c r="AC2082" s="2">
        <v>8.6626539257040031E-2</v>
      </c>
      <c r="AD2082">
        <v>0.3</v>
      </c>
      <c r="AE2082">
        <v>507.5</v>
      </c>
      <c r="AF2082">
        <v>1</v>
      </c>
      <c r="AL2082" s="9">
        <v>17.5</v>
      </c>
      <c r="AM2082" s="9">
        <v>11</v>
      </c>
      <c r="AN2082" s="9">
        <v>2.5</v>
      </c>
      <c r="AP2082"/>
    </row>
    <row r="2083" spans="1:42" x14ac:dyDescent="0.3">
      <c r="A2083" t="s">
        <v>73</v>
      </c>
      <c r="B2083" t="s">
        <v>1581</v>
      </c>
      <c r="C2083">
        <v>85</v>
      </c>
      <c r="D2083" s="8">
        <v>1.4403999999999999</v>
      </c>
      <c r="E2083">
        <v>1200</v>
      </c>
      <c r="G2083" s="1" t="s">
        <v>31</v>
      </c>
      <c r="H2083">
        <v>-1.2</v>
      </c>
      <c r="I2083" s="4">
        <v>1</v>
      </c>
      <c r="J2083" s="3">
        <v>0.5</v>
      </c>
      <c r="K2083" s="4">
        <v>1</v>
      </c>
      <c r="L2083" t="s">
        <v>140</v>
      </c>
      <c r="M2083" t="s">
        <v>28</v>
      </c>
      <c r="N2083" s="3">
        <v>1</v>
      </c>
      <c r="O2083" s="3">
        <v>0</v>
      </c>
      <c r="P2083">
        <v>22.5</v>
      </c>
      <c r="Q2083">
        <v>6.5</v>
      </c>
      <c r="R2083" t="s">
        <v>102</v>
      </c>
      <c r="S2083">
        <v>0</v>
      </c>
      <c r="T2083" s="6">
        <f>10^-(14-Q2083)</f>
        <v>3.1622776601683699E-8</v>
      </c>
      <c r="U2083" s="6">
        <v>0</v>
      </c>
      <c r="V2083" s="6">
        <v>0</v>
      </c>
      <c r="W2083" s="6">
        <v>0</v>
      </c>
      <c r="X2083" s="6">
        <v>0</v>
      </c>
      <c r="Y2083" t="s">
        <v>28</v>
      </c>
      <c r="Z2083" s="5">
        <v>-53.9</v>
      </c>
      <c r="AA2083" s="3">
        <v>4.6176644754847014E-4</v>
      </c>
      <c r="AB2083" s="2">
        <v>0.30574796173846658</v>
      </c>
      <c r="AC2083" s="2">
        <v>0.10635020076743239</v>
      </c>
      <c r="AD2083">
        <v>0.3</v>
      </c>
      <c r="AE2083">
        <v>620.9</v>
      </c>
      <c r="AF2083">
        <v>1</v>
      </c>
      <c r="AL2083" s="9">
        <v>17.5</v>
      </c>
      <c r="AM2083" s="9">
        <v>11</v>
      </c>
      <c r="AN2083" s="9">
        <v>2.5</v>
      </c>
      <c r="AP2083"/>
    </row>
    <row r="2084" spans="1:42" x14ac:dyDescent="0.3">
      <c r="A2084" t="s">
        <v>74</v>
      </c>
      <c r="B2084" t="s">
        <v>1581</v>
      </c>
      <c r="C2084">
        <v>85</v>
      </c>
      <c r="D2084" s="8">
        <v>1.4403999999999999</v>
      </c>
      <c r="E2084">
        <v>1200</v>
      </c>
      <c r="G2084" s="1" t="s">
        <v>31</v>
      </c>
      <c r="H2084">
        <v>-1.2</v>
      </c>
      <c r="I2084" s="4">
        <v>1</v>
      </c>
      <c r="J2084" s="3">
        <v>0.5</v>
      </c>
      <c r="K2084" s="4">
        <v>5</v>
      </c>
      <c r="L2084" t="s">
        <v>140</v>
      </c>
      <c r="M2084" t="s">
        <v>28</v>
      </c>
      <c r="N2084" s="3">
        <v>1</v>
      </c>
      <c r="O2084" s="3">
        <v>0</v>
      </c>
      <c r="P2084">
        <v>22.5</v>
      </c>
      <c r="Q2084">
        <v>6.5</v>
      </c>
      <c r="R2084" t="s">
        <v>102</v>
      </c>
      <c r="S2084">
        <v>0</v>
      </c>
      <c r="T2084" s="6">
        <f>10^-(14-Q2084)</f>
        <v>3.1622776601683699E-8</v>
      </c>
      <c r="U2084" s="6">
        <v>0</v>
      </c>
      <c r="V2084" s="6">
        <v>0</v>
      </c>
      <c r="W2084" s="6">
        <v>0</v>
      </c>
      <c r="X2084" s="6">
        <v>0</v>
      </c>
      <c r="Y2084" t="s">
        <v>28</v>
      </c>
      <c r="Z2084" s="5">
        <v>-57.3</v>
      </c>
      <c r="AA2084" s="3">
        <v>2.6306274725094233E-4</v>
      </c>
      <c r="AB2084" s="2">
        <v>0.21994962968041457</v>
      </c>
      <c r="AC2084" s="2">
        <v>9.648499989673022E-2</v>
      </c>
      <c r="AD2084">
        <v>0.3</v>
      </c>
      <c r="AE2084">
        <v>817</v>
      </c>
      <c r="AF2084">
        <v>1</v>
      </c>
      <c r="AL2084" s="9">
        <v>17.5</v>
      </c>
      <c r="AM2084" s="9">
        <v>11</v>
      </c>
      <c r="AN2084" s="9">
        <v>2.5</v>
      </c>
      <c r="AP2084"/>
    </row>
    <row r="2085" spans="1:42" x14ac:dyDescent="0.3">
      <c r="A2085" t="s">
        <v>75</v>
      </c>
      <c r="B2085" t="s">
        <v>1581</v>
      </c>
      <c r="C2085">
        <v>85</v>
      </c>
      <c r="D2085" s="8">
        <v>1.4403999999999999</v>
      </c>
      <c r="E2085">
        <v>1200</v>
      </c>
      <c r="G2085" t="s">
        <v>31</v>
      </c>
      <c r="H2085">
        <v>-1.2</v>
      </c>
      <c r="I2085" s="4">
        <v>1</v>
      </c>
      <c r="J2085" s="3">
        <v>0.5</v>
      </c>
      <c r="K2085" s="4">
        <v>5</v>
      </c>
      <c r="L2085" t="s">
        <v>140</v>
      </c>
      <c r="M2085" t="s">
        <v>28</v>
      </c>
      <c r="N2085" s="3">
        <v>1</v>
      </c>
      <c r="O2085" s="3">
        <v>0</v>
      </c>
      <c r="P2085">
        <v>22.5</v>
      </c>
      <c r="Q2085">
        <v>6.5</v>
      </c>
      <c r="R2085" t="s">
        <v>102</v>
      </c>
      <c r="S2085">
        <v>0</v>
      </c>
      <c r="T2085" s="6">
        <f>10^-(14-Q2085)</f>
        <v>3.1622776601683699E-8</v>
      </c>
      <c r="U2085" s="6">
        <v>0</v>
      </c>
      <c r="V2085" s="6">
        <v>0</v>
      </c>
      <c r="W2085" s="6">
        <v>0</v>
      </c>
      <c r="X2085" s="6">
        <v>0</v>
      </c>
      <c r="Y2085" t="s">
        <v>28</v>
      </c>
      <c r="Z2085" s="5">
        <v>-51.7</v>
      </c>
      <c r="AA2085" s="3">
        <v>1.7429248691652949E-4</v>
      </c>
      <c r="AB2085" s="2">
        <v>0.22818111770070917</v>
      </c>
      <c r="AC2085" s="2">
        <v>8.7187621209005445E-2</v>
      </c>
      <c r="AD2085">
        <v>0.3</v>
      </c>
      <c r="AE2085">
        <v>877.9</v>
      </c>
      <c r="AF2085">
        <v>1</v>
      </c>
      <c r="AL2085" s="9">
        <v>17.5</v>
      </c>
      <c r="AM2085" s="9">
        <v>11</v>
      </c>
      <c r="AN2085" s="9">
        <v>2.5</v>
      </c>
      <c r="AP2085"/>
    </row>
    <row r="2086" spans="1:42" x14ac:dyDescent="0.3">
      <c r="A2086" t="s">
        <v>76</v>
      </c>
      <c r="B2086" t="s">
        <v>1581</v>
      </c>
      <c r="C2086">
        <v>85</v>
      </c>
      <c r="D2086" s="8">
        <v>1.4403999999999999</v>
      </c>
      <c r="E2086">
        <v>120</v>
      </c>
      <c r="G2086" s="1" t="s">
        <v>31</v>
      </c>
      <c r="H2086">
        <v>-1.2</v>
      </c>
      <c r="I2086" s="4">
        <v>1</v>
      </c>
      <c r="J2086" s="3">
        <v>0.5</v>
      </c>
      <c r="L2086" t="s">
        <v>140</v>
      </c>
      <c r="M2086" t="s">
        <v>28</v>
      </c>
      <c r="N2086" s="3">
        <v>1</v>
      </c>
      <c r="O2086" s="3">
        <v>0</v>
      </c>
      <c r="P2086">
        <v>22.5</v>
      </c>
      <c r="Q2086">
        <v>6.5</v>
      </c>
      <c r="R2086" t="s">
        <v>102</v>
      </c>
      <c r="S2086">
        <v>0</v>
      </c>
      <c r="T2086" s="6">
        <f>10^-(14-Q2086)</f>
        <v>3.1622776601683699E-8</v>
      </c>
      <c r="U2086" s="6">
        <v>0</v>
      </c>
      <c r="V2086" s="6">
        <v>0</v>
      </c>
      <c r="W2086" s="6">
        <v>0</v>
      </c>
      <c r="X2086" s="6">
        <v>0</v>
      </c>
      <c r="Y2086" t="s">
        <v>28</v>
      </c>
      <c r="Z2086" s="5">
        <v>-56.6</v>
      </c>
      <c r="AA2086" s="3">
        <v>1.6080302861497356E-4</v>
      </c>
      <c r="AB2086" s="2">
        <v>0.31179523077504673</v>
      </c>
      <c r="AC2086" s="2">
        <v>7.2179841442093023E-2</v>
      </c>
      <c r="AD2086">
        <v>0.3</v>
      </c>
      <c r="AE2086">
        <v>526.5</v>
      </c>
      <c r="AF2086">
        <v>1</v>
      </c>
      <c r="AL2086" s="9">
        <v>17.5</v>
      </c>
      <c r="AM2086" s="9">
        <v>11</v>
      </c>
      <c r="AN2086" s="9">
        <v>2.5</v>
      </c>
      <c r="AP2086"/>
    </row>
    <row r="2087" spans="1:42" x14ac:dyDescent="0.3">
      <c r="A2087" t="s">
        <v>77</v>
      </c>
      <c r="B2087" t="s">
        <v>1581</v>
      </c>
      <c r="C2087">
        <v>85</v>
      </c>
      <c r="D2087" s="8">
        <v>1.4403999999999999</v>
      </c>
      <c r="E2087">
        <v>120</v>
      </c>
      <c r="G2087" s="1" t="s">
        <v>31</v>
      </c>
      <c r="H2087">
        <v>-1.2</v>
      </c>
      <c r="I2087" s="4">
        <v>1</v>
      </c>
      <c r="J2087" s="3">
        <v>0.5</v>
      </c>
      <c r="L2087" t="s">
        <v>140</v>
      </c>
      <c r="M2087" t="s">
        <v>28</v>
      </c>
      <c r="N2087" s="3">
        <v>1</v>
      </c>
      <c r="O2087" s="3">
        <v>0</v>
      </c>
      <c r="P2087">
        <v>22.5</v>
      </c>
      <c r="Q2087">
        <v>6.5</v>
      </c>
      <c r="R2087" t="s">
        <v>102</v>
      </c>
      <c r="S2087">
        <v>0</v>
      </c>
      <c r="T2087" s="6">
        <f>10^-(14-Q2087)</f>
        <v>3.1622776601683699E-8</v>
      </c>
      <c r="U2087" s="6">
        <v>0</v>
      </c>
      <c r="V2087" s="6">
        <v>0</v>
      </c>
      <c r="W2087" s="6">
        <v>0</v>
      </c>
      <c r="X2087" s="6">
        <v>0</v>
      </c>
      <c r="Y2087" t="s">
        <v>28</v>
      </c>
      <c r="Z2087" s="5">
        <v>-44.8</v>
      </c>
      <c r="AA2087" s="3">
        <v>1.8251038571038714E-4</v>
      </c>
      <c r="AB2087" s="2">
        <v>0.2944951996133206</v>
      </c>
      <c r="AC2087" s="2">
        <v>8.003447811640553E-2</v>
      </c>
      <c r="AD2087">
        <v>0.3</v>
      </c>
      <c r="AE2087">
        <v>558.6</v>
      </c>
      <c r="AF2087">
        <v>1</v>
      </c>
      <c r="AL2087" s="9">
        <v>17.5</v>
      </c>
      <c r="AM2087" s="9">
        <v>11</v>
      </c>
      <c r="AN2087" s="9">
        <v>2.5</v>
      </c>
      <c r="AP2087"/>
    </row>
    <row r="2088" spans="1:42" x14ac:dyDescent="0.3">
      <c r="A2088" t="s">
        <v>78</v>
      </c>
      <c r="B2088" t="s">
        <v>1581</v>
      </c>
      <c r="C2088">
        <v>85</v>
      </c>
      <c r="D2088" s="8">
        <v>1.4403999999999999</v>
      </c>
      <c r="E2088">
        <v>120</v>
      </c>
      <c r="G2088" s="1" t="s">
        <v>31</v>
      </c>
      <c r="H2088">
        <v>-1.2</v>
      </c>
      <c r="I2088" s="4">
        <v>1</v>
      </c>
      <c r="J2088" s="3">
        <v>0.5</v>
      </c>
      <c r="L2088" t="s">
        <v>140</v>
      </c>
      <c r="M2088" t="s">
        <v>28</v>
      </c>
      <c r="N2088" s="3">
        <v>1</v>
      </c>
      <c r="O2088" s="3">
        <v>0</v>
      </c>
      <c r="P2088">
        <v>22.5</v>
      </c>
      <c r="Q2088">
        <v>6.5</v>
      </c>
      <c r="R2088" t="s">
        <v>102</v>
      </c>
      <c r="S2088">
        <v>0</v>
      </c>
      <c r="T2088" s="6">
        <f>10^-(14-Q2088)</f>
        <v>3.1622776601683699E-8</v>
      </c>
      <c r="U2088" s="6">
        <v>0</v>
      </c>
      <c r="V2088" s="6">
        <v>0</v>
      </c>
      <c r="W2088" s="6">
        <v>0</v>
      </c>
      <c r="X2088" s="6">
        <v>0</v>
      </c>
      <c r="Y2088" t="s">
        <v>28</v>
      </c>
      <c r="Z2088" s="5">
        <v>-41.5</v>
      </c>
      <c r="AA2088" s="3">
        <v>1.5816498789960985E-4</v>
      </c>
      <c r="AB2088" s="2">
        <v>0.27798538295050718</v>
      </c>
      <c r="AC2088" s="2">
        <v>7.3976639880663331E-2</v>
      </c>
      <c r="AD2088">
        <v>0.3</v>
      </c>
      <c r="AE2088">
        <v>716.2</v>
      </c>
      <c r="AF2088">
        <v>1</v>
      </c>
      <c r="AL2088" s="9">
        <v>17.5</v>
      </c>
      <c r="AM2088" s="9">
        <v>11</v>
      </c>
      <c r="AN2088" s="9">
        <v>2.5</v>
      </c>
      <c r="AP2088"/>
    </row>
    <row r="2089" spans="1:42" x14ac:dyDescent="0.3">
      <c r="A2089" t="s">
        <v>79</v>
      </c>
      <c r="B2089" t="s">
        <v>1581</v>
      </c>
      <c r="C2089">
        <v>85</v>
      </c>
      <c r="D2089" s="8">
        <v>1.4403999999999999</v>
      </c>
      <c r="E2089">
        <v>1200</v>
      </c>
      <c r="G2089" s="1" t="s">
        <v>31</v>
      </c>
      <c r="H2089">
        <v>-1.2</v>
      </c>
      <c r="I2089" s="4">
        <v>1</v>
      </c>
      <c r="J2089" s="3">
        <v>0.5</v>
      </c>
      <c r="K2089" s="4">
        <v>24</v>
      </c>
      <c r="L2089" t="s">
        <v>140</v>
      </c>
      <c r="M2089" t="s">
        <v>28</v>
      </c>
      <c r="N2089" s="3">
        <v>1</v>
      </c>
      <c r="O2089" s="3">
        <v>0</v>
      </c>
      <c r="P2089">
        <v>22.5</v>
      </c>
      <c r="Q2089">
        <v>6.5</v>
      </c>
      <c r="R2089" t="s">
        <v>102</v>
      </c>
      <c r="S2089">
        <v>0</v>
      </c>
      <c r="T2089" s="6">
        <f>10^-(14-Q2089)</f>
        <v>3.1622776601683699E-8</v>
      </c>
      <c r="U2089" s="6">
        <v>0</v>
      </c>
      <c r="V2089" s="6">
        <v>0</v>
      </c>
      <c r="W2089" s="6">
        <v>0</v>
      </c>
      <c r="X2089" s="6">
        <v>0</v>
      </c>
      <c r="Y2089" t="s">
        <v>28</v>
      </c>
      <c r="Z2089" s="5">
        <v>-157</v>
      </c>
      <c r="AA2089" s="3">
        <v>7.6748581541613534E-5</v>
      </c>
      <c r="AB2089" s="2">
        <v>0.29899941312301775</v>
      </c>
      <c r="AC2089" s="2">
        <v>5.6140262920241546E-2</v>
      </c>
      <c r="AD2089">
        <v>0.3</v>
      </c>
      <c r="AE2089">
        <v>859.1</v>
      </c>
      <c r="AF2089">
        <v>1</v>
      </c>
      <c r="AL2089" s="9">
        <v>17.5</v>
      </c>
      <c r="AM2089" s="9">
        <v>11</v>
      </c>
      <c r="AN2089" s="9">
        <v>2.5</v>
      </c>
      <c r="AP2089"/>
    </row>
    <row r="2090" spans="1:42" x14ac:dyDescent="0.3">
      <c r="A2090" t="s">
        <v>80</v>
      </c>
      <c r="B2090" t="s">
        <v>1581</v>
      </c>
      <c r="C2090">
        <v>85</v>
      </c>
      <c r="D2090" s="8">
        <v>1.4403999999999999</v>
      </c>
      <c r="E2090">
        <v>1200</v>
      </c>
      <c r="G2090" t="s">
        <v>31</v>
      </c>
      <c r="H2090">
        <v>-1.2</v>
      </c>
      <c r="I2090" s="4">
        <v>1</v>
      </c>
      <c r="J2090" s="3">
        <v>0.5</v>
      </c>
      <c r="K2090" s="4">
        <v>24</v>
      </c>
      <c r="L2090" t="s">
        <v>140</v>
      </c>
      <c r="M2090" t="s">
        <v>28</v>
      </c>
      <c r="N2090" s="3">
        <v>1</v>
      </c>
      <c r="O2090" s="3">
        <v>0</v>
      </c>
      <c r="P2090">
        <v>22.5</v>
      </c>
      <c r="Q2090">
        <v>6.5</v>
      </c>
      <c r="R2090" t="s">
        <v>102</v>
      </c>
      <c r="S2090">
        <v>0</v>
      </c>
      <c r="T2090" s="6">
        <f>10^-(14-Q2090)</f>
        <v>3.1622776601683699E-8</v>
      </c>
      <c r="U2090" s="6">
        <v>0</v>
      </c>
      <c r="V2090" s="6">
        <v>0</v>
      </c>
      <c r="W2090" s="6">
        <v>0</v>
      </c>
      <c r="X2090" s="6">
        <v>0</v>
      </c>
      <c r="Y2090" t="s">
        <v>28</v>
      </c>
      <c r="Z2090" s="5">
        <v>-34.5</v>
      </c>
      <c r="AA2090" s="3">
        <v>4.1235988906651216E-5</v>
      </c>
      <c r="AB2090" s="2">
        <v>0.19809667538729889</v>
      </c>
      <c r="AC2090" s="2">
        <v>4.9575973865737206E-2</v>
      </c>
      <c r="AD2090">
        <v>0.3</v>
      </c>
      <c r="AE2090">
        <v>913</v>
      </c>
      <c r="AF2090">
        <v>1</v>
      </c>
      <c r="AL2090" s="9">
        <v>17.5</v>
      </c>
      <c r="AM2090" s="9">
        <v>11</v>
      </c>
      <c r="AN2090" s="9">
        <v>2.5</v>
      </c>
      <c r="AP2090"/>
    </row>
    <row r="2091" spans="1:42" x14ac:dyDescent="0.3">
      <c r="A2091" t="s">
        <v>81</v>
      </c>
      <c r="B2091" t="s">
        <v>1581</v>
      </c>
      <c r="C2091">
        <v>85</v>
      </c>
      <c r="D2091" s="8">
        <v>1.4403999999999999</v>
      </c>
      <c r="E2091">
        <v>1200</v>
      </c>
      <c r="G2091" t="s">
        <v>31</v>
      </c>
      <c r="H2091">
        <v>-1.2</v>
      </c>
      <c r="I2091" s="4">
        <v>1</v>
      </c>
      <c r="J2091" s="3">
        <v>0.5</v>
      </c>
      <c r="K2091" s="4">
        <v>24</v>
      </c>
      <c r="L2091" t="s">
        <v>140</v>
      </c>
      <c r="M2091" t="s">
        <v>28</v>
      </c>
      <c r="N2091" s="3">
        <v>1</v>
      </c>
      <c r="O2091" s="3">
        <v>0</v>
      </c>
      <c r="P2091">
        <v>22.5</v>
      </c>
      <c r="Q2091">
        <v>6.5</v>
      </c>
      <c r="R2091" t="s">
        <v>102</v>
      </c>
      <c r="S2091">
        <v>0</v>
      </c>
      <c r="T2091" s="6">
        <f>10^-(14-Q2091)</f>
        <v>3.1622776601683699E-8</v>
      </c>
      <c r="U2091" s="6">
        <v>0</v>
      </c>
      <c r="V2091" s="6">
        <v>0</v>
      </c>
      <c r="W2091" s="6">
        <v>0</v>
      </c>
      <c r="X2091" s="6">
        <v>0</v>
      </c>
      <c r="Y2091" t="s">
        <v>28</v>
      </c>
      <c r="Z2091" s="5">
        <v>-108</v>
      </c>
      <c r="AA2091" s="3">
        <v>7.0426460391063753E-5</v>
      </c>
      <c r="AB2091" s="2">
        <v>0.22208202539330116</v>
      </c>
      <c r="AC2091" s="2">
        <v>5.7506177034329045E-2</v>
      </c>
      <c r="AD2091">
        <v>0.3</v>
      </c>
      <c r="AE2091">
        <v>907.3</v>
      </c>
      <c r="AF2091">
        <v>1</v>
      </c>
      <c r="AL2091" s="9">
        <v>17.5</v>
      </c>
      <c r="AM2091" s="9">
        <v>11</v>
      </c>
      <c r="AN2091" s="9">
        <v>2.5</v>
      </c>
      <c r="AP2091"/>
    </row>
    <row r="2092" spans="1:42" x14ac:dyDescent="0.3">
      <c r="A2092" t="s">
        <v>92</v>
      </c>
      <c r="B2092" t="s">
        <v>1581</v>
      </c>
      <c r="C2092">
        <v>85</v>
      </c>
      <c r="D2092" s="8">
        <v>1.4403999999999999</v>
      </c>
      <c r="E2092">
        <v>1200</v>
      </c>
      <c r="G2092" s="1" t="s">
        <v>32</v>
      </c>
      <c r="H2092">
        <v>1.5</v>
      </c>
      <c r="I2092" s="4">
        <v>0.62</v>
      </c>
      <c r="J2092" s="3">
        <v>0.66666666666666663</v>
      </c>
      <c r="K2092" s="4">
        <v>1</v>
      </c>
      <c r="L2092" t="s">
        <v>140</v>
      </c>
      <c r="M2092" t="s">
        <v>28</v>
      </c>
      <c r="N2092" s="3">
        <v>1</v>
      </c>
      <c r="O2092" s="3">
        <v>0</v>
      </c>
      <c r="P2092">
        <v>22.5</v>
      </c>
      <c r="Q2092">
        <v>6.5</v>
      </c>
      <c r="R2092" t="s">
        <v>102</v>
      </c>
      <c r="S2092">
        <v>0</v>
      </c>
      <c r="T2092" s="6">
        <f>10^-(14-Q2092)</f>
        <v>3.1622776601683699E-8</v>
      </c>
      <c r="U2092" s="6">
        <v>0</v>
      </c>
      <c r="V2092" s="6">
        <v>0</v>
      </c>
      <c r="W2092" s="6">
        <v>0</v>
      </c>
      <c r="X2092" s="6">
        <v>0</v>
      </c>
      <c r="Y2092" t="s">
        <v>28</v>
      </c>
      <c r="Z2092" s="5">
        <v>-97.8</v>
      </c>
      <c r="AA2092" s="3">
        <v>1.9166110904337908E-3</v>
      </c>
      <c r="AB2092" s="2">
        <v>0.1557016172067269</v>
      </c>
      <c r="AC2092" s="2">
        <v>8.9383551881911716E-2</v>
      </c>
      <c r="AD2092">
        <v>0.3</v>
      </c>
      <c r="AE2092">
        <v>697.5</v>
      </c>
      <c r="AF2092">
        <v>1</v>
      </c>
      <c r="AL2092" s="9">
        <v>17.5</v>
      </c>
      <c r="AM2092" s="9">
        <v>11</v>
      </c>
      <c r="AN2092" s="9">
        <v>2.5</v>
      </c>
      <c r="AP2092"/>
    </row>
    <row r="2093" spans="1:42" x14ac:dyDescent="0.3">
      <c r="A2093" t="s">
        <v>82</v>
      </c>
      <c r="B2093" t="s">
        <v>1581</v>
      </c>
      <c r="C2093">
        <v>85</v>
      </c>
      <c r="D2093" s="8">
        <v>1.4403999999999999</v>
      </c>
      <c r="E2093">
        <v>1200</v>
      </c>
      <c r="G2093" t="s">
        <v>32</v>
      </c>
      <c r="H2093">
        <v>1.5</v>
      </c>
      <c r="I2093" s="4">
        <v>0.62</v>
      </c>
      <c r="J2093" s="3">
        <v>0.66666666666666663</v>
      </c>
      <c r="K2093" s="4">
        <v>1</v>
      </c>
      <c r="L2093" t="s">
        <v>140</v>
      </c>
      <c r="M2093" t="s">
        <v>28</v>
      </c>
      <c r="N2093" s="3">
        <v>1</v>
      </c>
      <c r="O2093" s="3">
        <v>0</v>
      </c>
      <c r="P2093">
        <v>22.5</v>
      </c>
      <c r="Q2093">
        <v>6.5</v>
      </c>
      <c r="R2093" t="s">
        <v>102</v>
      </c>
      <c r="S2093">
        <v>0</v>
      </c>
      <c r="T2093" s="6">
        <f>10^-(14-Q2093)</f>
        <v>3.1622776601683699E-8</v>
      </c>
      <c r="U2093" s="6">
        <v>0</v>
      </c>
      <c r="V2093" s="6">
        <v>0</v>
      </c>
      <c r="W2093" s="6">
        <v>0</v>
      </c>
      <c r="X2093" s="6">
        <v>0</v>
      </c>
      <c r="Y2093" t="s">
        <v>28</v>
      </c>
      <c r="Z2093" s="5">
        <v>-133</v>
      </c>
      <c r="AA2093" s="3">
        <v>4.6383098189880351E-4</v>
      </c>
      <c r="AB2093" s="2">
        <v>0.21945385807538556</v>
      </c>
      <c r="AC2093" s="2">
        <v>7.6155893424518659E-2</v>
      </c>
      <c r="AD2093">
        <v>0.3</v>
      </c>
      <c r="AE2093">
        <v>720.3</v>
      </c>
      <c r="AF2093">
        <v>1</v>
      </c>
      <c r="AL2093" s="9">
        <v>17.5</v>
      </c>
      <c r="AM2093" s="9">
        <v>11</v>
      </c>
      <c r="AN2093" s="9">
        <v>2.5</v>
      </c>
      <c r="AP2093"/>
    </row>
    <row r="2094" spans="1:42" x14ac:dyDescent="0.3">
      <c r="A2094" t="s">
        <v>146</v>
      </c>
      <c r="B2094" t="s">
        <v>1581</v>
      </c>
      <c r="C2094">
        <v>85</v>
      </c>
      <c r="D2094" s="8">
        <v>1.4403999999999999</v>
      </c>
      <c r="E2094">
        <v>1200</v>
      </c>
      <c r="G2094" s="1" t="s">
        <v>31</v>
      </c>
      <c r="H2094">
        <v>-1.2</v>
      </c>
      <c r="I2094" s="4">
        <v>1</v>
      </c>
      <c r="J2094" s="3">
        <v>4</v>
      </c>
      <c r="K2094" s="4">
        <v>24</v>
      </c>
      <c r="L2094" t="s">
        <v>140</v>
      </c>
      <c r="M2094" t="s">
        <v>28</v>
      </c>
      <c r="N2094" s="3">
        <v>1</v>
      </c>
      <c r="O2094" s="3">
        <v>0</v>
      </c>
      <c r="P2094">
        <v>22.5</v>
      </c>
      <c r="Q2094">
        <v>6.5</v>
      </c>
      <c r="R2094" t="s">
        <v>102</v>
      </c>
      <c r="S2094">
        <v>0</v>
      </c>
      <c r="T2094" s="6">
        <f>10^-(14-Q2094)</f>
        <v>3.1622776601683699E-8</v>
      </c>
      <c r="U2094" s="6">
        <v>0</v>
      </c>
      <c r="V2094" s="6">
        <v>0</v>
      </c>
      <c r="W2094" s="6">
        <v>0</v>
      </c>
      <c r="X2094" s="6">
        <v>0</v>
      </c>
      <c r="Y2094" t="s">
        <v>28</v>
      </c>
      <c r="Z2094" s="5">
        <v>-139</v>
      </c>
      <c r="AA2094" s="3">
        <v>6.3198724400367342E-5</v>
      </c>
      <c r="AB2094" s="2">
        <v>0.24094497596108286</v>
      </c>
      <c r="AC2094" s="2">
        <v>5.3069155153787545E-2</v>
      </c>
      <c r="AD2094">
        <v>0.3</v>
      </c>
      <c r="AE2094">
        <v>871.5</v>
      </c>
      <c r="AF2094">
        <v>1</v>
      </c>
      <c r="AL2094" s="9">
        <v>17.5</v>
      </c>
      <c r="AM2094" s="9">
        <v>11</v>
      </c>
      <c r="AN2094" s="9">
        <v>2.5</v>
      </c>
      <c r="AP2094"/>
    </row>
    <row r="2095" spans="1:42" x14ac:dyDescent="0.3">
      <c r="A2095" t="s">
        <v>147</v>
      </c>
      <c r="B2095" t="s">
        <v>1581</v>
      </c>
      <c r="C2095">
        <v>85</v>
      </c>
      <c r="D2095" s="8">
        <v>1.4403999999999999</v>
      </c>
      <c r="E2095">
        <v>1200</v>
      </c>
      <c r="G2095" s="1" t="s">
        <v>31</v>
      </c>
      <c r="H2095">
        <v>-1.2</v>
      </c>
      <c r="I2095" s="4">
        <v>1</v>
      </c>
      <c r="J2095" s="3">
        <v>4</v>
      </c>
      <c r="K2095" s="4">
        <v>24</v>
      </c>
      <c r="L2095" t="s">
        <v>140</v>
      </c>
      <c r="M2095" t="s">
        <v>28</v>
      </c>
      <c r="N2095" s="3">
        <v>1</v>
      </c>
      <c r="O2095" s="3">
        <v>0</v>
      </c>
      <c r="P2095">
        <v>22.5</v>
      </c>
      <c r="Q2095">
        <v>6.5</v>
      </c>
      <c r="R2095" t="s">
        <v>102</v>
      </c>
      <c r="S2095">
        <v>0</v>
      </c>
      <c r="T2095" s="6">
        <f>10^-(14-Q2095)</f>
        <v>3.1622776601683699E-8</v>
      </c>
      <c r="U2095" s="6">
        <v>0</v>
      </c>
      <c r="V2095" s="6">
        <v>0</v>
      </c>
      <c r="W2095" s="6">
        <v>0</v>
      </c>
      <c r="X2095" s="6">
        <v>0</v>
      </c>
      <c r="Y2095" t="s">
        <v>28</v>
      </c>
      <c r="Z2095" s="5">
        <v>-55.1</v>
      </c>
      <c r="AA2095" s="3">
        <v>9.9036206359898765E-5</v>
      </c>
      <c r="AB2095" s="2">
        <v>0.2627753233799211</v>
      </c>
      <c r="AC2095" s="2">
        <v>6.395513060076545E-2</v>
      </c>
      <c r="AD2095">
        <v>0.3</v>
      </c>
      <c r="AE2095">
        <v>956.5</v>
      </c>
      <c r="AF2095">
        <v>1</v>
      </c>
      <c r="AL2095" s="9">
        <v>17.5</v>
      </c>
      <c r="AM2095" s="9">
        <v>11</v>
      </c>
      <c r="AN2095" s="9">
        <v>2.5</v>
      </c>
      <c r="AP2095"/>
    </row>
    <row r="2096" spans="1:42" x14ac:dyDescent="0.3">
      <c r="A2096" t="s">
        <v>83</v>
      </c>
      <c r="B2096" t="s">
        <v>1581</v>
      </c>
      <c r="C2096">
        <v>85</v>
      </c>
      <c r="D2096" s="8">
        <v>1.4403999999999999</v>
      </c>
      <c r="E2096">
        <v>1200</v>
      </c>
      <c r="G2096" s="1" t="s">
        <v>29</v>
      </c>
      <c r="H2096" t="s">
        <v>987</v>
      </c>
      <c r="J2096" s="3">
        <v>72</v>
      </c>
      <c r="K2096" s="4">
        <v>1</v>
      </c>
      <c r="L2096" t="s">
        <v>140</v>
      </c>
      <c r="M2096" t="s">
        <v>28</v>
      </c>
      <c r="N2096" s="3">
        <v>1</v>
      </c>
      <c r="O2096" s="3">
        <v>0</v>
      </c>
      <c r="P2096">
        <v>22.5</v>
      </c>
      <c r="Q2096">
        <v>6.5</v>
      </c>
      <c r="R2096" t="s">
        <v>102</v>
      </c>
      <c r="S2096">
        <v>0</v>
      </c>
      <c r="T2096" s="6">
        <f>10^-(14-Q2096)</f>
        <v>3.1622776601683699E-8</v>
      </c>
      <c r="U2096" s="6">
        <v>0</v>
      </c>
      <c r="V2096" s="6">
        <v>0</v>
      </c>
      <c r="W2096" s="6">
        <v>0</v>
      </c>
      <c r="X2096" s="6">
        <v>0</v>
      </c>
      <c r="Y2096" t="s">
        <v>28</v>
      </c>
      <c r="Z2096" s="5">
        <v>-64.400000000000006</v>
      </c>
      <c r="AA2096" s="3">
        <v>4.7837594169988334E-4</v>
      </c>
      <c r="AB2096" s="2">
        <v>0.28041528532781351</v>
      </c>
      <c r="AC2096" s="2">
        <v>9.4413109565891634E-2</v>
      </c>
      <c r="AD2096">
        <v>0.3</v>
      </c>
      <c r="AE2096">
        <v>636.1</v>
      </c>
      <c r="AF2096">
        <v>1</v>
      </c>
      <c r="AL2096" s="9">
        <v>17.5</v>
      </c>
      <c r="AM2096" s="9">
        <v>11</v>
      </c>
      <c r="AN2096" s="9">
        <v>2.5</v>
      </c>
      <c r="AP2096"/>
    </row>
    <row r="2097" spans="1:42" x14ac:dyDescent="0.3">
      <c r="A2097" t="s">
        <v>84</v>
      </c>
      <c r="B2097" t="s">
        <v>1581</v>
      </c>
      <c r="C2097">
        <v>85</v>
      </c>
      <c r="D2097" s="8">
        <v>1.4403999999999999</v>
      </c>
      <c r="E2097">
        <v>1200</v>
      </c>
      <c r="G2097" s="1" t="s">
        <v>29</v>
      </c>
      <c r="H2097" t="s">
        <v>987</v>
      </c>
      <c r="J2097" s="3">
        <v>72</v>
      </c>
      <c r="K2097" s="4">
        <v>1</v>
      </c>
      <c r="L2097" t="s">
        <v>140</v>
      </c>
      <c r="M2097" t="s">
        <v>28</v>
      </c>
      <c r="N2097" s="3">
        <v>1</v>
      </c>
      <c r="O2097" s="3">
        <v>0</v>
      </c>
      <c r="P2097">
        <v>22.5</v>
      </c>
      <c r="Q2097">
        <v>6.5</v>
      </c>
      <c r="R2097" t="s">
        <v>102</v>
      </c>
      <c r="S2097">
        <v>0</v>
      </c>
      <c r="T2097" s="6">
        <f>10^-(14-Q2097)</f>
        <v>3.1622776601683699E-8</v>
      </c>
      <c r="U2097" s="6">
        <v>0</v>
      </c>
      <c r="V2097" s="6">
        <v>0</v>
      </c>
      <c r="W2097" s="6">
        <v>0</v>
      </c>
      <c r="X2097" s="6">
        <v>0</v>
      </c>
      <c r="Y2097" t="s">
        <v>28</v>
      </c>
      <c r="Z2097" s="5">
        <v>-54</v>
      </c>
      <c r="AA2097" s="3">
        <v>4.5748729139310086E-4</v>
      </c>
      <c r="AB2097" s="2">
        <v>0.31243745014541885</v>
      </c>
      <c r="AC2097" s="2">
        <v>0.10298408847118525</v>
      </c>
      <c r="AD2097">
        <v>0.3</v>
      </c>
      <c r="AE2097">
        <v>701.6</v>
      </c>
      <c r="AF2097">
        <v>1</v>
      </c>
      <c r="AL2097" s="9">
        <v>17.5</v>
      </c>
      <c r="AM2097" s="9">
        <v>11</v>
      </c>
      <c r="AN2097" s="9">
        <v>2.5</v>
      </c>
      <c r="AP2097"/>
    </row>
    <row r="2098" spans="1:42" x14ac:dyDescent="0.3">
      <c r="A2098" t="s">
        <v>85</v>
      </c>
      <c r="B2098" t="s">
        <v>1581</v>
      </c>
      <c r="C2098">
        <v>85</v>
      </c>
      <c r="D2098" s="8">
        <v>1.4403999999999999</v>
      </c>
      <c r="E2098">
        <v>1200</v>
      </c>
      <c r="G2098" t="s">
        <v>29</v>
      </c>
      <c r="H2098" t="s">
        <v>987</v>
      </c>
      <c r="J2098" s="3">
        <v>96</v>
      </c>
      <c r="K2098" s="4">
        <v>24</v>
      </c>
      <c r="L2098" t="s">
        <v>140</v>
      </c>
      <c r="M2098" t="s">
        <v>28</v>
      </c>
      <c r="N2098" s="3">
        <v>1</v>
      </c>
      <c r="O2098" s="3">
        <v>0</v>
      </c>
      <c r="P2098">
        <v>22.5</v>
      </c>
      <c r="Q2098">
        <v>6.5</v>
      </c>
      <c r="R2098" t="s">
        <v>102</v>
      </c>
      <c r="S2098">
        <v>0</v>
      </c>
      <c r="T2098" s="6">
        <f>10^-(14-Q2098)</f>
        <v>3.1622776601683699E-8</v>
      </c>
      <c r="U2098" s="6">
        <v>0</v>
      </c>
      <c r="V2098" s="6">
        <v>0</v>
      </c>
      <c r="W2098" s="6">
        <v>0</v>
      </c>
      <c r="X2098" s="6">
        <v>0</v>
      </c>
      <c r="Y2098" t="s">
        <v>28</v>
      </c>
      <c r="Z2098" s="5">
        <v>14.3</v>
      </c>
      <c r="AA2098" s="3">
        <v>3.5084998054221576E-5</v>
      </c>
      <c r="AB2098" s="2">
        <v>0.17830622420022557</v>
      </c>
      <c r="AC2098" s="2">
        <v>4.7242181158490222E-2</v>
      </c>
      <c r="AD2098">
        <v>0.3</v>
      </c>
      <c r="AE2098">
        <v>788.7</v>
      </c>
      <c r="AF2098">
        <v>1</v>
      </c>
      <c r="AL2098" s="9">
        <v>17.5</v>
      </c>
      <c r="AM2098" s="9">
        <v>11</v>
      </c>
      <c r="AN2098" s="9">
        <v>2.5</v>
      </c>
      <c r="AP2098"/>
    </row>
    <row r="2099" spans="1:42" x14ac:dyDescent="0.3">
      <c r="A2099" t="s">
        <v>86</v>
      </c>
      <c r="B2099" t="s">
        <v>1582</v>
      </c>
      <c r="C2099">
        <v>86</v>
      </c>
      <c r="D2099" s="8">
        <v>1.4403999999999999</v>
      </c>
      <c r="G2099" s="1" t="s">
        <v>29</v>
      </c>
      <c r="H2099" t="s">
        <v>987</v>
      </c>
      <c r="J2099" s="3">
        <v>1</v>
      </c>
      <c r="L2099" t="s">
        <v>140</v>
      </c>
      <c r="M2099" t="s">
        <v>28</v>
      </c>
      <c r="N2099" s="3">
        <v>1</v>
      </c>
      <c r="O2099" s="3">
        <v>0</v>
      </c>
      <c r="P2099">
        <v>22.5</v>
      </c>
      <c r="Q2099">
        <v>6.5</v>
      </c>
      <c r="R2099" t="s">
        <v>102</v>
      </c>
      <c r="S2099">
        <v>0</v>
      </c>
      <c r="T2099" s="6">
        <f>10^-(14-Q2099)</f>
        <v>3.1622776601683699E-8</v>
      </c>
      <c r="U2099" s="6">
        <v>0</v>
      </c>
      <c r="V2099" s="6">
        <v>0</v>
      </c>
      <c r="W2099" s="6">
        <v>0</v>
      </c>
      <c r="X2099" s="6">
        <v>0</v>
      </c>
      <c r="Y2099" t="s">
        <v>28</v>
      </c>
      <c r="Z2099" s="5">
        <v>256</v>
      </c>
      <c r="AA2099" s="3">
        <v>1.9315277764259548E-5</v>
      </c>
      <c r="AB2099" s="2">
        <v>0.17889999999999998</v>
      </c>
      <c r="AC2099" s="2">
        <v>5.3766666666666664E-2</v>
      </c>
      <c r="AD2099">
        <v>0.3</v>
      </c>
      <c r="AE2099">
        <v>558.5</v>
      </c>
      <c r="AF2099">
        <v>1</v>
      </c>
      <c r="AL2099" s="9">
        <v>17.5</v>
      </c>
      <c r="AM2099" s="9">
        <v>11</v>
      </c>
      <c r="AN2099" s="9">
        <v>2.5</v>
      </c>
      <c r="AP2099"/>
    </row>
    <row r="2100" spans="1:42" x14ac:dyDescent="0.3">
      <c r="A2100" t="s">
        <v>87</v>
      </c>
      <c r="B2100" t="s">
        <v>1582</v>
      </c>
      <c r="C2100">
        <v>86</v>
      </c>
      <c r="D2100" s="8">
        <v>1.4403999999999999</v>
      </c>
      <c r="G2100" s="1" t="s">
        <v>29</v>
      </c>
      <c r="H2100" t="s">
        <v>987</v>
      </c>
      <c r="J2100" s="3">
        <v>1</v>
      </c>
      <c r="L2100" t="s">
        <v>140</v>
      </c>
      <c r="M2100" t="s">
        <v>28</v>
      </c>
      <c r="N2100" s="3">
        <v>1</v>
      </c>
      <c r="O2100" s="3">
        <v>0</v>
      </c>
      <c r="P2100">
        <v>22.5</v>
      </c>
      <c r="Q2100">
        <v>6.5</v>
      </c>
      <c r="R2100" t="s">
        <v>102</v>
      </c>
      <c r="S2100">
        <v>0</v>
      </c>
      <c r="T2100" s="6">
        <f>10^-(14-Q2100)</f>
        <v>3.1622776601683699E-8</v>
      </c>
      <c r="U2100" s="6">
        <v>0</v>
      </c>
      <c r="V2100" s="6">
        <v>0</v>
      </c>
      <c r="W2100" s="6">
        <v>0</v>
      </c>
      <c r="X2100" s="6">
        <v>0</v>
      </c>
      <c r="Y2100" t="s">
        <v>28</v>
      </c>
      <c r="Z2100" s="5">
        <v>237</v>
      </c>
      <c r="AA2100" s="3">
        <v>3.2452830538322422E-5</v>
      </c>
      <c r="AB2100" s="2">
        <v>0.23456666666666667</v>
      </c>
      <c r="AC2100" s="2">
        <v>3.7899999999999996E-2</v>
      </c>
      <c r="AD2100">
        <v>0.3</v>
      </c>
      <c r="AE2100">
        <v>686.4</v>
      </c>
      <c r="AF2100">
        <v>1</v>
      </c>
      <c r="AL2100" s="9">
        <v>17.5</v>
      </c>
      <c r="AM2100" s="9">
        <v>11</v>
      </c>
      <c r="AN2100" s="9">
        <v>2.5</v>
      </c>
      <c r="AP2100"/>
    </row>
    <row r="2101" spans="1:42" x14ac:dyDescent="0.3">
      <c r="A2101" t="s">
        <v>88</v>
      </c>
      <c r="B2101" t="s">
        <v>1582</v>
      </c>
      <c r="C2101">
        <v>86</v>
      </c>
      <c r="D2101" s="8">
        <v>1.4403999999999999</v>
      </c>
      <c r="G2101" s="1" t="s">
        <v>29</v>
      </c>
      <c r="H2101" t="s">
        <v>987</v>
      </c>
      <c r="J2101" s="3">
        <v>1</v>
      </c>
      <c r="L2101" t="s">
        <v>140</v>
      </c>
      <c r="M2101" t="s">
        <v>28</v>
      </c>
      <c r="N2101" s="3">
        <v>1</v>
      </c>
      <c r="O2101" s="3">
        <v>0</v>
      </c>
      <c r="P2101">
        <v>22.5</v>
      </c>
      <c r="Q2101">
        <v>6.5</v>
      </c>
      <c r="R2101" t="s">
        <v>102</v>
      </c>
      <c r="S2101">
        <v>0</v>
      </c>
      <c r="T2101" s="6">
        <f>10^-(14-Q2101)</f>
        <v>3.1622776601683699E-8</v>
      </c>
      <c r="U2101" s="6">
        <v>0</v>
      </c>
      <c r="V2101" s="6">
        <v>0</v>
      </c>
      <c r="W2101" s="6">
        <v>0</v>
      </c>
      <c r="X2101" s="6">
        <v>0</v>
      </c>
      <c r="Y2101" t="s">
        <v>28</v>
      </c>
      <c r="Z2101" s="5">
        <v>256</v>
      </c>
      <c r="AA2101" s="3">
        <v>3.7220248349901346E-5</v>
      </c>
      <c r="AB2101" s="2">
        <v>0.17420000000000002</v>
      </c>
      <c r="AC2101" s="2">
        <v>5.1466666666666668E-2</v>
      </c>
      <c r="AD2101">
        <v>0.3</v>
      </c>
      <c r="AE2101">
        <v>824.1</v>
      </c>
      <c r="AF2101">
        <v>1</v>
      </c>
      <c r="AL2101" s="9">
        <v>17.5</v>
      </c>
      <c r="AM2101" s="9">
        <v>11</v>
      </c>
      <c r="AN2101" s="9">
        <v>2.5</v>
      </c>
      <c r="AP2101"/>
    </row>
    <row r="2102" spans="1:42" x14ac:dyDescent="0.3">
      <c r="A2102" t="s">
        <v>89</v>
      </c>
      <c r="B2102" t="s">
        <v>1582</v>
      </c>
      <c r="C2102">
        <v>86</v>
      </c>
      <c r="D2102" s="8">
        <v>1.4403999999999999</v>
      </c>
      <c r="G2102" s="1" t="s">
        <v>29</v>
      </c>
      <c r="H2102" t="s">
        <v>987</v>
      </c>
      <c r="J2102" s="3">
        <v>1</v>
      </c>
      <c r="L2102" t="s">
        <v>140</v>
      </c>
      <c r="M2102" t="s">
        <v>28</v>
      </c>
      <c r="N2102" s="3">
        <v>1</v>
      </c>
      <c r="O2102" s="3">
        <v>0</v>
      </c>
      <c r="P2102">
        <v>22.5</v>
      </c>
      <c r="Q2102">
        <v>6.5</v>
      </c>
      <c r="R2102" t="s">
        <v>102</v>
      </c>
      <c r="S2102">
        <v>0</v>
      </c>
      <c r="T2102" s="6">
        <f>10^-(14-Q2102)</f>
        <v>3.1622776601683699E-8</v>
      </c>
      <c r="U2102" s="6">
        <v>0</v>
      </c>
      <c r="V2102" s="6">
        <v>0</v>
      </c>
      <c r="W2102" s="6">
        <v>0</v>
      </c>
      <c r="X2102" s="6">
        <v>0</v>
      </c>
      <c r="Y2102" t="s">
        <v>28</v>
      </c>
      <c r="Z2102" s="5">
        <v>172</v>
      </c>
      <c r="AA2102" s="3">
        <v>4.2428236758048362E-5</v>
      </c>
      <c r="AB2102" s="2">
        <v>0.18863333333333335</v>
      </c>
      <c r="AC2102" s="2">
        <v>4.6233333333333328E-2</v>
      </c>
      <c r="AD2102">
        <v>0.3</v>
      </c>
      <c r="AE2102">
        <v>699.4</v>
      </c>
      <c r="AF2102">
        <v>1</v>
      </c>
      <c r="AL2102" s="9">
        <v>17.5</v>
      </c>
      <c r="AM2102" s="9">
        <v>11</v>
      </c>
      <c r="AN2102" s="9">
        <v>2.5</v>
      </c>
      <c r="AP2102"/>
    </row>
    <row r="2103" spans="1:42" x14ac:dyDescent="0.3">
      <c r="A2103" t="s">
        <v>101</v>
      </c>
      <c r="B2103" t="s">
        <v>1582</v>
      </c>
      <c r="C2103">
        <v>86</v>
      </c>
      <c r="D2103" s="8">
        <v>1.4403999999999999</v>
      </c>
      <c r="G2103" t="s">
        <v>102</v>
      </c>
      <c r="H2103" t="s">
        <v>987</v>
      </c>
      <c r="J2103" s="3">
        <v>0</v>
      </c>
      <c r="K2103" s="4">
        <v>20</v>
      </c>
      <c r="L2103" t="s">
        <v>140</v>
      </c>
      <c r="M2103" t="s">
        <v>28</v>
      </c>
      <c r="N2103" s="3">
        <v>1</v>
      </c>
      <c r="O2103" s="3">
        <v>0</v>
      </c>
      <c r="P2103">
        <v>22.5</v>
      </c>
      <c r="Q2103">
        <v>6.5</v>
      </c>
      <c r="R2103" t="s">
        <v>102</v>
      </c>
      <c r="S2103">
        <v>0</v>
      </c>
      <c r="T2103" s="6">
        <f>10^-(14-Q2103)</f>
        <v>3.1622776601683699E-8</v>
      </c>
      <c r="U2103" s="6">
        <v>0</v>
      </c>
      <c r="V2103" s="6">
        <v>0</v>
      </c>
      <c r="W2103" s="6">
        <v>0</v>
      </c>
      <c r="X2103" s="6">
        <v>0</v>
      </c>
      <c r="Y2103" t="s">
        <v>28</v>
      </c>
      <c r="Z2103" s="5">
        <v>256</v>
      </c>
      <c r="AA2103" s="3">
        <v>2.8778199999999995E-5</v>
      </c>
      <c r="AB2103" s="2">
        <v>0.1996</v>
      </c>
      <c r="AC2103" s="2">
        <v>6.0199999999999997E-2</v>
      </c>
      <c r="AD2103">
        <v>0.3</v>
      </c>
      <c r="AE2103">
        <v>702.4</v>
      </c>
      <c r="AF2103">
        <v>1</v>
      </c>
      <c r="AL2103" s="9">
        <v>17.5</v>
      </c>
      <c r="AM2103" s="9">
        <v>11</v>
      </c>
      <c r="AN2103" s="9">
        <v>2.5</v>
      </c>
      <c r="AP2103"/>
    </row>
    <row r="2104" spans="1:42" x14ac:dyDescent="0.3">
      <c r="A2104" t="s">
        <v>101</v>
      </c>
      <c r="B2104" t="s">
        <v>1582</v>
      </c>
      <c r="C2104">
        <v>86</v>
      </c>
      <c r="D2104" s="8">
        <v>1.4403999999999999</v>
      </c>
      <c r="G2104" t="s">
        <v>102</v>
      </c>
      <c r="H2104" t="s">
        <v>987</v>
      </c>
      <c r="J2104" s="3">
        <v>0</v>
      </c>
      <c r="K2104" s="4">
        <v>20</v>
      </c>
      <c r="L2104" t="s">
        <v>140</v>
      </c>
      <c r="M2104" t="s">
        <v>28</v>
      </c>
      <c r="N2104" s="3">
        <v>1</v>
      </c>
      <c r="O2104" s="3">
        <v>0</v>
      </c>
      <c r="P2104">
        <v>22.5</v>
      </c>
      <c r="Q2104">
        <v>6.5</v>
      </c>
      <c r="R2104" t="s">
        <v>102</v>
      </c>
      <c r="S2104">
        <v>0</v>
      </c>
      <c r="T2104" s="6">
        <f>10^-(14-Q2104)</f>
        <v>3.1622776601683699E-8</v>
      </c>
      <c r="U2104" s="6">
        <v>0</v>
      </c>
      <c r="V2104" s="6">
        <v>0</v>
      </c>
      <c r="W2104" s="6">
        <v>0</v>
      </c>
      <c r="X2104" s="6">
        <v>0</v>
      </c>
      <c r="Y2104" t="s">
        <v>28</v>
      </c>
      <c r="Z2104" s="5">
        <v>256</v>
      </c>
      <c r="AA2104" s="3">
        <v>2.3042880000000001E-5</v>
      </c>
      <c r="AB2104" s="2">
        <v>0.1729</v>
      </c>
      <c r="AC2104" s="2">
        <v>5.2200000000000003E-2</v>
      </c>
      <c r="AD2104">
        <v>0.3</v>
      </c>
      <c r="AE2104">
        <v>702.4</v>
      </c>
      <c r="AF2104">
        <v>1</v>
      </c>
      <c r="AL2104" s="9">
        <v>17.5</v>
      </c>
      <c r="AM2104" s="9">
        <v>11</v>
      </c>
      <c r="AN2104" s="9">
        <v>2.5</v>
      </c>
      <c r="AP2104"/>
    </row>
    <row r="2105" spans="1:42" x14ac:dyDescent="0.3">
      <c r="A2105" t="s">
        <v>101</v>
      </c>
      <c r="B2105" t="s">
        <v>1582</v>
      </c>
      <c r="C2105">
        <v>86</v>
      </c>
      <c r="D2105" s="8">
        <v>1.4403999999999999</v>
      </c>
      <c r="G2105" t="s">
        <v>102</v>
      </c>
      <c r="H2105" t="s">
        <v>987</v>
      </c>
      <c r="J2105" s="3">
        <v>0</v>
      </c>
      <c r="K2105" s="4">
        <v>20</v>
      </c>
      <c r="L2105" t="s">
        <v>140</v>
      </c>
      <c r="M2105" t="s">
        <v>28</v>
      </c>
      <c r="N2105" s="3">
        <v>1</v>
      </c>
      <c r="O2105" s="3">
        <v>0</v>
      </c>
      <c r="P2105">
        <v>22.5</v>
      </c>
      <c r="Q2105">
        <v>6.5</v>
      </c>
      <c r="R2105" t="s">
        <v>102</v>
      </c>
      <c r="S2105">
        <v>0</v>
      </c>
      <c r="T2105" s="6">
        <f>10^-(14-Q2105)</f>
        <v>3.1622776601683699E-8</v>
      </c>
      <c r="U2105" s="6">
        <v>0</v>
      </c>
      <c r="V2105" s="6">
        <v>0</v>
      </c>
      <c r="W2105" s="6">
        <v>0</v>
      </c>
      <c r="X2105" s="6">
        <v>0</v>
      </c>
      <c r="Y2105" t="s">
        <v>28</v>
      </c>
      <c r="Z2105" s="5">
        <v>256</v>
      </c>
      <c r="AA2105" s="3">
        <v>2.05105E-5</v>
      </c>
      <c r="AB2105" s="2">
        <v>0.16420000000000001</v>
      </c>
      <c r="AC2105" s="2">
        <v>4.8899999999999999E-2</v>
      </c>
      <c r="AD2105">
        <v>0.3</v>
      </c>
      <c r="AE2105">
        <v>702.4</v>
      </c>
      <c r="AF2105">
        <v>1</v>
      </c>
      <c r="AL2105" s="9">
        <v>17.5</v>
      </c>
      <c r="AM2105" s="9">
        <v>11</v>
      </c>
      <c r="AN2105" s="9">
        <v>2.5</v>
      </c>
      <c r="AP2105"/>
    </row>
    <row r="2106" spans="1:42" x14ac:dyDescent="0.3">
      <c r="A2106" t="s">
        <v>103</v>
      </c>
      <c r="B2106" t="s">
        <v>1582</v>
      </c>
      <c r="C2106">
        <v>86</v>
      </c>
      <c r="D2106" s="8">
        <v>1.4403999999999999</v>
      </c>
      <c r="G2106" t="s">
        <v>102</v>
      </c>
      <c r="H2106" t="s">
        <v>987</v>
      </c>
      <c r="J2106" s="3">
        <v>0</v>
      </c>
      <c r="K2106" s="4">
        <v>20</v>
      </c>
      <c r="L2106" t="s">
        <v>140</v>
      </c>
      <c r="M2106" t="s">
        <v>28</v>
      </c>
      <c r="N2106" s="3">
        <v>1</v>
      </c>
      <c r="O2106" s="3">
        <v>0</v>
      </c>
      <c r="P2106">
        <v>22.5</v>
      </c>
      <c r="Q2106">
        <v>6.5</v>
      </c>
      <c r="R2106" t="s">
        <v>102</v>
      </c>
      <c r="S2106">
        <v>0</v>
      </c>
      <c r="T2106" s="6">
        <f>10^-(14-Q2106)</f>
        <v>3.1622776601683699E-8</v>
      </c>
      <c r="U2106" s="6">
        <v>0</v>
      </c>
      <c r="V2106" s="6">
        <v>0</v>
      </c>
      <c r="W2106" s="6">
        <v>0</v>
      </c>
      <c r="X2106" s="6">
        <v>0</v>
      </c>
      <c r="Y2106" t="s">
        <v>28</v>
      </c>
      <c r="Z2106" s="5">
        <v>237</v>
      </c>
      <c r="AA2106" s="3">
        <v>2.2938740000000001E-5</v>
      </c>
      <c r="AB2106" s="2">
        <v>0.2429</v>
      </c>
      <c r="AC2106" s="2">
        <v>3.9899999999999998E-2</v>
      </c>
      <c r="AD2106">
        <v>0.3</v>
      </c>
      <c r="AE2106">
        <v>829.9</v>
      </c>
      <c r="AF2106">
        <v>1</v>
      </c>
      <c r="AL2106" s="9">
        <v>17.5</v>
      </c>
      <c r="AM2106" s="9">
        <v>11</v>
      </c>
      <c r="AN2106" s="9">
        <v>2.5</v>
      </c>
      <c r="AP2106"/>
    </row>
    <row r="2107" spans="1:42" x14ac:dyDescent="0.3">
      <c r="A2107" t="s">
        <v>103</v>
      </c>
      <c r="B2107" t="s">
        <v>1582</v>
      </c>
      <c r="C2107">
        <v>86</v>
      </c>
      <c r="D2107" s="8">
        <v>1.4403999999999999</v>
      </c>
      <c r="G2107" t="s">
        <v>102</v>
      </c>
      <c r="H2107" t="s">
        <v>987</v>
      </c>
      <c r="J2107" s="3">
        <v>0</v>
      </c>
      <c r="K2107" s="4">
        <v>20</v>
      </c>
      <c r="L2107" t="s">
        <v>140</v>
      </c>
      <c r="M2107" t="s">
        <v>28</v>
      </c>
      <c r="N2107" s="3">
        <v>1</v>
      </c>
      <c r="O2107" s="3">
        <v>0</v>
      </c>
      <c r="P2107">
        <v>22.5</v>
      </c>
      <c r="Q2107">
        <v>6.5</v>
      </c>
      <c r="R2107" t="s">
        <v>102</v>
      </c>
      <c r="S2107">
        <v>0</v>
      </c>
      <c r="T2107" s="6">
        <f>10^-(14-Q2107)</f>
        <v>3.1622776601683699E-8</v>
      </c>
      <c r="U2107" s="6">
        <v>0</v>
      </c>
      <c r="V2107" s="6">
        <v>0</v>
      </c>
      <c r="W2107" s="6">
        <v>0</v>
      </c>
      <c r="X2107" s="6">
        <v>0</v>
      </c>
      <c r="Y2107" t="s">
        <v>28</v>
      </c>
      <c r="Z2107" s="5">
        <v>237</v>
      </c>
      <c r="AA2107" s="3">
        <v>2.3586440000000001E-5</v>
      </c>
      <c r="AB2107" s="2">
        <v>0.2495</v>
      </c>
      <c r="AC2107" s="2">
        <v>4.07E-2</v>
      </c>
      <c r="AD2107">
        <v>0.3</v>
      </c>
      <c r="AE2107">
        <v>829.9</v>
      </c>
      <c r="AF2107">
        <v>1</v>
      </c>
      <c r="AL2107" s="9">
        <v>17.5</v>
      </c>
      <c r="AM2107" s="9">
        <v>11</v>
      </c>
      <c r="AN2107" s="9">
        <v>2.5</v>
      </c>
      <c r="AP2107"/>
    </row>
    <row r="2108" spans="1:42" x14ac:dyDescent="0.3">
      <c r="A2108" t="s">
        <v>103</v>
      </c>
      <c r="B2108" t="s">
        <v>1582</v>
      </c>
      <c r="C2108">
        <v>86</v>
      </c>
      <c r="D2108" s="8">
        <v>1.4403999999999999</v>
      </c>
      <c r="G2108" t="s">
        <v>102</v>
      </c>
      <c r="H2108" t="s">
        <v>987</v>
      </c>
      <c r="J2108" s="3">
        <v>0</v>
      </c>
      <c r="K2108" s="4">
        <v>20</v>
      </c>
      <c r="L2108" t="s">
        <v>140</v>
      </c>
      <c r="M2108" t="s">
        <v>28</v>
      </c>
      <c r="N2108" s="3">
        <v>1</v>
      </c>
      <c r="O2108" s="3">
        <v>0</v>
      </c>
      <c r="P2108">
        <v>22.5</v>
      </c>
      <c r="Q2108">
        <v>6.5</v>
      </c>
      <c r="R2108" t="s">
        <v>102</v>
      </c>
      <c r="S2108">
        <v>0</v>
      </c>
      <c r="T2108" s="6">
        <f>10^-(14-Q2108)</f>
        <v>3.1622776601683699E-8</v>
      </c>
      <c r="U2108" s="6">
        <v>0</v>
      </c>
      <c r="V2108" s="6">
        <v>0</v>
      </c>
      <c r="W2108" s="6">
        <v>0</v>
      </c>
      <c r="X2108" s="6">
        <v>0</v>
      </c>
      <c r="Y2108" t="s">
        <v>28</v>
      </c>
      <c r="Z2108" s="5">
        <v>236</v>
      </c>
      <c r="AA2108" s="3">
        <v>1.7017999999999999E-5</v>
      </c>
      <c r="AB2108" s="2">
        <v>0.21129999999999999</v>
      </c>
      <c r="AC2108" s="2">
        <v>3.3099999999999997E-2</v>
      </c>
      <c r="AD2108">
        <v>0.3</v>
      </c>
      <c r="AE2108">
        <v>829.9</v>
      </c>
      <c r="AF2108">
        <v>1</v>
      </c>
      <c r="AL2108" s="9">
        <v>17.5</v>
      </c>
      <c r="AM2108" s="9">
        <v>11</v>
      </c>
      <c r="AN2108" s="9">
        <v>2.5</v>
      </c>
      <c r="AP2108"/>
    </row>
    <row r="2109" spans="1:42" x14ac:dyDescent="0.3">
      <c r="A2109" t="s">
        <v>104</v>
      </c>
      <c r="B2109" t="s">
        <v>1582</v>
      </c>
      <c r="C2109">
        <v>86</v>
      </c>
      <c r="D2109" s="8">
        <v>1.4403999999999999</v>
      </c>
      <c r="G2109" t="s">
        <v>102</v>
      </c>
      <c r="H2109" t="s">
        <v>987</v>
      </c>
      <c r="J2109" s="3">
        <v>0</v>
      </c>
      <c r="K2109" s="4">
        <v>20</v>
      </c>
      <c r="L2109" t="s">
        <v>140</v>
      </c>
      <c r="M2109" t="s">
        <v>28</v>
      </c>
      <c r="N2109" s="3">
        <v>1</v>
      </c>
      <c r="O2109" s="3">
        <v>0</v>
      </c>
      <c r="P2109">
        <v>22.5</v>
      </c>
      <c r="Q2109">
        <v>6.5</v>
      </c>
      <c r="R2109" t="s">
        <v>102</v>
      </c>
      <c r="S2109">
        <v>0</v>
      </c>
      <c r="T2109" s="6">
        <f>10^-(14-Q2109)</f>
        <v>3.1622776601683699E-8</v>
      </c>
      <c r="U2109" s="6">
        <v>0</v>
      </c>
      <c r="V2109" s="6">
        <v>0</v>
      </c>
      <c r="W2109" s="6">
        <v>0</v>
      </c>
      <c r="X2109" s="6">
        <v>0</v>
      </c>
      <c r="Y2109" t="s">
        <v>28</v>
      </c>
      <c r="Z2109" s="5">
        <v>256</v>
      </c>
      <c r="AA2109" s="3">
        <v>2.0970240000000001E-5</v>
      </c>
      <c r="AB2109" s="2">
        <v>0.18820000000000001</v>
      </c>
      <c r="AC2109" s="2">
        <v>5.5800000000000002E-2</v>
      </c>
      <c r="AD2109">
        <v>0.3</v>
      </c>
      <c r="AE2109">
        <v>691.2</v>
      </c>
      <c r="AF2109">
        <v>1</v>
      </c>
      <c r="AL2109" s="9">
        <v>17.5</v>
      </c>
      <c r="AM2109" s="9">
        <v>11</v>
      </c>
      <c r="AN2109" s="9">
        <v>2.5</v>
      </c>
      <c r="AP2109"/>
    </row>
    <row r="2110" spans="1:42" x14ac:dyDescent="0.3">
      <c r="A2110" t="s">
        <v>104</v>
      </c>
      <c r="B2110" t="s">
        <v>1582</v>
      </c>
      <c r="C2110">
        <v>86</v>
      </c>
      <c r="D2110" s="8">
        <v>1.4403999999999999</v>
      </c>
      <c r="G2110" t="s">
        <v>102</v>
      </c>
      <c r="H2110" t="s">
        <v>987</v>
      </c>
      <c r="J2110" s="3">
        <v>0</v>
      </c>
      <c r="K2110" s="4">
        <v>20</v>
      </c>
      <c r="L2110" t="s">
        <v>140</v>
      </c>
      <c r="M2110" t="s">
        <v>28</v>
      </c>
      <c r="N2110" s="3">
        <v>1</v>
      </c>
      <c r="O2110" s="3">
        <v>0</v>
      </c>
      <c r="P2110">
        <v>22.5</v>
      </c>
      <c r="Q2110">
        <v>6.5</v>
      </c>
      <c r="R2110" t="s">
        <v>102</v>
      </c>
      <c r="S2110">
        <v>0</v>
      </c>
      <c r="T2110" s="6">
        <f>10^-(14-Q2110)</f>
        <v>3.1622776601683699E-8</v>
      </c>
      <c r="U2110" s="6">
        <v>0</v>
      </c>
      <c r="V2110" s="6">
        <v>0</v>
      </c>
      <c r="W2110" s="6">
        <v>0</v>
      </c>
      <c r="X2110" s="6">
        <v>0</v>
      </c>
      <c r="Y2110" t="s">
        <v>28</v>
      </c>
      <c r="Z2110" s="5">
        <v>256</v>
      </c>
      <c r="AA2110" s="3">
        <v>1.7627599999999997E-5</v>
      </c>
      <c r="AB2110" s="2">
        <v>0.16930000000000001</v>
      </c>
      <c r="AC2110" s="2">
        <v>5.0200000000000002E-2</v>
      </c>
      <c r="AD2110">
        <v>0.3</v>
      </c>
      <c r="AE2110">
        <v>691.2</v>
      </c>
      <c r="AF2110">
        <v>1</v>
      </c>
      <c r="AL2110" s="9">
        <v>17.5</v>
      </c>
      <c r="AM2110" s="9">
        <v>11</v>
      </c>
      <c r="AN2110" s="9">
        <v>2.5</v>
      </c>
      <c r="AP2110"/>
    </row>
    <row r="2111" spans="1:42" x14ac:dyDescent="0.3">
      <c r="A2111" t="s">
        <v>104</v>
      </c>
      <c r="B2111" t="s">
        <v>1582</v>
      </c>
      <c r="C2111">
        <v>86</v>
      </c>
      <c r="D2111" s="8">
        <v>1.4403999999999999</v>
      </c>
      <c r="G2111" t="s">
        <v>102</v>
      </c>
      <c r="H2111" t="s">
        <v>987</v>
      </c>
      <c r="J2111" s="3">
        <v>0</v>
      </c>
      <c r="K2111" s="4">
        <v>20</v>
      </c>
      <c r="L2111" t="s">
        <v>140</v>
      </c>
      <c r="M2111" t="s">
        <v>28</v>
      </c>
      <c r="N2111" s="3">
        <v>1</v>
      </c>
      <c r="O2111" s="3">
        <v>0</v>
      </c>
      <c r="P2111">
        <v>22.5</v>
      </c>
      <c r="Q2111">
        <v>6.5</v>
      </c>
      <c r="R2111" t="s">
        <v>102</v>
      </c>
      <c r="S2111">
        <v>0</v>
      </c>
      <c r="T2111" s="6">
        <f>10^-(14-Q2111)</f>
        <v>3.1622776601683699E-8</v>
      </c>
      <c r="U2111" s="6">
        <v>0</v>
      </c>
      <c r="V2111" s="6">
        <v>0</v>
      </c>
      <c r="W2111" s="6">
        <v>0</v>
      </c>
      <c r="X2111" s="6">
        <v>0</v>
      </c>
      <c r="Y2111" t="s">
        <v>28</v>
      </c>
      <c r="Z2111" s="5">
        <v>256</v>
      </c>
      <c r="AA2111" s="3">
        <v>1.6507460000000001E-5</v>
      </c>
      <c r="AB2111" s="2">
        <v>0.1651</v>
      </c>
      <c r="AC2111" s="2">
        <v>4.8399999999999999E-2</v>
      </c>
      <c r="AD2111">
        <v>0.3</v>
      </c>
      <c r="AE2111">
        <v>691.2</v>
      </c>
      <c r="AF2111">
        <v>1</v>
      </c>
      <c r="AL2111" s="9">
        <v>17.5</v>
      </c>
      <c r="AM2111" s="9">
        <v>11</v>
      </c>
      <c r="AN2111" s="9">
        <v>2.5</v>
      </c>
      <c r="AP2111"/>
    </row>
    <row r="2112" spans="1:42" x14ac:dyDescent="0.3">
      <c r="A2112" t="s">
        <v>105</v>
      </c>
      <c r="B2112" t="s">
        <v>1582</v>
      </c>
      <c r="C2112">
        <v>86</v>
      </c>
      <c r="D2112" s="8">
        <v>1.4403999999999999</v>
      </c>
      <c r="G2112" t="s">
        <v>102</v>
      </c>
      <c r="H2112" t="s">
        <v>987</v>
      </c>
      <c r="J2112" s="3">
        <v>0</v>
      </c>
      <c r="K2112" s="4">
        <v>20</v>
      </c>
      <c r="L2112" t="s">
        <v>140</v>
      </c>
      <c r="M2112" t="s">
        <v>28</v>
      </c>
      <c r="N2112" s="3">
        <v>1</v>
      </c>
      <c r="O2112" s="3">
        <v>0</v>
      </c>
      <c r="P2112">
        <v>22.5</v>
      </c>
      <c r="Q2112">
        <v>6.5</v>
      </c>
      <c r="R2112" t="s">
        <v>102</v>
      </c>
      <c r="S2112">
        <v>0</v>
      </c>
      <c r="T2112" s="6">
        <f>10^-(14-Q2112)</f>
        <v>3.1622776601683699E-8</v>
      </c>
      <c r="U2112" s="6">
        <v>0</v>
      </c>
      <c r="V2112" s="6">
        <v>0</v>
      </c>
      <c r="W2112" s="6">
        <v>0</v>
      </c>
      <c r="X2112" s="6">
        <v>0</v>
      </c>
      <c r="Y2112" t="s">
        <v>28</v>
      </c>
      <c r="Z2112" s="5">
        <v>172</v>
      </c>
      <c r="AA2112" s="3">
        <v>1.1818619999999999E-5</v>
      </c>
      <c r="AB2112" s="2">
        <v>0.20200000000000001</v>
      </c>
      <c r="AC2112" s="2">
        <v>4.82E-2</v>
      </c>
      <c r="AD2112">
        <v>0.3</v>
      </c>
      <c r="AE2112">
        <v>563.4</v>
      </c>
      <c r="AF2112">
        <v>1</v>
      </c>
      <c r="AL2112" s="9">
        <v>17.5</v>
      </c>
      <c r="AM2112" s="9">
        <v>11</v>
      </c>
      <c r="AN2112" s="9">
        <v>2.5</v>
      </c>
      <c r="AP2112"/>
    </row>
    <row r="2113" spans="1:42" x14ac:dyDescent="0.3">
      <c r="A2113" t="s">
        <v>105</v>
      </c>
      <c r="B2113" t="s">
        <v>1582</v>
      </c>
      <c r="C2113">
        <v>86</v>
      </c>
      <c r="D2113" s="8">
        <v>1.4403999999999999</v>
      </c>
      <c r="G2113" t="s">
        <v>102</v>
      </c>
      <c r="H2113" t="s">
        <v>987</v>
      </c>
      <c r="J2113" s="3">
        <v>0</v>
      </c>
      <c r="K2113" s="4">
        <v>20</v>
      </c>
      <c r="L2113" t="s">
        <v>140</v>
      </c>
      <c r="M2113" t="s">
        <v>28</v>
      </c>
      <c r="N2113" s="3">
        <v>1</v>
      </c>
      <c r="O2113" s="3">
        <v>0</v>
      </c>
      <c r="P2113">
        <v>22.5</v>
      </c>
      <c r="Q2113">
        <v>6.5</v>
      </c>
      <c r="R2113" t="s">
        <v>102</v>
      </c>
      <c r="S2113">
        <v>0</v>
      </c>
      <c r="T2113" s="6">
        <f>10^-(14-Q2113)</f>
        <v>3.1622776601683699E-8</v>
      </c>
      <c r="U2113" s="6">
        <v>0</v>
      </c>
      <c r="V2113" s="6">
        <v>0</v>
      </c>
      <c r="W2113" s="6">
        <v>0</v>
      </c>
      <c r="X2113" s="6">
        <v>0</v>
      </c>
      <c r="Y2113" t="s">
        <v>28</v>
      </c>
      <c r="Z2113" s="5">
        <v>172</v>
      </c>
      <c r="AA2113" s="3">
        <v>9.8450399999999992E-6</v>
      </c>
      <c r="AB2113" s="2">
        <v>0.17780000000000001</v>
      </c>
      <c r="AC2113" s="2">
        <v>4.3799999999999999E-2</v>
      </c>
      <c r="AD2113">
        <v>0.3</v>
      </c>
      <c r="AE2113">
        <v>563.4</v>
      </c>
      <c r="AF2113">
        <v>1</v>
      </c>
      <c r="AL2113" s="9">
        <v>17.5</v>
      </c>
      <c r="AM2113" s="9">
        <v>11</v>
      </c>
      <c r="AN2113" s="9">
        <v>2.5</v>
      </c>
      <c r="AP2113"/>
    </row>
    <row r="2114" spans="1:42" x14ac:dyDescent="0.3">
      <c r="A2114" t="s">
        <v>105</v>
      </c>
      <c r="B2114" t="s">
        <v>1582</v>
      </c>
      <c r="C2114">
        <v>86</v>
      </c>
      <c r="D2114" s="8">
        <v>1.4403999999999999</v>
      </c>
      <c r="G2114" t="s">
        <v>102</v>
      </c>
      <c r="H2114" t="s">
        <v>987</v>
      </c>
      <c r="J2114" s="3">
        <v>0</v>
      </c>
      <c r="K2114" s="4">
        <v>20</v>
      </c>
      <c r="L2114" t="s">
        <v>140</v>
      </c>
      <c r="M2114" t="s">
        <v>28</v>
      </c>
      <c r="N2114" s="3">
        <v>1</v>
      </c>
      <c r="O2114" s="3">
        <v>0</v>
      </c>
      <c r="P2114">
        <v>22.5</v>
      </c>
      <c r="Q2114">
        <v>6.5</v>
      </c>
      <c r="R2114" t="s">
        <v>102</v>
      </c>
      <c r="S2114">
        <v>0</v>
      </c>
      <c r="T2114" s="6">
        <f>10^-(14-Q2114)</f>
        <v>3.1622776601683699E-8</v>
      </c>
      <c r="U2114" s="6">
        <v>0</v>
      </c>
      <c r="V2114" s="6">
        <v>0</v>
      </c>
      <c r="W2114" s="6">
        <v>0</v>
      </c>
      <c r="X2114" s="6">
        <v>0</v>
      </c>
      <c r="Y2114" t="s">
        <v>28</v>
      </c>
      <c r="Z2114" s="5">
        <v>172</v>
      </c>
      <c r="AA2114" s="3">
        <v>1.1043919999999999E-5</v>
      </c>
      <c r="AB2114" s="2">
        <v>0.18609999999999999</v>
      </c>
      <c r="AC2114" s="2">
        <v>4.6699999999999998E-2</v>
      </c>
      <c r="AD2114">
        <v>0.3</v>
      </c>
      <c r="AE2114">
        <v>563.4</v>
      </c>
      <c r="AF2114">
        <v>1</v>
      </c>
      <c r="AL2114" s="9">
        <v>17.5</v>
      </c>
      <c r="AM2114" s="9">
        <v>11</v>
      </c>
      <c r="AN2114" s="9">
        <v>2.5</v>
      </c>
      <c r="AP2114"/>
    </row>
    <row r="2115" spans="1:42" x14ac:dyDescent="0.3">
      <c r="A2115" t="s">
        <v>106</v>
      </c>
      <c r="B2115" t="s">
        <v>1582</v>
      </c>
      <c r="C2115">
        <v>86</v>
      </c>
      <c r="D2115" s="8">
        <v>1.4403999999999999</v>
      </c>
      <c r="E2115">
        <v>100000</v>
      </c>
      <c r="G2115" t="s">
        <v>107</v>
      </c>
      <c r="H2115" t="s">
        <v>987</v>
      </c>
      <c r="I2115" s="4">
        <v>1.5</v>
      </c>
      <c r="J2115" s="3">
        <v>1848</v>
      </c>
      <c r="K2115" s="4">
        <v>20</v>
      </c>
      <c r="L2115" t="s">
        <v>140</v>
      </c>
      <c r="M2115" t="s">
        <v>28</v>
      </c>
      <c r="N2115" s="3">
        <v>5</v>
      </c>
      <c r="O2115" s="3">
        <v>0</v>
      </c>
      <c r="P2115">
        <v>22.5</v>
      </c>
      <c r="Q2115">
        <v>6.5</v>
      </c>
      <c r="R2115" t="s">
        <v>102</v>
      </c>
      <c r="S2115">
        <v>0</v>
      </c>
      <c r="T2115" s="6">
        <f>10^-(14-Q2115)</f>
        <v>3.1622776601683699E-8</v>
      </c>
      <c r="U2115" s="6">
        <v>0</v>
      </c>
      <c r="V2115" s="6">
        <v>0</v>
      </c>
      <c r="W2115" s="6">
        <v>0</v>
      </c>
      <c r="X2115" s="6">
        <v>0</v>
      </c>
      <c r="Y2115" t="s">
        <v>28</v>
      </c>
      <c r="Z2115" s="5">
        <v>-183</v>
      </c>
      <c r="AA2115" s="3">
        <v>2.1841460000000001E-5</v>
      </c>
      <c r="AB2115" s="2">
        <v>0.3417</v>
      </c>
      <c r="AC2115" s="2">
        <v>6.1899999999999997E-2</v>
      </c>
      <c r="AD2115">
        <v>0.3</v>
      </c>
      <c r="AE2115">
        <v>829.4</v>
      </c>
      <c r="AF2115">
        <v>2</v>
      </c>
      <c r="AL2115" s="9">
        <v>17.5</v>
      </c>
      <c r="AM2115" s="9">
        <v>11</v>
      </c>
      <c r="AN2115" s="9">
        <v>2.5</v>
      </c>
      <c r="AP2115"/>
    </row>
    <row r="2116" spans="1:42" x14ac:dyDescent="0.3">
      <c r="A2116" t="s">
        <v>106</v>
      </c>
      <c r="B2116" t="s">
        <v>1582</v>
      </c>
      <c r="C2116">
        <v>86</v>
      </c>
      <c r="D2116" s="8">
        <v>1.4403999999999999</v>
      </c>
      <c r="E2116">
        <v>100000</v>
      </c>
      <c r="G2116" t="s">
        <v>107</v>
      </c>
      <c r="H2116" t="s">
        <v>987</v>
      </c>
      <c r="I2116" s="4">
        <v>1.5</v>
      </c>
      <c r="J2116" s="3">
        <v>1848</v>
      </c>
      <c r="K2116" s="4">
        <v>20</v>
      </c>
      <c r="L2116" t="s">
        <v>140</v>
      </c>
      <c r="M2116" t="s">
        <v>28</v>
      </c>
      <c r="N2116" s="3">
        <v>5</v>
      </c>
      <c r="O2116" s="3">
        <v>0</v>
      </c>
      <c r="P2116">
        <v>22.5</v>
      </c>
      <c r="Q2116">
        <v>6.5</v>
      </c>
      <c r="R2116" t="s">
        <v>102</v>
      </c>
      <c r="S2116">
        <v>0</v>
      </c>
      <c r="T2116" s="6">
        <f>10^-(14-Q2116)</f>
        <v>3.1622776601683699E-8</v>
      </c>
      <c r="U2116" s="6">
        <v>0</v>
      </c>
      <c r="V2116" s="6">
        <v>0</v>
      </c>
      <c r="W2116" s="6">
        <v>0</v>
      </c>
      <c r="X2116" s="6">
        <v>0</v>
      </c>
      <c r="Y2116" t="s">
        <v>28</v>
      </c>
      <c r="Z2116" s="5">
        <v>-183</v>
      </c>
      <c r="AA2116" s="3">
        <v>2.2283419999999999E-5</v>
      </c>
      <c r="AB2116" s="2">
        <v>0.35039999999999999</v>
      </c>
      <c r="AC2116" s="2">
        <v>6.3E-2</v>
      </c>
      <c r="AD2116">
        <v>0.3</v>
      </c>
      <c r="AE2116">
        <v>829.4</v>
      </c>
      <c r="AF2116">
        <v>2</v>
      </c>
      <c r="AL2116" s="9">
        <v>17.5</v>
      </c>
      <c r="AM2116" s="9">
        <v>11</v>
      </c>
      <c r="AN2116" s="9">
        <v>2.5</v>
      </c>
      <c r="AP2116"/>
    </row>
    <row r="2117" spans="1:42" x14ac:dyDescent="0.3">
      <c r="A2117" t="s">
        <v>106</v>
      </c>
      <c r="B2117" t="s">
        <v>1582</v>
      </c>
      <c r="C2117">
        <v>86</v>
      </c>
      <c r="D2117" s="8">
        <v>1.4403999999999999</v>
      </c>
      <c r="E2117">
        <v>100000</v>
      </c>
      <c r="G2117" t="s">
        <v>107</v>
      </c>
      <c r="H2117" t="s">
        <v>987</v>
      </c>
      <c r="I2117" s="4">
        <v>1.5</v>
      </c>
      <c r="J2117" s="3">
        <v>1848</v>
      </c>
      <c r="K2117" s="4">
        <v>20</v>
      </c>
      <c r="L2117" t="s">
        <v>140</v>
      </c>
      <c r="M2117" t="s">
        <v>28</v>
      </c>
      <c r="N2117" s="3">
        <v>5</v>
      </c>
      <c r="O2117" s="3">
        <v>0</v>
      </c>
      <c r="P2117">
        <v>22.5</v>
      </c>
      <c r="Q2117">
        <v>6.5</v>
      </c>
      <c r="R2117" t="s">
        <v>102</v>
      </c>
      <c r="S2117">
        <v>0</v>
      </c>
      <c r="T2117" s="6">
        <f>10^-(14-Q2117)</f>
        <v>3.1622776601683699E-8</v>
      </c>
      <c r="U2117" s="6">
        <v>0</v>
      </c>
      <c r="V2117" s="6">
        <v>0</v>
      </c>
      <c r="W2117" s="6">
        <v>0</v>
      </c>
      <c r="X2117" s="6">
        <v>0</v>
      </c>
      <c r="Y2117" t="s">
        <v>28</v>
      </c>
      <c r="Z2117" s="5">
        <v>-183</v>
      </c>
      <c r="AA2117" s="3">
        <v>2.2151339999999999E-5</v>
      </c>
      <c r="AB2117" s="2">
        <v>0.3478</v>
      </c>
      <c r="AC2117" s="2">
        <v>6.2700000000000006E-2</v>
      </c>
      <c r="AD2117">
        <v>0.3</v>
      </c>
      <c r="AE2117">
        <v>829.4</v>
      </c>
      <c r="AF2117">
        <v>2</v>
      </c>
      <c r="AL2117" s="9">
        <v>17.5</v>
      </c>
      <c r="AM2117" s="9">
        <v>11</v>
      </c>
      <c r="AN2117" s="9">
        <v>2.5</v>
      </c>
      <c r="AP2117"/>
    </row>
    <row r="2118" spans="1:42" x14ac:dyDescent="0.3">
      <c r="A2118" t="s">
        <v>108</v>
      </c>
      <c r="B2118" t="s">
        <v>1582</v>
      </c>
      <c r="C2118">
        <v>86</v>
      </c>
      <c r="D2118" s="8">
        <v>1.4403999999999999</v>
      </c>
      <c r="E2118">
        <v>100000</v>
      </c>
      <c r="G2118" t="s">
        <v>107</v>
      </c>
      <c r="H2118" t="s">
        <v>987</v>
      </c>
      <c r="I2118" s="4">
        <v>1.5</v>
      </c>
      <c r="J2118" s="3">
        <v>1848</v>
      </c>
      <c r="K2118" s="4">
        <v>20</v>
      </c>
      <c r="L2118" t="s">
        <v>140</v>
      </c>
      <c r="M2118" t="s">
        <v>28</v>
      </c>
      <c r="N2118" s="3">
        <v>5</v>
      </c>
      <c r="O2118" s="3">
        <v>0</v>
      </c>
      <c r="P2118">
        <v>22.5</v>
      </c>
      <c r="Q2118">
        <v>6.5</v>
      </c>
      <c r="R2118" t="s">
        <v>102</v>
      </c>
      <c r="S2118">
        <v>0</v>
      </c>
      <c r="T2118" s="6">
        <f>10^-(14-Q2118)</f>
        <v>3.1622776601683699E-8</v>
      </c>
      <c r="U2118" s="6">
        <v>0</v>
      </c>
      <c r="V2118" s="6">
        <v>0</v>
      </c>
      <c r="W2118" s="6">
        <v>0</v>
      </c>
      <c r="X2118" s="6">
        <v>0</v>
      </c>
      <c r="Y2118" t="s">
        <v>28</v>
      </c>
      <c r="Z2118" s="5">
        <v>-274</v>
      </c>
      <c r="AA2118" s="3">
        <v>6.6319399999999998E-4</v>
      </c>
      <c r="AB2118" s="2">
        <v>9.8900000000000002E-2</v>
      </c>
      <c r="AC2118" s="2">
        <v>1</v>
      </c>
      <c r="AD2118">
        <v>0.3</v>
      </c>
      <c r="AE2118">
        <v>350.5</v>
      </c>
      <c r="AF2118">
        <v>1</v>
      </c>
      <c r="AL2118" s="9">
        <v>17.5</v>
      </c>
      <c r="AM2118" s="9">
        <v>11</v>
      </c>
      <c r="AN2118" s="9">
        <v>2.5</v>
      </c>
      <c r="AP2118"/>
    </row>
    <row r="2119" spans="1:42" x14ac:dyDescent="0.3">
      <c r="A2119" t="s">
        <v>108</v>
      </c>
      <c r="B2119" t="s">
        <v>1582</v>
      </c>
      <c r="C2119">
        <v>86</v>
      </c>
      <c r="D2119" s="8">
        <v>1.4403999999999999</v>
      </c>
      <c r="E2119">
        <v>100000</v>
      </c>
      <c r="G2119" t="s">
        <v>107</v>
      </c>
      <c r="H2119" t="s">
        <v>987</v>
      </c>
      <c r="I2119" s="4">
        <v>1.5</v>
      </c>
      <c r="J2119" s="3">
        <v>1848</v>
      </c>
      <c r="K2119" s="4">
        <v>20</v>
      </c>
      <c r="L2119" t="s">
        <v>140</v>
      </c>
      <c r="M2119" t="s">
        <v>28</v>
      </c>
      <c r="N2119" s="3">
        <v>5</v>
      </c>
      <c r="O2119" s="3">
        <v>0</v>
      </c>
      <c r="P2119">
        <v>22.5</v>
      </c>
      <c r="Q2119">
        <v>6.5</v>
      </c>
      <c r="R2119" t="s">
        <v>102</v>
      </c>
      <c r="S2119">
        <v>0</v>
      </c>
      <c r="T2119" s="6">
        <f>10^-(14-Q2119)</f>
        <v>3.1622776601683699E-8</v>
      </c>
      <c r="U2119" s="6">
        <v>0</v>
      </c>
      <c r="V2119" s="6">
        <v>0</v>
      </c>
      <c r="W2119" s="6">
        <v>0</v>
      </c>
      <c r="X2119" s="6">
        <v>0</v>
      </c>
      <c r="Y2119" t="s">
        <v>28</v>
      </c>
      <c r="Z2119" s="5">
        <v>-274</v>
      </c>
      <c r="AA2119" s="3">
        <v>8.310879999999999E-4</v>
      </c>
      <c r="AB2119" s="2">
        <v>0.1129</v>
      </c>
      <c r="AC2119" s="2">
        <v>1</v>
      </c>
      <c r="AD2119">
        <v>0.3</v>
      </c>
      <c r="AE2119">
        <v>350.5</v>
      </c>
      <c r="AF2119">
        <v>1</v>
      </c>
      <c r="AL2119" s="9">
        <v>17.5</v>
      </c>
      <c r="AM2119" s="9">
        <v>11</v>
      </c>
      <c r="AN2119" s="9">
        <v>2.5</v>
      </c>
      <c r="AP2119"/>
    </row>
    <row r="2120" spans="1:42" x14ac:dyDescent="0.3">
      <c r="A2120" t="s">
        <v>108</v>
      </c>
      <c r="B2120" t="s">
        <v>1582</v>
      </c>
      <c r="C2120">
        <v>86</v>
      </c>
      <c r="D2120" s="8">
        <v>1.4403999999999999</v>
      </c>
      <c r="E2120">
        <v>100000</v>
      </c>
      <c r="G2120" t="s">
        <v>107</v>
      </c>
      <c r="H2120" t="s">
        <v>987</v>
      </c>
      <c r="I2120" s="4">
        <v>1.5</v>
      </c>
      <c r="J2120" s="3">
        <v>1848</v>
      </c>
      <c r="K2120" s="4">
        <v>20</v>
      </c>
      <c r="L2120" t="s">
        <v>140</v>
      </c>
      <c r="M2120" t="s">
        <v>28</v>
      </c>
      <c r="N2120" s="3">
        <v>5</v>
      </c>
      <c r="O2120" s="3">
        <v>0</v>
      </c>
      <c r="P2120">
        <v>22.5</v>
      </c>
      <c r="Q2120">
        <v>6.5</v>
      </c>
      <c r="R2120" t="s">
        <v>102</v>
      </c>
      <c r="S2120">
        <v>0</v>
      </c>
      <c r="T2120" s="6">
        <f>10^-(14-Q2120)</f>
        <v>3.1622776601683699E-8</v>
      </c>
      <c r="U2120" s="6">
        <v>0</v>
      </c>
      <c r="V2120" s="6">
        <v>0</v>
      </c>
      <c r="W2120" s="6">
        <v>0</v>
      </c>
      <c r="X2120" s="6">
        <v>0</v>
      </c>
      <c r="Y2120" t="s">
        <v>28</v>
      </c>
      <c r="Z2120" s="5">
        <v>-274</v>
      </c>
      <c r="AA2120" s="3">
        <v>6.0096399999999995E-4</v>
      </c>
      <c r="AB2120" s="2">
        <v>9.0499999999999997E-2</v>
      </c>
      <c r="AC2120" s="2">
        <v>1</v>
      </c>
      <c r="AD2120">
        <v>0.3</v>
      </c>
      <c r="AE2120">
        <v>350.5</v>
      </c>
      <c r="AF2120">
        <v>1</v>
      </c>
      <c r="AL2120" s="9">
        <v>17.5</v>
      </c>
      <c r="AM2120" s="9">
        <v>11</v>
      </c>
      <c r="AN2120" s="9">
        <v>2.5</v>
      </c>
      <c r="AP2120"/>
    </row>
    <row r="2121" spans="1:42" x14ac:dyDescent="0.3">
      <c r="A2121" t="s">
        <v>109</v>
      </c>
      <c r="B2121" t="s">
        <v>1582</v>
      </c>
      <c r="C2121">
        <v>86</v>
      </c>
      <c r="D2121" s="8">
        <v>1.4403999999999999</v>
      </c>
      <c r="E2121">
        <v>100000</v>
      </c>
      <c r="G2121" t="s">
        <v>107</v>
      </c>
      <c r="H2121" t="s">
        <v>987</v>
      </c>
      <c r="I2121" s="4">
        <v>1.5</v>
      </c>
      <c r="J2121" s="3">
        <v>1848</v>
      </c>
      <c r="K2121" s="4">
        <v>20</v>
      </c>
      <c r="L2121" t="s">
        <v>140</v>
      </c>
      <c r="M2121" t="s">
        <v>28</v>
      </c>
      <c r="N2121" s="3">
        <v>5</v>
      </c>
      <c r="O2121" s="3">
        <v>0</v>
      </c>
      <c r="P2121">
        <v>22.5</v>
      </c>
      <c r="Q2121">
        <v>6.5</v>
      </c>
      <c r="R2121" t="s">
        <v>102</v>
      </c>
      <c r="S2121">
        <v>0</v>
      </c>
      <c r="T2121" s="6">
        <f>10^-(14-Q2121)</f>
        <v>3.1622776601683699E-8</v>
      </c>
      <c r="U2121" s="6">
        <v>0</v>
      </c>
      <c r="V2121" s="6">
        <v>0</v>
      </c>
      <c r="W2121" s="6">
        <v>0</v>
      </c>
      <c r="X2121" s="6">
        <v>0</v>
      </c>
      <c r="Y2121" t="s">
        <v>28</v>
      </c>
      <c r="Z2121" s="5">
        <v>-146</v>
      </c>
      <c r="AA2121" s="3">
        <v>3.6271199999999999E-5</v>
      </c>
      <c r="AB2121" s="2">
        <v>0.38679999999999998</v>
      </c>
      <c r="AC2121" s="2">
        <v>7.2700000000000001E-2</v>
      </c>
      <c r="AD2121">
        <v>0.3</v>
      </c>
      <c r="AE2121">
        <v>829.3</v>
      </c>
      <c r="AF2121">
        <v>2</v>
      </c>
      <c r="AL2121" s="9">
        <v>17.5</v>
      </c>
      <c r="AM2121" s="9">
        <v>11</v>
      </c>
      <c r="AN2121" s="9">
        <v>2.5</v>
      </c>
      <c r="AP2121"/>
    </row>
    <row r="2122" spans="1:42" x14ac:dyDescent="0.3">
      <c r="A2122" t="s">
        <v>109</v>
      </c>
      <c r="B2122" t="s">
        <v>1582</v>
      </c>
      <c r="C2122">
        <v>86</v>
      </c>
      <c r="D2122" s="8">
        <v>1.4403999999999999</v>
      </c>
      <c r="E2122">
        <v>100000</v>
      </c>
      <c r="G2122" t="s">
        <v>107</v>
      </c>
      <c r="H2122" t="s">
        <v>987</v>
      </c>
      <c r="I2122" s="4">
        <v>1.5</v>
      </c>
      <c r="J2122" s="3">
        <v>1848</v>
      </c>
      <c r="K2122" s="4">
        <v>20</v>
      </c>
      <c r="L2122" t="s">
        <v>140</v>
      </c>
      <c r="M2122" t="s">
        <v>28</v>
      </c>
      <c r="N2122" s="3">
        <v>5</v>
      </c>
      <c r="O2122" s="3">
        <v>0</v>
      </c>
      <c r="P2122">
        <v>22.5</v>
      </c>
      <c r="Q2122">
        <v>6.5</v>
      </c>
      <c r="R2122" t="s">
        <v>102</v>
      </c>
      <c r="S2122">
        <v>0</v>
      </c>
      <c r="T2122" s="6">
        <f>10^-(14-Q2122)</f>
        <v>3.1622776601683699E-8</v>
      </c>
      <c r="U2122" s="6">
        <v>0</v>
      </c>
      <c r="V2122" s="6">
        <v>0</v>
      </c>
      <c r="W2122" s="6">
        <v>0</v>
      </c>
      <c r="X2122" s="6">
        <v>0</v>
      </c>
      <c r="Y2122" t="s">
        <v>28</v>
      </c>
      <c r="Z2122" s="5">
        <v>-144</v>
      </c>
      <c r="AA2122" s="3">
        <v>4.99618E-5</v>
      </c>
      <c r="AB2122" s="2">
        <v>0.60980000000000001</v>
      </c>
      <c r="AC2122" s="2">
        <v>9.9900000000000003E-2</v>
      </c>
      <c r="AD2122">
        <v>0.3</v>
      </c>
      <c r="AE2122">
        <v>829.3</v>
      </c>
      <c r="AF2122">
        <v>2</v>
      </c>
      <c r="AL2122" s="9">
        <v>17.5</v>
      </c>
      <c r="AM2122" s="9">
        <v>11</v>
      </c>
      <c r="AN2122" s="9">
        <v>2.5</v>
      </c>
      <c r="AP2122"/>
    </row>
    <row r="2123" spans="1:42" x14ac:dyDescent="0.3">
      <c r="A2123" t="s">
        <v>109</v>
      </c>
      <c r="B2123" t="s">
        <v>1582</v>
      </c>
      <c r="C2123">
        <v>86</v>
      </c>
      <c r="D2123" s="8">
        <v>1.4403999999999999</v>
      </c>
      <c r="E2123">
        <v>100000</v>
      </c>
      <c r="G2123" t="s">
        <v>107</v>
      </c>
      <c r="H2123" t="s">
        <v>987</v>
      </c>
      <c r="I2123" s="4">
        <v>1.5</v>
      </c>
      <c r="J2123" s="3">
        <v>1848</v>
      </c>
      <c r="K2123" s="4">
        <v>20</v>
      </c>
      <c r="L2123" t="s">
        <v>140</v>
      </c>
      <c r="M2123" t="s">
        <v>28</v>
      </c>
      <c r="N2123" s="3">
        <v>5</v>
      </c>
      <c r="O2123" s="3">
        <v>0</v>
      </c>
      <c r="P2123">
        <v>22.5</v>
      </c>
      <c r="Q2123">
        <v>6.5</v>
      </c>
      <c r="R2123" t="s">
        <v>102</v>
      </c>
      <c r="S2123">
        <v>0</v>
      </c>
      <c r="T2123" s="6">
        <f>10^-(14-Q2123)</f>
        <v>3.1622776601683699E-8</v>
      </c>
      <c r="U2123" s="6">
        <v>0</v>
      </c>
      <c r="V2123" s="6">
        <v>0</v>
      </c>
      <c r="W2123" s="6">
        <v>0</v>
      </c>
      <c r="X2123" s="6">
        <v>0</v>
      </c>
      <c r="Y2123" t="s">
        <v>28</v>
      </c>
      <c r="Z2123" s="5">
        <v>-140</v>
      </c>
      <c r="AA2123" s="3">
        <v>7.2872600000000004E-5</v>
      </c>
      <c r="AB2123" s="2">
        <v>1.0660000000000001</v>
      </c>
      <c r="AC2123" s="2">
        <v>0.16569999999999999</v>
      </c>
      <c r="AD2123">
        <v>0.3</v>
      </c>
      <c r="AE2123">
        <v>829.3</v>
      </c>
      <c r="AF2123">
        <v>2</v>
      </c>
      <c r="AL2123" s="9">
        <v>17.5</v>
      </c>
      <c r="AM2123" s="9">
        <v>11</v>
      </c>
      <c r="AN2123" s="9">
        <v>2.5</v>
      </c>
      <c r="AP2123"/>
    </row>
    <row r="2124" spans="1:42" x14ac:dyDescent="0.3">
      <c r="A2124" t="s">
        <v>109</v>
      </c>
      <c r="B2124" t="s">
        <v>1582</v>
      </c>
      <c r="C2124">
        <v>86</v>
      </c>
      <c r="D2124" s="8">
        <v>1.4403999999999999</v>
      </c>
      <c r="E2124">
        <v>100000</v>
      </c>
      <c r="G2124" t="s">
        <v>107</v>
      </c>
      <c r="H2124" t="s">
        <v>987</v>
      </c>
      <c r="I2124" s="4">
        <v>1.5</v>
      </c>
      <c r="J2124" s="3">
        <v>1848</v>
      </c>
      <c r="K2124" s="4">
        <v>20</v>
      </c>
      <c r="L2124" t="s">
        <v>140</v>
      </c>
      <c r="M2124" t="s">
        <v>28</v>
      </c>
      <c r="N2124" s="3">
        <v>5</v>
      </c>
      <c r="O2124" s="3">
        <v>0</v>
      </c>
      <c r="P2124">
        <v>22.5</v>
      </c>
      <c r="Q2124">
        <v>6.5</v>
      </c>
      <c r="R2124" t="s">
        <v>102</v>
      </c>
      <c r="S2124">
        <v>0</v>
      </c>
      <c r="T2124" s="6">
        <f>10^-(14-Q2124)</f>
        <v>3.1622776601683699E-8</v>
      </c>
      <c r="U2124" s="6">
        <v>0</v>
      </c>
      <c r="V2124" s="6">
        <v>0</v>
      </c>
      <c r="W2124" s="6">
        <v>0</v>
      </c>
      <c r="X2124" s="6">
        <v>0</v>
      </c>
      <c r="Y2124" t="s">
        <v>28</v>
      </c>
      <c r="Z2124" s="5">
        <v>-139</v>
      </c>
      <c r="AA2124" s="3">
        <v>8.2803999999999989E-5</v>
      </c>
      <c r="AB2124" s="2">
        <v>1.327</v>
      </c>
      <c r="AC2124" s="2">
        <v>0.1956</v>
      </c>
      <c r="AD2124">
        <v>0.3</v>
      </c>
      <c r="AE2124">
        <v>829.3</v>
      </c>
      <c r="AF2124">
        <v>2</v>
      </c>
      <c r="AL2124" s="9">
        <v>17.5</v>
      </c>
      <c r="AM2124" s="9">
        <v>11</v>
      </c>
      <c r="AN2124" s="9">
        <v>2.5</v>
      </c>
      <c r="AP2124"/>
    </row>
    <row r="2125" spans="1:42" x14ac:dyDescent="0.3">
      <c r="A2125" t="s">
        <v>110</v>
      </c>
      <c r="B2125" t="s">
        <v>1582</v>
      </c>
      <c r="C2125">
        <v>86</v>
      </c>
      <c r="D2125" s="8">
        <v>1.4403999999999999</v>
      </c>
      <c r="E2125">
        <v>100000</v>
      </c>
      <c r="G2125" t="s">
        <v>111</v>
      </c>
      <c r="H2125" t="s">
        <v>987</v>
      </c>
      <c r="I2125" s="4">
        <v>1.5</v>
      </c>
      <c r="J2125" s="3">
        <v>1344</v>
      </c>
      <c r="K2125" s="4">
        <v>20</v>
      </c>
      <c r="L2125" t="s">
        <v>140</v>
      </c>
      <c r="M2125" t="s">
        <v>28</v>
      </c>
      <c r="N2125" s="3">
        <v>5</v>
      </c>
      <c r="O2125" s="3">
        <v>0</v>
      </c>
      <c r="P2125">
        <v>22.5</v>
      </c>
      <c r="Q2125">
        <v>6.5</v>
      </c>
      <c r="R2125" t="s">
        <v>102</v>
      </c>
      <c r="S2125">
        <v>0</v>
      </c>
      <c r="T2125" s="6">
        <f>10^-(14-Q2125)</f>
        <v>3.1622776601683699E-8</v>
      </c>
      <c r="U2125" s="6">
        <v>0</v>
      </c>
      <c r="V2125" s="6">
        <v>0</v>
      </c>
      <c r="W2125" s="6">
        <v>0</v>
      </c>
      <c r="X2125" s="6">
        <v>0</v>
      </c>
      <c r="Y2125" t="s">
        <v>28</v>
      </c>
      <c r="Z2125" s="5">
        <v>278</v>
      </c>
      <c r="AA2125" s="3">
        <v>1.8821399999999999E-5</v>
      </c>
      <c r="AB2125" s="2">
        <v>0.1704</v>
      </c>
      <c r="AC2125" s="2">
        <v>5.6800000000000003E-2</v>
      </c>
      <c r="AD2125">
        <v>0.3</v>
      </c>
      <c r="AE2125">
        <v>795.5</v>
      </c>
      <c r="AF2125">
        <v>1</v>
      </c>
      <c r="AL2125" s="9">
        <v>17.5</v>
      </c>
      <c r="AM2125" s="9">
        <v>11</v>
      </c>
      <c r="AN2125" s="9">
        <v>2.5</v>
      </c>
      <c r="AP2125"/>
    </row>
    <row r="2126" spans="1:42" x14ac:dyDescent="0.3">
      <c r="A2126" t="s">
        <v>110</v>
      </c>
      <c r="B2126" t="s">
        <v>1582</v>
      </c>
      <c r="C2126">
        <v>86</v>
      </c>
      <c r="D2126" s="8">
        <v>1.4403999999999999</v>
      </c>
      <c r="E2126">
        <v>100000</v>
      </c>
      <c r="G2126" t="s">
        <v>111</v>
      </c>
      <c r="H2126" t="s">
        <v>987</v>
      </c>
      <c r="I2126" s="4">
        <v>1.5</v>
      </c>
      <c r="J2126" s="3">
        <v>1344</v>
      </c>
      <c r="K2126" s="4">
        <v>20</v>
      </c>
      <c r="L2126" t="s">
        <v>140</v>
      </c>
      <c r="M2126" t="s">
        <v>28</v>
      </c>
      <c r="N2126" s="3">
        <v>5</v>
      </c>
      <c r="O2126" s="3">
        <v>0</v>
      </c>
      <c r="P2126">
        <v>22.5</v>
      </c>
      <c r="Q2126">
        <v>6.5</v>
      </c>
      <c r="R2126" t="s">
        <v>102</v>
      </c>
      <c r="S2126">
        <v>0</v>
      </c>
      <c r="T2126" s="6">
        <f>10^-(14-Q2126)</f>
        <v>3.1622776601683699E-8</v>
      </c>
      <c r="U2126" s="6">
        <v>0</v>
      </c>
      <c r="V2126" s="6">
        <v>0</v>
      </c>
      <c r="W2126" s="6">
        <v>0</v>
      </c>
      <c r="X2126" s="6">
        <v>0</v>
      </c>
      <c r="Y2126" t="s">
        <v>28</v>
      </c>
      <c r="Z2126" s="5">
        <v>286</v>
      </c>
      <c r="AA2126" s="3">
        <v>4.8386999999999996E-5</v>
      </c>
      <c r="AB2126" s="2">
        <v>0.28060000000000002</v>
      </c>
      <c r="AC2126" s="2">
        <v>0.30309999999999998</v>
      </c>
      <c r="AD2126">
        <v>0.3</v>
      </c>
      <c r="AE2126">
        <v>795.5</v>
      </c>
      <c r="AF2126">
        <v>1</v>
      </c>
      <c r="AL2126" s="9">
        <v>17.5</v>
      </c>
      <c r="AM2126" s="9">
        <v>11</v>
      </c>
      <c r="AN2126" s="9">
        <v>2.5</v>
      </c>
      <c r="AP2126"/>
    </row>
    <row r="2127" spans="1:42" x14ac:dyDescent="0.3">
      <c r="A2127" t="s">
        <v>110</v>
      </c>
      <c r="B2127" t="s">
        <v>1582</v>
      </c>
      <c r="C2127">
        <v>86</v>
      </c>
      <c r="D2127" s="8">
        <v>1.4403999999999999</v>
      </c>
      <c r="E2127">
        <v>100000</v>
      </c>
      <c r="G2127" t="s">
        <v>111</v>
      </c>
      <c r="H2127" t="s">
        <v>987</v>
      </c>
      <c r="I2127" s="4">
        <v>1.5</v>
      </c>
      <c r="J2127" s="3">
        <v>1344</v>
      </c>
      <c r="K2127" s="4">
        <v>20</v>
      </c>
      <c r="L2127" t="s">
        <v>140</v>
      </c>
      <c r="M2127" t="s">
        <v>28</v>
      </c>
      <c r="N2127" s="3">
        <v>5</v>
      </c>
      <c r="O2127" s="3">
        <v>0</v>
      </c>
      <c r="P2127">
        <v>22.5</v>
      </c>
      <c r="Q2127">
        <v>6.5</v>
      </c>
      <c r="R2127" t="s">
        <v>102</v>
      </c>
      <c r="S2127">
        <v>0</v>
      </c>
      <c r="T2127" s="6">
        <f>10^-(14-Q2127)</f>
        <v>3.1622776601683699E-8</v>
      </c>
      <c r="U2127" s="6">
        <v>0</v>
      </c>
      <c r="V2127" s="6">
        <v>0</v>
      </c>
      <c r="W2127" s="6">
        <v>0</v>
      </c>
      <c r="X2127" s="6">
        <v>0</v>
      </c>
      <c r="Y2127" t="s">
        <v>28</v>
      </c>
      <c r="Z2127" s="5">
        <v>286</v>
      </c>
      <c r="AA2127" s="3">
        <v>4.0386000000000003E-5</v>
      </c>
      <c r="AB2127" s="2">
        <v>0.25800000000000001</v>
      </c>
      <c r="AC2127" s="2">
        <v>0.17180000000000001</v>
      </c>
      <c r="AD2127">
        <v>0.3</v>
      </c>
      <c r="AE2127">
        <v>795.5</v>
      </c>
      <c r="AF2127">
        <v>1</v>
      </c>
      <c r="AL2127" s="9">
        <v>17.5</v>
      </c>
      <c r="AM2127" s="9">
        <v>11</v>
      </c>
      <c r="AN2127" s="9">
        <v>2.5</v>
      </c>
      <c r="AP2127"/>
    </row>
    <row r="2128" spans="1:42" x14ac:dyDescent="0.3">
      <c r="A2128" t="s">
        <v>110</v>
      </c>
      <c r="B2128" t="s">
        <v>1582</v>
      </c>
      <c r="C2128">
        <v>86</v>
      </c>
      <c r="D2128" s="8">
        <v>1.4403999999999999</v>
      </c>
      <c r="E2128">
        <v>100000</v>
      </c>
      <c r="G2128" t="s">
        <v>111</v>
      </c>
      <c r="H2128" t="s">
        <v>987</v>
      </c>
      <c r="I2128" s="4">
        <v>1.5</v>
      </c>
      <c r="J2128" s="3">
        <v>1344</v>
      </c>
      <c r="K2128" s="4">
        <v>20</v>
      </c>
      <c r="L2128" t="s">
        <v>140</v>
      </c>
      <c r="M2128" t="s">
        <v>28</v>
      </c>
      <c r="N2128" s="3">
        <v>5</v>
      </c>
      <c r="O2128" s="3">
        <v>0</v>
      </c>
      <c r="P2128">
        <v>22.5</v>
      </c>
      <c r="Q2128">
        <v>6.5</v>
      </c>
      <c r="R2128" t="s">
        <v>102</v>
      </c>
      <c r="S2128">
        <v>0</v>
      </c>
      <c r="T2128" s="6">
        <f>10^-(14-Q2128)</f>
        <v>3.1622776601683699E-8</v>
      </c>
      <c r="U2128" s="6">
        <v>0</v>
      </c>
      <c r="V2128" s="6">
        <v>0</v>
      </c>
      <c r="W2128" s="6">
        <v>0</v>
      </c>
      <c r="X2128" s="6">
        <v>0</v>
      </c>
      <c r="Y2128" t="s">
        <v>28</v>
      </c>
      <c r="Z2128" s="5">
        <v>286</v>
      </c>
      <c r="AA2128" s="3">
        <v>3.9446199999999995E-5</v>
      </c>
      <c r="AB2128" s="2">
        <v>0.2555</v>
      </c>
      <c r="AC2128" s="2">
        <v>0.1633</v>
      </c>
      <c r="AD2128">
        <v>0.3</v>
      </c>
      <c r="AE2128">
        <v>795.5</v>
      </c>
      <c r="AF2128">
        <v>1</v>
      </c>
      <c r="AL2128" s="9">
        <v>17.5</v>
      </c>
      <c r="AM2128" s="9">
        <v>11</v>
      </c>
      <c r="AN2128" s="9">
        <v>2.5</v>
      </c>
      <c r="AP2128"/>
    </row>
    <row r="2129" spans="1:42" x14ac:dyDescent="0.3">
      <c r="A2129" t="s">
        <v>112</v>
      </c>
      <c r="B2129" t="s">
        <v>1582</v>
      </c>
      <c r="C2129">
        <v>86</v>
      </c>
      <c r="D2129" s="8">
        <v>1.4403999999999999</v>
      </c>
      <c r="E2129">
        <v>100000</v>
      </c>
      <c r="G2129" t="s">
        <v>111</v>
      </c>
      <c r="H2129" t="s">
        <v>987</v>
      </c>
      <c r="I2129" s="4">
        <v>1.5</v>
      </c>
      <c r="J2129" s="3">
        <v>1344</v>
      </c>
      <c r="K2129" s="4">
        <v>20</v>
      </c>
      <c r="L2129" t="s">
        <v>140</v>
      </c>
      <c r="M2129" t="s">
        <v>28</v>
      </c>
      <c r="N2129" s="3">
        <v>5</v>
      </c>
      <c r="O2129" s="3">
        <v>0</v>
      </c>
      <c r="P2129">
        <v>22.5</v>
      </c>
      <c r="Q2129">
        <v>6.5</v>
      </c>
      <c r="R2129" t="s">
        <v>102</v>
      </c>
      <c r="S2129">
        <v>0</v>
      </c>
      <c r="T2129" s="6">
        <f>10^-(14-Q2129)</f>
        <v>3.1622776601683699E-8</v>
      </c>
      <c r="U2129" s="6">
        <v>0</v>
      </c>
      <c r="V2129" s="6">
        <v>0</v>
      </c>
      <c r="W2129" s="6">
        <v>0</v>
      </c>
      <c r="X2129" s="6">
        <v>0</v>
      </c>
      <c r="Y2129" t="s">
        <v>28</v>
      </c>
      <c r="Z2129" s="5">
        <v>62.4</v>
      </c>
      <c r="AA2129" s="3">
        <v>1.155446E-5</v>
      </c>
      <c r="AB2129" s="2">
        <v>0.2218</v>
      </c>
      <c r="AC2129" s="2">
        <v>2.23E-2</v>
      </c>
      <c r="AD2129">
        <v>0.3</v>
      </c>
      <c r="AE2129">
        <v>829.7</v>
      </c>
      <c r="AF2129">
        <v>2</v>
      </c>
      <c r="AL2129" s="9">
        <v>17.5</v>
      </c>
      <c r="AM2129" s="9">
        <v>11</v>
      </c>
      <c r="AN2129" s="9">
        <v>2.5</v>
      </c>
      <c r="AP2129"/>
    </row>
    <row r="2130" spans="1:42" x14ac:dyDescent="0.3">
      <c r="A2130" t="s">
        <v>112</v>
      </c>
      <c r="B2130" t="s">
        <v>1582</v>
      </c>
      <c r="C2130">
        <v>86</v>
      </c>
      <c r="D2130" s="8">
        <v>1.4403999999999999</v>
      </c>
      <c r="E2130">
        <v>100000</v>
      </c>
      <c r="G2130" t="s">
        <v>111</v>
      </c>
      <c r="H2130" t="s">
        <v>987</v>
      </c>
      <c r="I2130" s="4">
        <v>1.5</v>
      </c>
      <c r="J2130" s="3">
        <v>1344</v>
      </c>
      <c r="K2130" s="4">
        <v>20</v>
      </c>
      <c r="L2130" t="s">
        <v>140</v>
      </c>
      <c r="M2130" t="s">
        <v>28</v>
      </c>
      <c r="N2130" s="3">
        <v>5</v>
      </c>
      <c r="O2130" s="3">
        <v>0</v>
      </c>
      <c r="P2130">
        <v>22.5</v>
      </c>
      <c r="Q2130">
        <v>6.5</v>
      </c>
      <c r="R2130" t="s">
        <v>102</v>
      </c>
      <c r="S2130">
        <v>0</v>
      </c>
      <c r="T2130" s="6">
        <f>10^-(14-Q2130)</f>
        <v>3.1622776601683699E-8</v>
      </c>
      <c r="U2130" s="6">
        <v>0</v>
      </c>
      <c r="V2130" s="6">
        <v>0</v>
      </c>
      <c r="W2130" s="6">
        <v>0</v>
      </c>
      <c r="X2130" s="6">
        <v>0</v>
      </c>
      <c r="Y2130" t="s">
        <v>28</v>
      </c>
      <c r="Z2130" s="5">
        <v>62.8</v>
      </c>
      <c r="AA2130" s="3">
        <v>1.3550899999999999E-5</v>
      </c>
      <c r="AB2130" s="2">
        <v>0.25919999999999999</v>
      </c>
      <c r="AC2130" s="2">
        <v>2.5600000000000001E-2</v>
      </c>
      <c r="AD2130">
        <v>0.3</v>
      </c>
      <c r="AE2130">
        <v>829.7</v>
      </c>
      <c r="AF2130">
        <v>2</v>
      </c>
      <c r="AL2130" s="9">
        <v>17.5</v>
      </c>
      <c r="AM2130" s="9">
        <v>11</v>
      </c>
      <c r="AN2130" s="9">
        <v>2.5</v>
      </c>
      <c r="AP2130"/>
    </row>
    <row r="2131" spans="1:42" x14ac:dyDescent="0.3">
      <c r="A2131" t="s">
        <v>112</v>
      </c>
      <c r="B2131" t="s">
        <v>1582</v>
      </c>
      <c r="C2131">
        <v>86</v>
      </c>
      <c r="D2131" s="8">
        <v>1.4403999999999999</v>
      </c>
      <c r="E2131">
        <v>100000</v>
      </c>
      <c r="G2131" t="s">
        <v>111</v>
      </c>
      <c r="H2131" t="s">
        <v>987</v>
      </c>
      <c r="I2131" s="4">
        <v>1.5</v>
      </c>
      <c r="J2131" s="3">
        <v>1344</v>
      </c>
      <c r="K2131" s="4">
        <v>20</v>
      </c>
      <c r="L2131" t="s">
        <v>140</v>
      </c>
      <c r="M2131" t="s">
        <v>28</v>
      </c>
      <c r="N2131" s="3">
        <v>5</v>
      </c>
      <c r="O2131" s="3">
        <v>0</v>
      </c>
      <c r="P2131">
        <v>22.5</v>
      </c>
      <c r="Q2131">
        <v>6.5</v>
      </c>
      <c r="R2131" t="s">
        <v>102</v>
      </c>
      <c r="S2131">
        <v>0</v>
      </c>
      <c r="T2131" s="6">
        <f>10^-(14-Q2131)</f>
        <v>3.1622776601683699E-8</v>
      </c>
      <c r="U2131" s="6">
        <v>0</v>
      </c>
      <c r="V2131" s="6">
        <v>0</v>
      </c>
      <c r="W2131" s="6">
        <v>0</v>
      </c>
      <c r="X2131" s="6">
        <v>0</v>
      </c>
      <c r="Y2131" t="s">
        <v>28</v>
      </c>
      <c r="Z2131" s="5">
        <v>63.2</v>
      </c>
      <c r="AA2131" s="3">
        <v>1.478534E-5</v>
      </c>
      <c r="AB2131" s="2">
        <v>0.29139999999999999</v>
      </c>
      <c r="AC2131" s="2">
        <v>2.7900000000000001E-2</v>
      </c>
      <c r="AD2131">
        <v>0.3</v>
      </c>
      <c r="AE2131">
        <v>829.7</v>
      </c>
      <c r="AF2131">
        <v>2</v>
      </c>
      <c r="AL2131" s="9">
        <v>17.5</v>
      </c>
      <c r="AM2131" s="9">
        <v>11</v>
      </c>
      <c r="AN2131" s="9">
        <v>2.5</v>
      </c>
      <c r="AP2131"/>
    </row>
    <row r="2132" spans="1:42" x14ac:dyDescent="0.3">
      <c r="A2132" t="s">
        <v>112</v>
      </c>
      <c r="B2132" t="s">
        <v>1582</v>
      </c>
      <c r="C2132">
        <v>86</v>
      </c>
      <c r="D2132" s="8">
        <v>1.4403999999999999</v>
      </c>
      <c r="E2132">
        <v>100000</v>
      </c>
      <c r="G2132" t="s">
        <v>111</v>
      </c>
      <c r="H2132" t="s">
        <v>987</v>
      </c>
      <c r="I2132" s="4">
        <v>1.5</v>
      </c>
      <c r="J2132" s="3">
        <v>1344</v>
      </c>
      <c r="K2132" s="4">
        <v>20</v>
      </c>
      <c r="L2132" t="s">
        <v>140</v>
      </c>
      <c r="M2132" t="s">
        <v>28</v>
      </c>
      <c r="N2132" s="3">
        <v>5</v>
      </c>
      <c r="O2132" s="3">
        <v>0</v>
      </c>
      <c r="P2132">
        <v>22.5</v>
      </c>
      <c r="Q2132">
        <v>6.5</v>
      </c>
      <c r="R2132" t="s">
        <v>102</v>
      </c>
      <c r="S2132">
        <v>0</v>
      </c>
      <c r="T2132" s="6">
        <f>10^-(14-Q2132)</f>
        <v>3.1622776601683699E-8</v>
      </c>
      <c r="U2132" s="6">
        <v>0</v>
      </c>
      <c r="V2132" s="6">
        <v>0</v>
      </c>
      <c r="W2132" s="6">
        <v>0</v>
      </c>
      <c r="X2132" s="6">
        <v>0</v>
      </c>
      <c r="Y2132" t="s">
        <v>28</v>
      </c>
      <c r="Z2132" s="5">
        <v>63.2</v>
      </c>
      <c r="AA2132" s="3">
        <v>1.4940279999999999E-5</v>
      </c>
      <c r="AB2132" s="2">
        <v>0.29609999999999997</v>
      </c>
      <c r="AC2132" s="2">
        <v>2.8199999999999999E-2</v>
      </c>
      <c r="AD2132">
        <v>0.3</v>
      </c>
      <c r="AE2132">
        <v>829.7</v>
      </c>
      <c r="AF2132">
        <v>2</v>
      </c>
      <c r="AL2132" s="9">
        <v>17.5</v>
      </c>
      <c r="AM2132" s="9">
        <v>11</v>
      </c>
      <c r="AN2132" s="9">
        <v>2.5</v>
      </c>
      <c r="AP2132"/>
    </row>
    <row r="2133" spans="1:42" x14ac:dyDescent="0.3">
      <c r="A2133" t="s">
        <v>113</v>
      </c>
      <c r="B2133" t="s">
        <v>1582</v>
      </c>
      <c r="C2133">
        <v>86</v>
      </c>
      <c r="D2133" s="8">
        <v>1.4403999999999999</v>
      </c>
      <c r="E2133">
        <v>100000</v>
      </c>
      <c r="G2133" t="s">
        <v>111</v>
      </c>
      <c r="H2133" t="s">
        <v>987</v>
      </c>
      <c r="I2133" s="4">
        <v>1.5</v>
      </c>
      <c r="J2133" s="3">
        <v>1344</v>
      </c>
      <c r="K2133" s="4">
        <v>20</v>
      </c>
      <c r="L2133" t="s">
        <v>140</v>
      </c>
      <c r="M2133" t="s">
        <v>28</v>
      </c>
      <c r="N2133" s="3">
        <v>5</v>
      </c>
      <c r="O2133" s="3">
        <v>0</v>
      </c>
      <c r="P2133">
        <v>22.5</v>
      </c>
      <c r="Q2133">
        <v>6.5</v>
      </c>
      <c r="R2133" t="s">
        <v>102</v>
      </c>
      <c r="S2133">
        <v>0</v>
      </c>
      <c r="T2133" s="6">
        <f>10^-(14-Q2133)</f>
        <v>3.1622776601683699E-8</v>
      </c>
      <c r="U2133" s="6">
        <v>0</v>
      </c>
      <c r="V2133" s="6">
        <v>0</v>
      </c>
      <c r="W2133" s="6">
        <v>0</v>
      </c>
      <c r="X2133" s="6">
        <v>0</v>
      </c>
      <c r="Y2133" t="s">
        <v>28</v>
      </c>
      <c r="Z2133" s="5">
        <v>-10.4</v>
      </c>
      <c r="AA2133" s="3">
        <v>2.5704800000000002E-5</v>
      </c>
      <c r="AB2133" s="2">
        <v>0.5766</v>
      </c>
      <c r="AC2133" s="2">
        <v>4.0099999999999997E-2</v>
      </c>
      <c r="AD2133">
        <v>0.3</v>
      </c>
      <c r="AE2133">
        <v>624.29999999999995</v>
      </c>
      <c r="AF2133">
        <v>1</v>
      </c>
      <c r="AL2133" s="9">
        <v>17.5</v>
      </c>
      <c r="AM2133" s="9">
        <v>11</v>
      </c>
      <c r="AN2133" s="9">
        <v>2.5</v>
      </c>
      <c r="AP2133"/>
    </row>
    <row r="2134" spans="1:42" x14ac:dyDescent="0.3">
      <c r="A2134" t="s">
        <v>113</v>
      </c>
      <c r="B2134" t="s">
        <v>1582</v>
      </c>
      <c r="C2134">
        <v>86</v>
      </c>
      <c r="D2134" s="8">
        <v>1.4403999999999999</v>
      </c>
      <c r="E2134">
        <v>100000</v>
      </c>
      <c r="G2134" t="s">
        <v>111</v>
      </c>
      <c r="H2134" t="s">
        <v>987</v>
      </c>
      <c r="I2134" s="4">
        <v>1.5</v>
      </c>
      <c r="J2134" s="3">
        <v>1344</v>
      </c>
      <c r="K2134" s="4">
        <v>20</v>
      </c>
      <c r="L2134" t="s">
        <v>140</v>
      </c>
      <c r="M2134" t="s">
        <v>28</v>
      </c>
      <c r="N2134" s="3">
        <v>5</v>
      </c>
      <c r="O2134" s="3">
        <v>0</v>
      </c>
      <c r="P2134">
        <v>22.5</v>
      </c>
      <c r="Q2134">
        <v>6.5</v>
      </c>
      <c r="R2134" t="s">
        <v>102</v>
      </c>
      <c r="S2134">
        <v>0</v>
      </c>
      <c r="T2134" s="6">
        <f>10^-(14-Q2134)</f>
        <v>3.1622776601683699E-8</v>
      </c>
      <c r="U2134" s="6">
        <v>0</v>
      </c>
      <c r="V2134" s="6">
        <v>0</v>
      </c>
      <c r="W2134" s="6">
        <v>0</v>
      </c>
      <c r="X2134" s="6">
        <v>0</v>
      </c>
      <c r="Y2134" t="s">
        <v>28</v>
      </c>
      <c r="Z2134" s="5">
        <v>-10.4</v>
      </c>
      <c r="AA2134" s="3">
        <v>2.5082500000000003E-5</v>
      </c>
      <c r="AB2134" s="2">
        <v>0.54410000000000003</v>
      </c>
      <c r="AC2134" s="2">
        <v>0.04</v>
      </c>
      <c r="AD2134">
        <v>0.3</v>
      </c>
      <c r="AE2134">
        <v>624.29999999999995</v>
      </c>
      <c r="AF2134">
        <v>1</v>
      </c>
      <c r="AL2134" s="9">
        <v>17.5</v>
      </c>
      <c r="AM2134" s="9">
        <v>11</v>
      </c>
      <c r="AN2134" s="9">
        <v>2.5</v>
      </c>
      <c r="AP2134"/>
    </row>
    <row r="2135" spans="1:42" x14ac:dyDescent="0.3">
      <c r="A2135" t="s">
        <v>113</v>
      </c>
      <c r="B2135" t="s">
        <v>1582</v>
      </c>
      <c r="C2135">
        <v>86</v>
      </c>
      <c r="D2135" s="8">
        <v>1.4403999999999999</v>
      </c>
      <c r="E2135">
        <v>100000</v>
      </c>
      <c r="G2135" t="s">
        <v>111</v>
      </c>
      <c r="H2135" t="s">
        <v>987</v>
      </c>
      <c r="I2135" s="4">
        <v>1.5</v>
      </c>
      <c r="J2135" s="3">
        <v>1344</v>
      </c>
      <c r="K2135" s="4">
        <v>20</v>
      </c>
      <c r="L2135" t="s">
        <v>140</v>
      </c>
      <c r="M2135" t="s">
        <v>28</v>
      </c>
      <c r="N2135" s="3">
        <v>5</v>
      </c>
      <c r="O2135" s="3">
        <v>0</v>
      </c>
      <c r="P2135">
        <v>22.5</v>
      </c>
      <c r="Q2135">
        <v>6.5</v>
      </c>
      <c r="R2135" t="s">
        <v>102</v>
      </c>
      <c r="S2135">
        <v>0</v>
      </c>
      <c r="T2135" s="6">
        <f>10^-(14-Q2135)</f>
        <v>3.1622776601683699E-8</v>
      </c>
      <c r="U2135" s="6">
        <v>0</v>
      </c>
      <c r="V2135" s="6">
        <v>0</v>
      </c>
      <c r="W2135" s="6">
        <v>0</v>
      </c>
      <c r="X2135" s="6">
        <v>0</v>
      </c>
      <c r="Y2135" t="s">
        <v>28</v>
      </c>
      <c r="Z2135" s="5">
        <v>-10.7</v>
      </c>
      <c r="AA2135" s="3">
        <v>2.3718520000000001E-5</v>
      </c>
      <c r="AB2135" s="2">
        <v>0.49790000000000001</v>
      </c>
      <c r="AC2135" s="2">
        <v>3.7900000000000003E-2</v>
      </c>
      <c r="AD2135">
        <v>0.3</v>
      </c>
      <c r="AE2135">
        <v>624.29999999999995</v>
      </c>
      <c r="AF2135">
        <v>1</v>
      </c>
      <c r="AL2135" s="9">
        <v>17.5</v>
      </c>
      <c r="AM2135" s="9">
        <v>11</v>
      </c>
      <c r="AN2135" s="9">
        <v>2.5</v>
      </c>
      <c r="AP2135"/>
    </row>
    <row r="2136" spans="1:42" x14ac:dyDescent="0.3">
      <c r="A2136" t="s">
        <v>113</v>
      </c>
      <c r="B2136" t="s">
        <v>1582</v>
      </c>
      <c r="C2136">
        <v>86</v>
      </c>
      <c r="D2136" s="8">
        <v>1.4403999999999999</v>
      </c>
      <c r="E2136">
        <v>100000</v>
      </c>
      <c r="G2136" t="s">
        <v>111</v>
      </c>
      <c r="H2136" t="s">
        <v>987</v>
      </c>
      <c r="I2136" s="4">
        <v>1.5</v>
      </c>
      <c r="J2136" s="3">
        <v>1344</v>
      </c>
      <c r="K2136" s="4">
        <v>20</v>
      </c>
      <c r="L2136" t="s">
        <v>140</v>
      </c>
      <c r="M2136" t="s">
        <v>28</v>
      </c>
      <c r="N2136" s="3">
        <v>5</v>
      </c>
      <c r="O2136" s="3">
        <v>0</v>
      </c>
      <c r="P2136">
        <v>22.5</v>
      </c>
      <c r="Q2136">
        <v>6.5</v>
      </c>
      <c r="R2136" t="s">
        <v>102</v>
      </c>
      <c r="S2136">
        <v>0</v>
      </c>
      <c r="T2136" s="6">
        <f>10^-(14-Q2136)</f>
        <v>3.1622776601683699E-8</v>
      </c>
      <c r="U2136" s="6">
        <v>0</v>
      </c>
      <c r="V2136" s="6">
        <v>0</v>
      </c>
      <c r="W2136" s="6">
        <v>0</v>
      </c>
      <c r="X2136" s="6">
        <v>0</v>
      </c>
      <c r="Y2136" t="s">
        <v>28</v>
      </c>
      <c r="Z2136" s="5">
        <v>-10.3</v>
      </c>
      <c r="AA2136" s="3">
        <v>2.5882599999999998E-5</v>
      </c>
      <c r="AB2136" s="2">
        <v>0.57950000000000002</v>
      </c>
      <c r="AC2136" s="2">
        <v>4.1300000000000003E-2</v>
      </c>
      <c r="AD2136">
        <v>0.3</v>
      </c>
      <c r="AE2136">
        <v>624.29999999999995</v>
      </c>
      <c r="AF2136">
        <v>1</v>
      </c>
      <c r="AL2136" s="9">
        <v>17.5</v>
      </c>
      <c r="AM2136" s="9">
        <v>11</v>
      </c>
      <c r="AN2136" s="9">
        <v>2.5</v>
      </c>
      <c r="AP2136"/>
    </row>
    <row r="2137" spans="1:42" x14ac:dyDescent="0.3">
      <c r="A2137" t="s">
        <v>114</v>
      </c>
      <c r="B2137" t="s">
        <v>1582</v>
      </c>
      <c r="C2137">
        <v>86</v>
      </c>
      <c r="D2137" s="8">
        <v>1.4403999999999999</v>
      </c>
      <c r="E2137">
        <v>100000</v>
      </c>
      <c r="H2137" t="s">
        <v>987</v>
      </c>
      <c r="I2137" s="4">
        <v>1.5</v>
      </c>
      <c r="K2137" s="4">
        <v>20</v>
      </c>
      <c r="L2137" t="s">
        <v>140</v>
      </c>
      <c r="M2137" t="s">
        <v>28</v>
      </c>
      <c r="N2137" s="3">
        <v>5</v>
      </c>
      <c r="O2137" s="3">
        <v>0</v>
      </c>
      <c r="P2137">
        <v>22.5</v>
      </c>
      <c r="Q2137">
        <v>6.5</v>
      </c>
      <c r="R2137" t="s">
        <v>102</v>
      </c>
      <c r="S2137">
        <v>0</v>
      </c>
      <c r="T2137" s="6">
        <f>10^-(14-Q2137)</f>
        <v>3.1622776601683699E-8</v>
      </c>
      <c r="U2137" s="6">
        <v>0</v>
      </c>
      <c r="V2137" s="6">
        <v>0</v>
      </c>
      <c r="W2137" s="6">
        <v>0</v>
      </c>
      <c r="X2137" s="6">
        <v>0</v>
      </c>
      <c r="Y2137" t="s">
        <v>28</v>
      </c>
      <c r="Z2137" s="5">
        <v>36.700000000000003</v>
      </c>
      <c r="AA2137" s="3">
        <v>1.6761459999999999E-5</v>
      </c>
      <c r="AB2137" s="2">
        <v>0.65880000000000005</v>
      </c>
      <c r="AC2137" s="2">
        <v>3.2800000000000003E-2</v>
      </c>
      <c r="AD2137">
        <v>0.3</v>
      </c>
      <c r="AE2137">
        <v>830.3</v>
      </c>
      <c r="AF2137">
        <v>2</v>
      </c>
      <c r="AL2137" s="9">
        <v>17.5</v>
      </c>
      <c r="AM2137" s="9">
        <v>11</v>
      </c>
      <c r="AN2137" s="9">
        <v>2.5</v>
      </c>
      <c r="AP2137"/>
    </row>
    <row r="2138" spans="1:42" x14ac:dyDescent="0.3">
      <c r="A2138" t="s">
        <v>114</v>
      </c>
      <c r="B2138" t="s">
        <v>1582</v>
      </c>
      <c r="C2138">
        <v>86</v>
      </c>
      <c r="D2138" s="8">
        <v>1.4403999999999999</v>
      </c>
      <c r="E2138">
        <v>100000</v>
      </c>
      <c r="H2138" t="s">
        <v>987</v>
      </c>
      <c r="I2138" s="4">
        <v>1.5</v>
      </c>
      <c r="K2138" s="4">
        <v>20</v>
      </c>
      <c r="L2138" t="s">
        <v>140</v>
      </c>
      <c r="M2138" t="s">
        <v>28</v>
      </c>
      <c r="N2138" s="3">
        <v>5</v>
      </c>
      <c r="O2138" s="3">
        <v>0</v>
      </c>
      <c r="P2138">
        <v>22.5</v>
      </c>
      <c r="Q2138">
        <v>6.5</v>
      </c>
      <c r="R2138" t="s">
        <v>102</v>
      </c>
      <c r="S2138">
        <v>0</v>
      </c>
      <c r="T2138" s="6">
        <f>10^-(14-Q2138)</f>
        <v>3.1622776601683699E-8</v>
      </c>
      <c r="U2138" s="6">
        <v>0</v>
      </c>
      <c r="V2138" s="6">
        <v>0</v>
      </c>
      <c r="W2138" s="6">
        <v>0</v>
      </c>
      <c r="X2138" s="6">
        <v>0</v>
      </c>
      <c r="Y2138" t="s">
        <v>28</v>
      </c>
      <c r="Z2138" s="5">
        <v>35.9</v>
      </c>
      <c r="AA2138" s="3">
        <v>1.26619E-5</v>
      </c>
      <c r="AB2138" s="2">
        <v>0.40410000000000001</v>
      </c>
      <c r="AC2138" s="2">
        <v>2.5999999999999999E-2</v>
      </c>
      <c r="AD2138">
        <v>0.3</v>
      </c>
      <c r="AE2138">
        <v>830.3</v>
      </c>
      <c r="AF2138">
        <v>2</v>
      </c>
      <c r="AL2138" s="9">
        <v>17.5</v>
      </c>
      <c r="AM2138" s="9">
        <v>11</v>
      </c>
      <c r="AN2138" s="9">
        <v>2.5</v>
      </c>
      <c r="AP2138"/>
    </row>
    <row r="2139" spans="1:42" x14ac:dyDescent="0.3">
      <c r="A2139" t="s">
        <v>114</v>
      </c>
      <c r="B2139" t="s">
        <v>1582</v>
      </c>
      <c r="C2139">
        <v>86</v>
      </c>
      <c r="D2139" s="8">
        <v>1.4403999999999999</v>
      </c>
      <c r="E2139">
        <v>100000</v>
      </c>
      <c r="H2139" t="s">
        <v>987</v>
      </c>
      <c r="I2139" s="4">
        <v>1.5</v>
      </c>
      <c r="K2139" s="4">
        <v>20</v>
      </c>
      <c r="L2139" t="s">
        <v>140</v>
      </c>
      <c r="M2139" t="s">
        <v>28</v>
      </c>
      <c r="N2139" s="3">
        <v>5</v>
      </c>
      <c r="O2139" s="3">
        <v>0</v>
      </c>
      <c r="P2139">
        <v>22.5</v>
      </c>
      <c r="Q2139">
        <v>6.5</v>
      </c>
      <c r="R2139" t="s">
        <v>102</v>
      </c>
      <c r="S2139">
        <v>0</v>
      </c>
      <c r="T2139" s="6">
        <f>10^-(14-Q2139)</f>
        <v>3.1622776601683699E-8</v>
      </c>
      <c r="U2139" s="6">
        <v>0</v>
      </c>
      <c r="V2139" s="6">
        <v>0</v>
      </c>
      <c r="W2139" s="6">
        <v>0</v>
      </c>
      <c r="X2139" s="6">
        <v>0</v>
      </c>
      <c r="Y2139" t="s">
        <v>28</v>
      </c>
      <c r="Z2139" s="5">
        <v>36.299999999999997</v>
      </c>
      <c r="AA2139" s="3">
        <v>1.4927579999999999E-5</v>
      </c>
      <c r="AB2139" s="2">
        <v>0.50660000000000005</v>
      </c>
      <c r="AC2139" s="2">
        <v>2.9600000000000001E-2</v>
      </c>
      <c r="AD2139">
        <v>0.3</v>
      </c>
      <c r="AE2139">
        <v>830.3</v>
      </c>
      <c r="AF2139">
        <v>2</v>
      </c>
      <c r="AL2139" s="9">
        <v>17.5</v>
      </c>
      <c r="AM2139" s="9">
        <v>11</v>
      </c>
      <c r="AN2139" s="9">
        <v>2.5</v>
      </c>
      <c r="AP2139"/>
    </row>
    <row r="2140" spans="1:42" x14ac:dyDescent="0.3">
      <c r="A2140" t="s">
        <v>115</v>
      </c>
      <c r="B2140" t="s">
        <v>1582</v>
      </c>
      <c r="C2140">
        <v>86</v>
      </c>
      <c r="D2140" s="8">
        <v>1.4403999999999999</v>
      </c>
      <c r="E2140">
        <v>100000</v>
      </c>
      <c r="G2140" t="s">
        <v>111</v>
      </c>
      <c r="H2140" t="s">
        <v>987</v>
      </c>
      <c r="I2140" s="4">
        <v>1.5</v>
      </c>
      <c r="J2140" s="3">
        <v>1344</v>
      </c>
      <c r="K2140" s="4">
        <v>20</v>
      </c>
      <c r="L2140" t="s">
        <v>140</v>
      </c>
      <c r="M2140" t="s">
        <v>28</v>
      </c>
      <c r="N2140" s="3">
        <v>5</v>
      </c>
      <c r="O2140" s="3">
        <v>0</v>
      </c>
      <c r="P2140">
        <v>22.5</v>
      </c>
      <c r="Q2140">
        <v>6.5</v>
      </c>
      <c r="R2140" t="s">
        <v>102</v>
      </c>
      <c r="S2140">
        <v>0</v>
      </c>
      <c r="T2140" s="6">
        <f>10^-(14-Q2140)</f>
        <v>3.1622776601683699E-8</v>
      </c>
      <c r="U2140" s="6">
        <v>0</v>
      </c>
      <c r="V2140" s="6">
        <v>0</v>
      </c>
      <c r="W2140" s="6">
        <v>0</v>
      </c>
      <c r="X2140" s="6">
        <v>0</v>
      </c>
      <c r="Y2140" t="s">
        <v>28</v>
      </c>
      <c r="Z2140" s="5">
        <v>108</v>
      </c>
      <c r="AA2140" s="3">
        <v>1.294892E-5</v>
      </c>
      <c r="AB2140" s="2">
        <v>0.51190000000000002</v>
      </c>
      <c r="AC2140" s="2">
        <v>3.3599999999999998E-2</v>
      </c>
      <c r="AD2140">
        <v>0.3</v>
      </c>
      <c r="AE2140">
        <v>830.2</v>
      </c>
      <c r="AF2140">
        <v>2</v>
      </c>
      <c r="AL2140" s="9">
        <v>17.5</v>
      </c>
      <c r="AM2140" s="9">
        <v>11</v>
      </c>
      <c r="AN2140" s="9">
        <v>2.5</v>
      </c>
      <c r="AP2140"/>
    </row>
    <row r="2141" spans="1:42" x14ac:dyDescent="0.3">
      <c r="A2141" t="s">
        <v>115</v>
      </c>
      <c r="B2141" t="s">
        <v>1582</v>
      </c>
      <c r="C2141">
        <v>86</v>
      </c>
      <c r="D2141" s="8">
        <v>1.4403999999999999</v>
      </c>
      <c r="E2141">
        <v>100000</v>
      </c>
      <c r="G2141" t="s">
        <v>111</v>
      </c>
      <c r="H2141" t="s">
        <v>987</v>
      </c>
      <c r="I2141" s="4">
        <v>1.5</v>
      </c>
      <c r="J2141" s="3">
        <v>1344</v>
      </c>
      <c r="K2141" s="4">
        <v>20</v>
      </c>
      <c r="L2141" t="s">
        <v>140</v>
      </c>
      <c r="M2141" t="s">
        <v>28</v>
      </c>
      <c r="N2141" s="3">
        <v>5</v>
      </c>
      <c r="O2141" s="3">
        <v>0</v>
      </c>
      <c r="P2141">
        <v>22.5</v>
      </c>
      <c r="Q2141">
        <v>6.5</v>
      </c>
      <c r="R2141" t="s">
        <v>102</v>
      </c>
      <c r="S2141">
        <v>0</v>
      </c>
      <c r="T2141" s="6">
        <f>10^-(14-Q2141)</f>
        <v>3.1622776601683699E-8</v>
      </c>
      <c r="U2141" s="6">
        <v>0</v>
      </c>
      <c r="V2141" s="6">
        <v>0</v>
      </c>
      <c r="W2141" s="6">
        <v>0</v>
      </c>
      <c r="X2141" s="6">
        <v>0</v>
      </c>
      <c r="Y2141" t="s">
        <v>28</v>
      </c>
      <c r="Z2141" s="5">
        <v>108</v>
      </c>
      <c r="AA2141" s="3">
        <v>1.2583159999999999E-5</v>
      </c>
      <c r="AB2141" s="2">
        <v>0.48399999999999999</v>
      </c>
      <c r="AC2141" s="2">
        <v>3.2599999999999997E-2</v>
      </c>
      <c r="AD2141">
        <v>0.3</v>
      </c>
      <c r="AE2141">
        <v>830.2</v>
      </c>
      <c r="AF2141">
        <v>2</v>
      </c>
      <c r="AL2141" s="9">
        <v>17.5</v>
      </c>
      <c r="AM2141" s="9">
        <v>11</v>
      </c>
      <c r="AN2141" s="9">
        <v>2.5</v>
      </c>
      <c r="AP2141"/>
    </row>
    <row r="2142" spans="1:42" x14ac:dyDescent="0.3">
      <c r="A2142" t="s">
        <v>115</v>
      </c>
      <c r="B2142" t="s">
        <v>1582</v>
      </c>
      <c r="C2142">
        <v>86</v>
      </c>
      <c r="D2142" s="8">
        <v>1.4403999999999999</v>
      </c>
      <c r="E2142">
        <v>100000</v>
      </c>
      <c r="G2142" t="s">
        <v>111</v>
      </c>
      <c r="H2142" t="s">
        <v>987</v>
      </c>
      <c r="I2142" s="4">
        <v>1.5</v>
      </c>
      <c r="J2142" s="3">
        <v>1344</v>
      </c>
      <c r="K2142" s="4">
        <v>20</v>
      </c>
      <c r="L2142" t="s">
        <v>140</v>
      </c>
      <c r="M2142" t="s">
        <v>28</v>
      </c>
      <c r="N2142" s="3">
        <v>5</v>
      </c>
      <c r="O2142" s="3">
        <v>0</v>
      </c>
      <c r="P2142">
        <v>22.5</v>
      </c>
      <c r="Q2142">
        <v>6.5</v>
      </c>
      <c r="R2142" t="s">
        <v>102</v>
      </c>
      <c r="S2142">
        <v>0</v>
      </c>
      <c r="T2142" s="6">
        <f>10^-(14-Q2142)</f>
        <v>3.1622776601683699E-8</v>
      </c>
      <c r="U2142" s="6">
        <v>0</v>
      </c>
      <c r="V2142" s="6">
        <v>0</v>
      </c>
      <c r="W2142" s="6">
        <v>0</v>
      </c>
      <c r="X2142" s="6">
        <v>0</v>
      </c>
      <c r="Y2142" t="s">
        <v>28</v>
      </c>
      <c r="Z2142" s="5">
        <v>108</v>
      </c>
      <c r="AA2142" s="3">
        <v>1.3007340000000001E-5</v>
      </c>
      <c r="AB2142" s="2">
        <v>0.51719999999999999</v>
      </c>
      <c r="AC2142" s="2">
        <v>3.3799999999999997E-2</v>
      </c>
      <c r="AD2142">
        <v>0.3</v>
      </c>
      <c r="AE2142">
        <v>830.2</v>
      </c>
      <c r="AF2142">
        <v>2</v>
      </c>
      <c r="AL2142" s="9">
        <v>17.5</v>
      </c>
      <c r="AM2142" s="9">
        <v>11</v>
      </c>
      <c r="AN2142" s="9">
        <v>2.5</v>
      </c>
      <c r="AP2142"/>
    </row>
    <row r="2143" spans="1:42" x14ac:dyDescent="0.3">
      <c r="A2143" t="s">
        <v>115</v>
      </c>
      <c r="B2143" t="s">
        <v>1582</v>
      </c>
      <c r="C2143">
        <v>86</v>
      </c>
      <c r="D2143" s="8">
        <v>1.4403999999999999</v>
      </c>
      <c r="E2143">
        <v>100000</v>
      </c>
      <c r="G2143" t="s">
        <v>111</v>
      </c>
      <c r="H2143" t="s">
        <v>987</v>
      </c>
      <c r="I2143" s="4">
        <v>1.5</v>
      </c>
      <c r="J2143" s="3">
        <v>1344</v>
      </c>
      <c r="K2143" s="4">
        <v>20</v>
      </c>
      <c r="L2143" t="s">
        <v>140</v>
      </c>
      <c r="M2143" t="s">
        <v>28</v>
      </c>
      <c r="N2143" s="3">
        <v>5</v>
      </c>
      <c r="O2143" s="3">
        <v>0</v>
      </c>
      <c r="P2143">
        <v>22.5</v>
      </c>
      <c r="Q2143">
        <v>6.5</v>
      </c>
      <c r="R2143" t="s">
        <v>102</v>
      </c>
      <c r="S2143">
        <v>0</v>
      </c>
      <c r="T2143" s="6">
        <f>10^-(14-Q2143)</f>
        <v>3.1622776601683699E-8</v>
      </c>
      <c r="U2143" s="6">
        <v>0</v>
      </c>
      <c r="V2143" s="6">
        <v>0</v>
      </c>
      <c r="W2143" s="6">
        <v>0</v>
      </c>
      <c r="X2143" s="6">
        <v>0</v>
      </c>
      <c r="Y2143" t="s">
        <v>28</v>
      </c>
      <c r="Z2143" s="5">
        <v>108</v>
      </c>
      <c r="AA2143" s="3">
        <v>1.2781279999999999E-5</v>
      </c>
      <c r="AB2143" s="2">
        <v>0.49370000000000003</v>
      </c>
      <c r="AC2143" s="2">
        <v>3.32E-2</v>
      </c>
      <c r="AD2143">
        <v>0.3</v>
      </c>
      <c r="AE2143">
        <v>830.2</v>
      </c>
      <c r="AF2143">
        <v>2</v>
      </c>
      <c r="AL2143" s="9">
        <v>17.5</v>
      </c>
      <c r="AM2143" s="9">
        <v>11</v>
      </c>
      <c r="AN2143" s="9">
        <v>2.5</v>
      </c>
      <c r="AP2143"/>
    </row>
    <row r="2144" spans="1:42" x14ac:dyDescent="0.3">
      <c r="A2144" t="s">
        <v>116</v>
      </c>
      <c r="B2144" t="s">
        <v>1582</v>
      </c>
      <c r="C2144">
        <v>86</v>
      </c>
      <c r="D2144" s="8">
        <v>1.4403999999999999</v>
      </c>
      <c r="E2144">
        <v>100000</v>
      </c>
      <c r="G2144" t="s">
        <v>102</v>
      </c>
      <c r="H2144" t="s">
        <v>987</v>
      </c>
      <c r="I2144" s="4">
        <v>1.5</v>
      </c>
      <c r="J2144" s="3">
        <v>0</v>
      </c>
      <c r="K2144" s="4">
        <v>20</v>
      </c>
      <c r="L2144" t="s">
        <v>140</v>
      </c>
      <c r="M2144" t="s">
        <v>28</v>
      </c>
      <c r="N2144" s="3">
        <v>5</v>
      </c>
      <c r="O2144" s="3">
        <v>0</v>
      </c>
      <c r="P2144">
        <v>22.5</v>
      </c>
      <c r="Q2144">
        <v>6.5</v>
      </c>
      <c r="R2144" t="s">
        <v>102</v>
      </c>
      <c r="S2144">
        <v>0</v>
      </c>
      <c r="T2144" s="6">
        <f>10^-(14-Q2144)</f>
        <v>3.1622776601683699E-8</v>
      </c>
      <c r="U2144" s="6">
        <v>0</v>
      </c>
      <c r="V2144" s="6">
        <v>0</v>
      </c>
      <c r="W2144" s="6">
        <v>0</v>
      </c>
      <c r="X2144" s="6">
        <v>0</v>
      </c>
      <c r="Y2144" t="s">
        <v>28</v>
      </c>
      <c r="Z2144" s="5">
        <v>110</v>
      </c>
      <c r="AA2144" s="3">
        <v>1.6921479999999999E-5</v>
      </c>
      <c r="AB2144" s="2">
        <v>0.45910000000000001</v>
      </c>
      <c r="AC2144" s="2">
        <v>3.1300000000000001E-2</v>
      </c>
      <c r="AD2144">
        <v>0.3</v>
      </c>
      <c r="AE2144">
        <v>688.4</v>
      </c>
      <c r="AF2144">
        <v>1</v>
      </c>
      <c r="AL2144" s="9">
        <v>17.5</v>
      </c>
      <c r="AM2144" s="9">
        <v>11</v>
      </c>
      <c r="AN2144" s="9">
        <v>2.5</v>
      </c>
      <c r="AP2144"/>
    </row>
    <row r="2145" spans="1:42" x14ac:dyDescent="0.3">
      <c r="A2145" t="s">
        <v>116</v>
      </c>
      <c r="B2145" t="s">
        <v>1582</v>
      </c>
      <c r="C2145">
        <v>86</v>
      </c>
      <c r="D2145" s="8">
        <v>1.4403999999999999</v>
      </c>
      <c r="E2145">
        <v>100000</v>
      </c>
      <c r="G2145" t="s">
        <v>102</v>
      </c>
      <c r="H2145" t="s">
        <v>987</v>
      </c>
      <c r="I2145" s="4">
        <v>1.5</v>
      </c>
      <c r="J2145" s="3">
        <v>0</v>
      </c>
      <c r="K2145" s="4">
        <v>20</v>
      </c>
      <c r="L2145" t="s">
        <v>140</v>
      </c>
      <c r="M2145" t="s">
        <v>28</v>
      </c>
      <c r="N2145" s="3">
        <v>5</v>
      </c>
      <c r="O2145" s="3">
        <v>0</v>
      </c>
      <c r="P2145">
        <v>22.5</v>
      </c>
      <c r="Q2145">
        <v>6.5</v>
      </c>
      <c r="R2145" t="s">
        <v>102</v>
      </c>
      <c r="S2145">
        <v>0</v>
      </c>
      <c r="T2145" s="6">
        <f>10^-(14-Q2145)</f>
        <v>3.1622776601683699E-8</v>
      </c>
      <c r="U2145" s="6">
        <v>0</v>
      </c>
      <c r="V2145" s="6">
        <v>0</v>
      </c>
      <c r="W2145" s="6">
        <v>0</v>
      </c>
      <c r="X2145" s="6">
        <v>0</v>
      </c>
      <c r="Y2145" t="s">
        <v>28</v>
      </c>
      <c r="Z2145" s="5">
        <v>110</v>
      </c>
      <c r="AA2145" s="3">
        <v>1.7515839999999999E-5</v>
      </c>
      <c r="AB2145" s="2">
        <v>0.49469999999999997</v>
      </c>
      <c r="AC2145" s="2">
        <v>3.2399999999999998E-2</v>
      </c>
      <c r="AD2145">
        <v>0.3</v>
      </c>
      <c r="AE2145">
        <v>688.4</v>
      </c>
      <c r="AF2145">
        <v>1</v>
      </c>
      <c r="AL2145" s="9">
        <v>17.5</v>
      </c>
      <c r="AM2145" s="9">
        <v>11</v>
      </c>
      <c r="AN2145" s="9">
        <v>2.5</v>
      </c>
      <c r="AP2145"/>
    </row>
    <row r="2146" spans="1:42" x14ac:dyDescent="0.3">
      <c r="A2146" t="s">
        <v>116</v>
      </c>
      <c r="B2146" t="s">
        <v>1582</v>
      </c>
      <c r="C2146">
        <v>86</v>
      </c>
      <c r="D2146" s="8">
        <v>1.4403999999999999</v>
      </c>
      <c r="E2146">
        <v>100000</v>
      </c>
      <c r="G2146" t="s">
        <v>102</v>
      </c>
      <c r="H2146" t="s">
        <v>987</v>
      </c>
      <c r="I2146" s="4">
        <v>1.5</v>
      </c>
      <c r="J2146" s="3">
        <v>0</v>
      </c>
      <c r="K2146" s="4">
        <v>20</v>
      </c>
      <c r="L2146" t="s">
        <v>140</v>
      </c>
      <c r="M2146" t="s">
        <v>28</v>
      </c>
      <c r="N2146" s="3">
        <v>5</v>
      </c>
      <c r="O2146" s="3">
        <v>0</v>
      </c>
      <c r="P2146">
        <v>22.5</v>
      </c>
      <c r="Q2146">
        <v>6.5</v>
      </c>
      <c r="R2146" t="s">
        <v>102</v>
      </c>
      <c r="S2146">
        <v>0</v>
      </c>
      <c r="T2146" s="6">
        <f>10^-(14-Q2146)</f>
        <v>3.1622776601683699E-8</v>
      </c>
      <c r="U2146" s="6">
        <v>0</v>
      </c>
      <c r="V2146" s="6">
        <v>0</v>
      </c>
      <c r="W2146" s="6">
        <v>0</v>
      </c>
      <c r="X2146" s="6">
        <v>0</v>
      </c>
      <c r="Y2146" t="s">
        <v>28</v>
      </c>
      <c r="Z2146" s="5">
        <v>110</v>
      </c>
      <c r="AA2146" s="3">
        <v>1.7398999999999997E-5</v>
      </c>
      <c r="AB2146" s="2">
        <v>0.48480000000000001</v>
      </c>
      <c r="AC2146" s="2">
        <v>3.2199999999999999E-2</v>
      </c>
      <c r="AD2146">
        <v>0.3</v>
      </c>
      <c r="AE2146">
        <v>688.4</v>
      </c>
      <c r="AF2146">
        <v>1</v>
      </c>
      <c r="AL2146" s="9">
        <v>17.5</v>
      </c>
      <c r="AM2146" s="9">
        <v>11</v>
      </c>
      <c r="AN2146" s="9">
        <v>2.5</v>
      </c>
      <c r="AP2146"/>
    </row>
    <row r="2147" spans="1:42" x14ac:dyDescent="0.3">
      <c r="A2147" t="s">
        <v>116</v>
      </c>
      <c r="B2147" t="s">
        <v>1582</v>
      </c>
      <c r="C2147">
        <v>86</v>
      </c>
      <c r="D2147" s="8">
        <v>1.4403999999999999</v>
      </c>
      <c r="E2147">
        <v>100000</v>
      </c>
      <c r="G2147" t="s">
        <v>102</v>
      </c>
      <c r="H2147" t="s">
        <v>987</v>
      </c>
      <c r="I2147" s="4">
        <v>1.5</v>
      </c>
      <c r="J2147" s="3">
        <v>0</v>
      </c>
      <c r="K2147" s="4">
        <v>20</v>
      </c>
      <c r="L2147" t="s">
        <v>140</v>
      </c>
      <c r="M2147" t="s">
        <v>28</v>
      </c>
      <c r="N2147" s="3">
        <v>5</v>
      </c>
      <c r="O2147" s="3">
        <v>0</v>
      </c>
      <c r="P2147">
        <v>22.5</v>
      </c>
      <c r="Q2147">
        <v>6.5</v>
      </c>
      <c r="R2147" t="s">
        <v>102</v>
      </c>
      <c r="S2147">
        <v>0</v>
      </c>
      <c r="T2147" s="6">
        <f>10^-(14-Q2147)</f>
        <v>3.1622776601683699E-8</v>
      </c>
      <c r="U2147" s="6">
        <v>0</v>
      </c>
      <c r="V2147" s="6">
        <v>0</v>
      </c>
      <c r="W2147" s="6">
        <v>0</v>
      </c>
      <c r="X2147" s="6">
        <v>0</v>
      </c>
      <c r="Y2147" t="s">
        <v>28</v>
      </c>
      <c r="Z2147" s="5">
        <v>110</v>
      </c>
      <c r="AA2147" s="3">
        <v>1.6730979999999998E-5</v>
      </c>
      <c r="AB2147" s="2">
        <v>0.43369999999999997</v>
      </c>
      <c r="AC2147" s="2">
        <v>3.1199999999999999E-2</v>
      </c>
      <c r="AD2147">
        <v>0.3</v>
      </c>
      <c r="AE2147">
        <v>688.4</v>
      </c>
      <c r="AF2147">
        <v>1</v>
      </c>
      <c r="AL2147" s="9">
        <v>17.5</v>
      </c>
      <c r="AM2147" s="9">
        <v>11</v>
      </c>
      <c r="AN2147" s="9">
        <v>2.5</v>
      </c>
      <c r="AP2147"/>
    </row>
    <row r="2148" spans="1:42" x14ac:dyDescent="0.3">
      <c r="A2148" t="s">
        <v>117</v>
      </c>
      <c r="B2148" t="s">
        <v>1582</v>
      </c>
      <c r="C2148">
        <v>86</v>
      </c>
      <c r="D2148" s="8">
        <v>1.4403999999999999</v>
      </c>
      <c r="E2148">
        <v>100000</v>
      </c>
      <c r="G2148" t="s">
        <v>102</v>
      </c>
      <c r="H2148" t="s">
        <v>987</v>
      </c>
      <c r="I2148" s="4">
        <v>1.5</v>
      </c>
      <c r="J2148" s="3">
        <v>0</v>
      </c>
      <c r="K2148" s="4">
        <v>20</v>
      </c>
      <c r="L2148" t="s">
        <v>140</v>
      </c>
      <c r="M2148" t="s">
        <v>28</v>
      </c>
      <c r="N2148" s="3">
        <v>5</v>
      </c>
      <c r="O2148" s="3">
        <v>0</v>
      </c>
      <c r="P2148">
        <v>22.5</v>
      </c>
      <c r="Q2148">
        <v>6.5</v>
      </c>
      <c r="R2148" t="s">
        <v>102</v>
      </c>
      <c r="S2148">
        <v>0</v>
      </c>
      <c r="T2148" s="6">
        <f>10^-(14-Q2148)</f>
        <v>3.1622776601683699E-8</v>
      </c>
      <c r="U2148" s="6">
        <v>0</v>
      </c>
      <c r="V2148" s="6">
        <v>0</v>
      </c>
      <c r="W2148" s="6">
        <v>0</v>
      </c>
      <c r="X2148" s="6">
        <v>0</v>
      </c>
      <c r="Y2148" t="s">
        <v>28</v>
      </c>
      <c r="Z2148" s="5">
        <v>-19.600000000000001</v>
      </c>
      <c r="AA2148" s="3">
        <v>3.9776399999999994E-5</v>
      </c>
      <c r="AB2148" s="2">
        <v>1.268</v>
      </c>
      <c r="AC2148" s="2">
        <v>2.5899999999999999E-2</v>
      </c>
      <c r="AD2148">
        <v>0.3</v>
      </c>
      <c r="AE2148">
        <v>623.4</v>
      </c>
      <c r="AF2148">
        <v>1</v>
      </c>
      <c r="AL2148" s="9">
        <v>17.5</v>
      </c>
      <c r="AM2148" s="9">
        <v>11</v>
      </c>
      <c r="AN2148" s="9">
        <v>2.5</v>
      </c>
      <c r="AP2148"/>
    </row>
    <row r="2149" spans="1:42" x14ac:dyDescent="0.3">
      <c r="A2149" t="s">
        <v>117</v>
      </c>
      <c r="B2149" t="s">
        <v>1582</v>
      </c>
      <c r="C2149">
        <v>86</v>
      </c>
      <c r="D2149" s="8">
        <v>1.4403999999999999</v>
      </c>
      <c r="E2149">
        <v>100000</v>
      </c>
      <c r="G2149" t="s">
        <v>102</v>
      </c>
      <c r="H2149" t="s">
        <v>987</v>
      </c>
      <c r="I2149" s="4">
        <v>1.5</v>
      </c>
      <c r="J2149" s="3">
        <v>0</v>
      </c>
      <c r="K2149" s="4">
        <v>20</v>
      </c>
      <c r="L2149" t="s">
        <v>140</v>
      </c>
      <c r="M2149" t="s">
        <v>28</v>
      </c>
      <c r="N2149" s="3">
        <v>5</v>
      </c>
      <c r="O2149" s="3">
        <v>0</v>
      </c>
      <c r="P2149">
        <v>22.5</v>
      </c>
      <c r="Q2149">
        <v>6.5</v>
      </c>
      <c r="R2149" t="s">
        <v>102</v>
      </c>
      <c r="S2149">
        <v>0</v>
      </c>
      <c r="T2149" s="6">
        <f>10^-(14-Q2149)</f>
        <v>3.1622776601683699E-8</v>
      </c>
      <c r="U2149" s="6">
        <v>0</v>
      </c>
      <c r="V2149" s="6">
        <v>0</v>
      </c>
      <c r="W2149" s="6">
        <v>0</v>
      </c>
      <c r="X2149" s="6">
        <v>0</v>
      </c>
      <c r="Y2149" t="s">
        <v>28</v>
      </c>
      <c r="Z2149" s="5">
        <v>-19.7</v>
      </c>
      <c r="AA2149" s="3">
        <v>3.8785799999999997E-5</v>
      </c>
      <c r="AB2149" s="2">
        <v>1.105</v>
      </c>
      <c r="AC2149" s="2">
        <v>2.53E-2</v>
      </c>
      <c r="AD2149">
        <v>0.3</v>
      </c>
      <c r="AE2149">
        <v>623.4</v>
      </c>
      <c r="AF2149">
        <v>1</v>
      </c>
      <c r="AL2149" s="9">
        <v>17.5</v>
      </c>
      <c r="AM2149" s="9">
        <v>11</v>
      </c>
      <c r="AN2149" s="9">
        <v>2.5</v>
      </c>
      <c r="AP2149"/>
    </row>
    <row r="2150" spans="1:42" x14ac:dyDescent="0.3">
      <c r="A2150" t="s">
        <v>117</v>
      </c>
      <c r="B2150" t="s">
        <v>1582</v>
      </c>
      <c r="C2150">
        <v>86</v>
      </c>
      <c r="D2150" s="8">
        <v>1.4403999999999999</v>
      </c>
      <c r="E2150">
        <v>100000</v>
      </c>
      <c r="G2150" t="s">
        <v>102</v>
      </c>
      <c r="H2150" t="s">
        <v>987</v>
      </c>
      <c r="I2150" s="4">
        <v>1.5</v>
      </c>
      <c r="J2150" s="3">
        <v>0</v>
      </c>
      <c r="K2150" s="4">
        <v>20</v>
      </c>
      <c r="L2150" t="s">
        <v>140</v>
      </c>
      <c r="M2150" t="s">
        <v>28</v>
      </c>
      <c r="N2150" s="3">
        <v>5</v>
      </c>
      <c r="O2150" s="3">
        <v>0</v>
      </c>
      <c r="P2150">
        <v>22.5</v>
      </c>
      <c r="Q2150">
        <v>6.5</v>
      </c>
      <c r="R2150" t="s">
        <v>102</v>
      </c>
      <c r="S2150">
        <v>0</v>
      </c>
      <c r="T2150" s="6">
        <f>10^-(14-Q2150)</f>
        <v>3.1622776601683699E-8</v>
      </c>
      <c r="U2150" s="6">
        <v>0</v>
      </c>
      <c r="V2150" s="6">
        <v>0</v>
      </c>
      <c r="W2150" s="6">
        <v>0</v>
      </c>
      <c r="X2150" s="6">
        <v>0</v>
      </c>
      <c r="Y2150" t="s">
        <v>28</v>
      </c>
      <c r="Z2150" s="5">
        <v>-19.5</v>
      </c>
      <c r="AA2150" s="3">
        <v>4.0132000000000001E-5</v>
      </c>
      <c r="AB2150" s="2">
        <v>1.35</v>
      </c>
      <c r="AC2150" s="2">
        <v>2.6100000000000002E-2</v>
      </c>
      <c r="AD2150">
        <v>0.3</v>
      </c>
      <c r="AE2150">
        <v>623.4</v>
      </c>
      <c r="AF2150">
        <v>1</v>
      </c>
      <c r="AL2150" s="9">
        <v>17.5</v>
      </c>
      <c r="AM2150" s="9">
        <v>11</v>
      </c>
      <c r="AN2150" s="9">
        <v>2.5</v>
      </c>
      <c r="AP2150"/>
    </row>
    <row r="2151" spans="1:42" x14ac:dyDescent="0.3">
      <c r="A2151" t="s">
        <v>117</v>
      </c>
      <c r="B2151" t="s">
        <v>1582</v>
      </c>
      <c r="C2151">
        <v>86</v>
      </c>
      <c r="D2151" s="8">
        <v>1.4403999999999999</v>
      </c>
      <c r="E2151">
        <v>100000</v>
      </c>
      <c r="G2151" t="s">
        <v>102</v>
      </c>
      <c r="H2151" t="s">
        <v>987</v>
      </c>
      <c r="I2151" s="4">
        <v>1.5</v>
      </c>
      <c r="J2151" s="3">
        <v>0</v>
      </c>
      <c r="K2151" s="4">
        <v>20</v>
      </c>
      <c r="L2151" t="s">
        <v>140</v>
      </c>
      <c r="M2151" t="s">
        <v>28</v>
      </c>
      <c r="N2151" s="3">
        <v>5</v>
      </c>
      <c r="O2151" s="3">
        <v>0</v>
      </c>
      <c r="P2151">
        <v>22.5</v>
      </c>
      <c r="Q2151">
        <v>6.5</v>
      </c>
      <c r="R2151" t="s">
        <v>102</v>
      </c>
      <c r="S2151">
        <v>0</v>
      </c>
      <c r="T2151" s="6">
        <f>10^-(14-Q2151)</f>
        <v>3.1622776601683699E-8</v>
      </c>
      <c r="U2151" s="6">
        <v>0</v>
      </c>
      <c r="V2151" s="6">
        <v>0</v>
      </c>
      <c r="W2151" s="6">
        <v>0</v>
      </c>
      <c r="X2151" s="6">
        <v>0</v>
      </c>
      <c r="Y2151" t="s">
        <v>28</v>
      </c>
      <c r="Z2151" s="5">
        <v>-19.7</v>
      </c>
      <c r="AA2151" s="3">
        <v>3.7871399999999998E-5</v>
      </c>
      <c r="AB2151" s="2">
        <v>0.88190000000000002</v>
      </c>
      <c r="AC2151" s="2">
        <v>2.5000000000000001E-2</v>
      </c>
      <c r="AD2151">
        <v>0.3</v>
      </c>
      <c r="AE2151">
        <v>623.4</v>
      </c>
      <c r="AF2151">
        <v>1</v>
      </c>
      <c r="AL2151" s="9">
        <v>17.5</v>
      </c>
      <c r="AM2151" s="9">
        <v>11</v>
      </c>
      <c r="AN2151" s="9">
        <v>2.5</v>
      </c>
      <c r="AP2151"/>
    </row>
    <row r="2152" spans="1:42" x14ac:dyDescent="0.3">
      <c r="A2152" t="s">
        <v>118</v>
      </c>
      <c r="B2152" t="s">
        <v>1582</v>
      </c>
      <c r="C2152">
        <v>86</v>
      </c>
      <c r="D2152" s="8">
        <v>1.4403999999999999</v>
      </c>
      <c r="E2152">
        <v>100000</v>
      </c>
      <c r="G2152" t="s">
        <v>119</v>
      </c>
      <c r="H2152">
        <v>6.5</v>
      </c>
      <c r="I2152" s="4">
        <v>1.5</v>
      </c>
      <c r="J2152" s="3">
        <v>1344</v>
      </c>
      <c r="K2152" s="4">
        <v>20</v>
      </c>
      <c r="L2152" t="s">
        <v>140</v>
      </c>
      <c r="M2152" t="s">
        <v>28</v>
      </c>
      <c r="N2152" s="3">
        <v>5</v>
      </c>
      <c r="O2152" s="3">
        <v>0</v>
      </c>
      <c r="P2152">
        <v>22.5</v>
      </c>
      <c r="Q2152">
        <v>6.5</v>
      </c>
      <c r="R2152" t="s">
        <v>102</v>
      </c>
      <c r="S2152">
        <v>0</v>
      </c>
      <c r="T2152" s="6">
        <f>10^-(14-Q2152)</f>
        <v>3.1622776601683699E-8</v>
      </c>
      <c r="U2152" s="6">
        <v>0</v>
      </c>
      <c r="V2152" s="6">
        <v>0</v>
      </c>
      <c r="W2152" s="6">
        <v>0</v>
      </c>
      <c r="X2152" s="6">
        <v>0</v>
      </c>
      <c r="Y2152" t="s">
        <v>28</v>
      </c>
      <c r="Z2152" s="5">
        <v>151</v>
      </c>
      <c r="AA2152" s="3">
        <v>2.398522E-5</v>
      </c>
      <c r="AB2152" s="2">
        <v>0.2104</v>
      </c>
      <c r="AC2152" s="2">
        <v>2.8899999999999999E-2</v>
      </c>
      <c r="AD2152">
        <v>0.3</v>
      </c>
      <c r="AE2152">
        <v>829.8</v>
      </c>
      <c r="AF2152">
        <v>2</v>
      </c>
      <c r="AL2152" s="9">
        <v>17.5</v>
      </c>
      <c r="AM2152" s="9">
        <v>11</v>
      </c>
      <c r="AN2152" s="9">
        <v>2.5</v>
      </c>
      <c r="AP2152"/>
    </row>
    <row r="2153" spans="1:42" x14ac:dyDescent="0.3">
      <c r="A2153" t="s">
        <v>118</v>
      </c>
      <c r="B2153" t="s">
        <v>1582</v>
      </c>
      <c r="C2153">
        <v>86</v>
      </c>
      <c r="D2153" s="8">
        <v>1.4403999999999999</v>
      </c>
      <c r="E2153">
        <v>100000</v>
      </c>
      <c r="G2153" t="s">
        <v>119</v>
      </c>
      <c r="H2153">
        <v>6.5</v>
      </c>
      <c r="I2153" s="4">
        <v>1.5</v>
      </c>
      <c r="J2153" s="3">
        <v>1344</v>
      </c>
      <c r="K2153" s="4">
        <v>20</v>
      </c>
      <c r="L2153" t="s">
        <v>140</v>
      </c>
      <c r="M2153" t="s">
        <v>28</v>
      </c>
      <c r="N2153" s="3">
        <v>5</v>
      </c>
      <c r="O2153" s="3">
        <v>0</v>
      </c>
      <c r="P2153">
        <v>22.5</v>
      </c>
      <c r="Q2153">
        <v>6.5</v>
      </c>
      <c r="R2153" t="s">
        <v>102</v>
      </c>
      <c r="S2153">
        <v>0</v>
      </c>
      <c r="T2153" s="6">
        <f>10^-(14-Q2153)</f>
        <v>3.1622776601683699E-8</v>
      </c>
      <c r="U2153" s="6">
        <v>0</v>
      </c>
      <c r="V2153" s="6">
        <v>0</v>
      </c>
      <c r="W2153" s="6">
        <v>0</v>
      </c>
      <c r="X2153" s="6">
        <v>0</v>
      </c>
      <c r="Y2153" t="s">
        <v>28</v>
      </c>
      <c r="Z2153" s="5">
        <v>151</v>
      </c>
      <c r="AA2153" s="3">
        <v>3.0860999999999995E-5</v>
      </c>
      <c r="AB2153" s="2">
        <v>0.35730000000000001</v>
      </c>
      <c r="AC2153" s="2">
        <v>3.3300000000000003E-2</v>
      </c>
      <c r="AD2153">
        <v>0.3</v>
      </c>
      <c r="AE2153">
        <v>829.8</v>
      </c>
      <c r="AF2153">
        <v>2</v>
      </c>
      <c r="AL2153" s="9">
        <v>17.5</v>
      </c>
      <c r="AM2153" s="9">
        <v>11</v>
      </c>
      <c r="AN2153" s="9">
        <v>2.5</v>
      </c>
      <c r="AP2153"/>
    </row>
    <row r="2154" spans="1:42" x14ac:dyDescent="0.3">
      <c r="A2154" t="s">
        <v>118</v>
      </c>
      <c r="B2154" t="s">
        <v>1582</v>
      </c>
      <c r="C2154">
        <v>86</v>
      </c>
      <c r="D2154" s="8">
        <v>1.4403999999999999</v>
      </c>
      <c r="E2154">
        <v>100000</v>
      </c>
      <c r="G2154" t="s">
        <v>119</v>
      </c>
      <c r="H2154">
        <v>6.5</v>
      </c>
      <c r="I2154" s="4">
        <v>1.5</v>
      </c>
      <c r="J2154" s="3">
        <v>1344</v>
      </c>
      <c r="K2154" s="4">
        <v>20</v>
      </c>
      <c r="L2154" t="s">
        <v>140</v>
      </c>
      <c r="M2154" t="s">
        <v>28</v>
      </c>
      <c r="N2154" s="3">
        <v>5</v>
      </c>
      <c r="O2154" s="3">
        <v>0</v>
      </c>
      <c r="P2154">
        <v>22.5</v>
      </c>
      <c r="Q2154">
        <v>6.5</v>
      </c>
      <c r="R2154" t="s">
        <v>102</v>
      </c>
      <c r="S2154">
        <v>0</v>
      </c>
      <c r="T2154" s="6">
        <f>10^-(14-Q2154)</f>
        <v>3.1622776601683699E-8</v>
      </c>
      <c r="U2154" s="6">
        <v>0</v>
      </c>
      <c r="V2154" s="6">
        <v>0</v>
      </c>
      <c r="W2154" s="6">
        <v>0</v>
      </c>
      <c r="X2154" s="6">
        <v>0</v>
      </c>
      <c r="Y2154" t="s">
        <v>28</v>
      </c>
      <c r="Z2154" s="5">
        <v>152</v>
      </c>
      <c r="AA2154" s="3">
        <v>3.3299400000000002E-5</v>
      </c>
      <c r="AB2154" s="2">
        <v>0.41739999999999999</v>
      </c>
      <c r="AC2154" s="2">
        <v>3.5200000000000002E-2</v>
      </c>
      <c r="AD2154">
        <v>0.3</v>
      </c>
      <c r="AE2154">
        <v>829.8</v>
      </c>
      <c r="AF2154">
        <v>2</v>
      </c>
      <c r="AL2154" s="9">
        <v>17.5</v>
      </c>
      <c r="AM2154" s="9">
        <v>11</v>
      </c>
      <c r="AN2154" s="9">
        <v>2.5</v>
      </c>
      <c r="AP2154"/>
    </row>
    <row r="2155" spans="1:42" x14ac:dyDescent="0.3">
      <c r="A2155" t="s">
        <v>120</v>
      </c>
      <c r="B2155" t="s">
        <v>1582</v>
      </c>
      <c r="C2155">
        <v>86</v>
      </c>
      <c r="D2155" s="8">
        <v>1.4403999999999999</v>
      </c>
      <c r="E2155">
        <v>100000</v>
      </c>
      <c r="G2155" t="s">
        <v>119</v>
      </c>
      <c r="H2155">
        <v>6.5</v>
      </c>
      <c r="I2155" s="4">
        <v>1.5</v>
      </c>
      <c r="J2155" s="3">
        <v>1344</v>
      </c>
      <c r="K2155" s="4">
        <v>20</v>
      </c>
      <c r="L2155" t="s">
        <v>140</v>
      </c>
      <c r="M2155" t="s">
        <v>28</v>
      </c>
      <c r="N2155" s="3">
        <v>5</v>
      </c>
      <c r="O2155" s="3">
        <v>0</v>
      </c>
      <c r="P2155">
        <v>22.5</v>
      </c>
      <c r="Q2155">
        <v>6.5</v>
      </c>
      <c r="R2155" t="s">
        <v>102</v>
      </c>
      <c r="S2155">
        <v>0</v>
      </c>
      <c r="T2155" s="6">
        <f>10^-(14-Q2155)</f>
        <v>3.1622776601683699E-8</v>
      </c>
      <c r="U2155" s="6">
        <v>0</v>
      </c>
      <c r="V2155" s="6">
        <v>0</v>
      </c>
      <c r="W2155" s="6">
        <v>0</v>
      </c>
      <c r="X2155" s="6">
        <v>0</v>
      </c>
      <c r="Y2155" t="s">
        <v>28</v>
      </c>
      <c r="Z2155" s="5">
        <v>92.2</v>
      </c>
      <c r="AA2155" s="3">
        <v>7.2161400000000003E-5</v>
      </c>
      <c r="AB2155" s="2">
        <v>0.57689999999999997</v>
      </c>
      <c r="AC2155" s="2">
        <v>4.7899999999999998E-2</v>
      </c>
      <c r="AD2155">
        <v>0.3</v>
      </c>
      <c r="AE2155">
        <v>829.8</v>
      </c>
      <c r="AF2155">
        <v>2</v>
      </c>
      <c r="AL2155" s="9">
        <v>17.5</v>
      </c>
      <c r="AM2155" s="9">
        <v>11</v>
      </c>
      <c r="AN2155" s="9">
        <v>2.5</v>
      </c>
      <c r="AP2155"/>
    </row>
    <row r="2156" spans="1:42" x14ac:dyDescent="0.3">
      <c r="A2156" t="s">
        <v>120</v>
      </c>
      <c r="B2156" t="s">
        <v>1582</v>
      </c>
      <c r="C2156">
        <v>86</v>
      </c>
      <c r="D2156" s="8">
        <v>1.4403999999999999</v>
      </c>
      <c r="E2156">
        <v>100000</v>
      </c>
      <c r="G2156" t="s">
        <v>119</v>
      </c>
      <c r="H2156">
        <v>6.5</v>
      </c>
      <c r="I2156" s="4">
        <v>1.5</v>
      </c>
      <c r="J2156" s="3">
        <v>1344</v>
      </c>
      <c r="K2156" s="4">
        <v>20</v>
      </c>
      <c r="L2156" t="s">
        <v>140</v>
      </c>
      <c r="M2156" t="s">
        <v>28</v>
      </c>
      <c r="N2156" s="3">
        <v>5</v>
      </c>
      <c r="O2156" s="3">
        <v>0</v>
      </c>
      <c r="P2156">
        <v>22.5</v>
      </c>
      <c r="Q2156">
        <v>6.5</v>
      </c>
      <c r="R2156" t="s">
        <v>102</v>
      </c>
      <c r="S2156">
        <v>0</v>
      </c>
      <c r="T2156" s="6">
        <f>10^-(14-Q2156)</f>
        <v>3.1622776601683699E-8</v>
      </c>
      <c r="U2156" s="6">
        <v>0</v>
      </c>
      <c r="V2156" s="6">
        <v>0</v>
      </c>
      <c r="W2156" s="6">
        <v>0</v>
      </c>
      <c r="X2156" s="6">
        <v>0</v>
      </c>
      <c r="Y2156" t="s">
        <v>28</v>
      </c>
      <c r="Z2156" s="5">
        <v>92.5</v>
      </c>
      <c r="AA2156" s="3">
        <v>7.6250799999999998E-5</v>
      </c>
      <c r="AB2156" s="2">
        <v>0.65629999999999999</v>
      </c>
      <c r="AC2156" s="2">
        <v>5.0500000000000003E-2</v>
      </c>
      <c r="AD2156">
        <v>0.3</v>
      </c>
      <c r="AE2156">
        <v>829.8</v>
      </c>
      <c r="AF2156">
        <v>2</v>
      </c>
      <c r="AL2156" s="9">
        <v>17.5</v>
      </c>
      <c r="AM2156" s="9">
        <v>11</v>
      </c>
      <c r="AN2156" s="9">
        <v>2.5</v>
      </c>
      <c r="AP2156"/>
    </row>
    <row r="2157" spans="1:42" x14ac:dyDescent="0.3">
      <c r="A2157" t="s">
        <v>120</v>
      </c>
      <c r="B2157" t="s">
        <v>1582</v>
      </c>
      <c r="C2157">
        <v>86</v>
      </c>
      <c r="D2157" s="8">
        <v>1.4403999999999999</v>
      </c>
      <c r="E2157">
        <v>100000</v>
      </c>
      <c r="G2157" t="s">
        <v>119</v>
      </c>
      <c r="H2157">
        <v>6.5</v>
      </c>
      <c r="I2157" s="4">
        <v>1.5</v>
      </c>
      <c r="J2157" s="3">
        <v>1344</v>
      </c>
      <c r="K2157" s="4">
        <v>20</v>
      </c>
      <c r="L2157" t="s">
        <v>140</v>
      </c>
      <c r="M2157" t="s">
        <v>28</v>
      </c>
      <c r="N2157" s="3">
        <v>5</v>
      </c>
      <c r="O2157" s="3">
        <v>0</v>
      </c>
      <c r="P2157">
        <v>22.5</v>
      </c>
      <c r="Q2157">
        <v>6.5</v>
      </c>
      <c r="R2157" t="s">
        <v>102</v>
      </c>
      <c r="S2157">
        <v>0</v>
      </c>
      <c r="T2157" s="6">
        <f>10^-(14-Q2157)</f>
        <v>3.1622776601683699E-8</v>
      </c>
      <c r="U2157" s="6">
        <v>0</v>
      </c>
      <c r="V2157" s="6">
        <v>0</v>
      </c>
      <c r="W2157" s="6">
        <v>0</v>
      </c>
      <c r="X2157" s="6">
        <v>0</v>
      </c>
      <c r="Y2157" t="s">
        <v>28</v>
      </c>
      <c r="Z2157" s="5">
        <v>92.6</v>
      </c>
      <c r="AA2157" s="3">
        <v>7.7825599999999996E-5</v>
      </c>
      <c r="AB2157" s="2">
        <v>0.68559999999999999</v>
      </c>
      <c r="AC2157" s="2">
        <v>5.16E-2</v>
      </c>
      <c r="AD2157">
        <v>0.3</v>
      </c>
      <c r="AE2157">
        <v>829.8</v>
      </c>
      <c r="AF2157">
        <v>2</v>
      </c>
      <c r="AL2157" s="9">
        <v>17.5</v>
      </c>
      <c r="AM2157" s="9">
        <v>11</v>
      </c>
      <c r="AN2157" s="9">
        <v>2.5</v>
      </c>
      <c r="AP2157"/>
    </row>
    <row r="2158" spans="1:42" x14ac:dyDescent="0.3">
      <c r="A2158" t="s">
        <v>121</v>
      </c>
      <c r="B2158" t="s">
        <v>1582</v>
      </c>
      <c r="C2158">
        <v>86</v>
      </c>
      <c r="D2158" s="8">
        <v>1.4403999999999999</v>
      </c>
      <c r="E2158">
        <v>100000</v>
      </c>
      <c r="G2158" t="s">
        <v>119</v>
      </c>
      <c r="H2158">
        <v>6.5</v>
      </c>
      <c r="I2158" s="4">
        <v>1.5</v>
      </c>
      <c r="J2158" s="3">
        <v>1344</v>
      </c>
      <c r="K2158" s="4">
        <v>20</v>
      </c>
      <c r="L2158" t="s">
        <v>140</v>
      </c>
      <c r="M2158" t="s">
        <v>28</v>
      </c>
      <c r="N2158" s="3">
        <v>5</v>
      </c>
      <c r="O2158" s="3">
        <v>0</v>
      </c>
      <c r="P2158">
        <v>22.5</v>
      </c>
      <c r="Q2158">
        <v>6.5</v>
      </c>
      <c r="R2158" t="s">
        <v>102</v>
      </c>
      <c r="S2158">
        <v>0</v>
      </c>
      <c r="T2158" s="6">
        <f>10^-(14-Q2158)</f>
        <v>3.1622776601683699E-8</v>
      </c>
      <c r="U2158" s="6">
        <v>0</v>
      </c>
      <c r="V2158" s="6">
        <v>0</v>
      </c>
      <c r="W2158" s="6">
        <v>0</v>
      </c>
      <c r="X2158" s="6">
        <v>0</v>
      </c>
      <c r="Y2158" t="s">
        <v>28</v>
      </c>
      <c r="Z2158" s="5">
        <v>102</v>
      </c>
      <c r="AA2158" s="3">
        <v>8.6766400000000003E-5</v>
      </c>
      <c r="AB2158" s="2">
        <v>0.63500000000000001</v>
      </c>
      <c r="AC2158" s="2">
        <v>4.9500000000000002E-2</v>
      </c>
      <c r="AD2158">
        <v>0.3</v>
      </c>
      <c r="AE2158">
        <v>829.4</v>
      </c>
      <c r="AF2158">
        <v>2</v>
      </c>
      <c r="AL2158" s="9">
        <v>17.5</v>
      </c>
      <c r="AM2158" s="9">
        <v>11</v>
      </c>
      <c r="AN2158" s="9">
        <v>2.5</v>
      </c>
      <c r="AP2158"/>
    </row>
    <row r="2159" spans="1:42" x14ac:dyDescent="0.3">
      <c r="A2159" t="s">
        <v>121</v>
      </c>
      <c r="B2159" t="s">
        <v>1582</v>
      </c>
      <c r="C2159">
        <v>86</v>
      </c>
      <c r="D2159" s="8">
        <v>1.4403999999999999</v>
      </c>
      <c r="E2159">
        <v>100000</v>
      </c>
      <c r="G2159" t="s">
        <v>119</v>
      </c>
      <c r="H2159">
        <v>6.5</v>
      </c>
      <c r="I2159" s="4">
        <v>1.5</v>
      </c>
      <c r="J2159" s="3">
        <v>1344</v>
      </c>
      <c r="K2159" s="4">
        <v>20</v>
      </c>
      <c r="L2159" t="s">
        <v>140</v>
      </c>
      <c r="M2159" t="s">
        <v>28</v>
      </c>
      <c r="N2159" s="3">
        <v>5</v>
      </c>
      <c r="O2159" s="3">
        <v>0</v>
      </c>
      <c r="P2159">
        <v>22.5</v>
      </c>
      <c r="Q2159">
        <v>6.5</v>
      </c>
      <c r="R2159" t="s">
        <v>102</v>
      </c>
      <c r="S2159">
        <v>0</v>
      </c>
      <c r="T2159" s="6">
        <f>10^-(14-Q2159)</f>
        <v>3.1622776601683699E-8</v>
      </c>
      <c r="U2159" s="6">
        <v>0</v>
      </c>
      <c r="V2159" s="6">
        <v>0</v>
      </c>
      <c r="W2159" s="6">
        <v>0</v>
      </c>
      <c r="X2159" s="6">
        <v>0</v>
      </c>
      <c r="Y2159" t="s">
        <v>28</v>
      </c>
      <c r="Z2159" s="5">
        <v>102</v>
      </c>
      <c r="AA2159" s="3">
        <v>8.9890599999999996E-5</v>
      </c>
      <c r="AB2159" s="2">
        <v>0.69530000000000003</v>
      </c>
      <c r="AC2159" s="2">
        <v>5.1200000000000002E-2</v>
      </c>
      <c r="AD2159">
        <v>0.3</v>
      </c>
      <c r="AE2159">
        <v>829.4</v>
      </c>
      <c r="AF2159">
        <v>2</v>
      </c>
      <c r="AL2159" s="9">
        <v>17.5</v>
      </c>
      <c r="AM2159" s="9">
        <v>11</v>
      </c>
      <c r="AN2159" s="9">
        <v>2.5</v>
      </c>
      <c r="AP2159"/>
    </row>
    <row r="2160" spans="1:42" x14ac:dyDescent="0.3">
      <c r="A2160" t="s">
        <v>121</v>
      </c>
      <c r="B2160" t="s">
        <v>1582</v>
      </c>
      <c r="C2160">
        <v>86</v>
      </c>
      <c r="D2160" s="8">
        <v>1.4403999999999999</v>
      </c>
      <c r="E2160">
        <v>100000</v>
      </c>
      <c r="G2160" t="s">
        <v>119</v>
      </c>
      <c r="H2160">
        <v>6.5</v>
      </c>
      <c r="I2160" s="4">
        <v>1.5</v>
      </c>
      <c r="J2160" s="3">
        <v>1344</v>
      </c>
      <c r="K2160" s="4">
        <v>20</v>
      </c>
      <c r="L2160" t="s">
        <v>140</v>
      </c>
      <c r="M2160" t="s">
        <v>28</v>
      </c>
      <c r="N2160" s="3">
        <v>5</v>
      </c>
      <c r="O2160" s="3">
        <v>0</v>
      </c>
      <c r="P2160">
        <v>22.5</v>
      </c>
      <c r="Q2160">
        <v>6.5</v>
      </c>
      <c r="R2160" t="s">
        <v>102</v>
      </c>
      <c r="S2160">
        <v>0</v>
      </c>
      <c r="T2160" s="6">
        <f>10^-(14-Q2160)</f>
        <v>3.1622776601683699E-8</v>
      </c>
      <c r="U2160" s="6">
        <v>0</v>
      </c>
      <c r="V2160" s="6">
        <v>0</v>
      </c>
      <c r="W2160" s="6">
        <v>0</v>
      </c>
      <c r="X2160" s="6">
        <v>0</v>
      </c>
      <c r="Y2160" t="s">
        <v>28</v>
      </c>
      <c r="Z2160" s="5">
        <v>102</v>
      </c>
      <c r="AA2160" s="3">
        <v>9.0855799999999998E-5</v>
      </c>
      <c r="AB2160" s="2">
        <v>0.71330000000000005</v>
      </c>
      <c r="AC2160" s="2">
        <v>5.1700000000000003E-2</v>
      </c>
      <c r="AD2160">
        <v>0.3</v>
      </c>
      <c r="AE2160">
        <v>829.4</v>
      </c>
      <c r="AF2160">
        <v>2</v>
      </c>
      <c r="AL2160" s="9">
        <v>17.5</v>
      </c>
      <c r="AM2160" s="9">
        <v>11</v>
      </c>
      <c r="AN2160" s="9">
        <v>2.5</v>
      </c>
      <c r="AP2160"/>
    </row>
    <row r="2161" spans="1:42" x14ac:dyDescent="0.3">
      <c r="A2161" t="s">
        <v>122</v>
      </c>
      <c r="B2161" t="s">
        <v>1582</v>
      </c>
      <c r="C2161">
        <v>86</v>
      </c>
      <c r="D2161" s="8">
        <v>1.4403999999999999</v>
      </c>
      <c r="E2161">
        <v>100000</v>
      </c>
      <c r="G2161" t="s">
        <v>119</v>
      </c>
      <c r="H2161">
        <v>6.5</v>
      </c>
      <c r="I2161" s="4">
        <v>1.5</v>
      </c>
      <c r="J2161" s="3">
        <v>1344</v>
      </c>
      <c r="K2161" s="4">
        <v>20</v>
      </c>
      <c r="L2161" t="s">
        <v>140</v>
      </c>
      <c r="M2161" t="s">
        <v>28</v>
      </c>
      <c r="N2161" s="3">
        <v>5</v>
      </c>
      <c r="O2161" s="3">
        <v>0</v>
      </c>
      <c r="P2161">
        <v>22.5</v>
      </c>
      <c r="Q2161">
        <v>6.5</v>
      </c>
      <c r="R2161" t="s">
        <v>102</v>
      </c>
      <c r="S2161">
        <v>0</v>
      </c>
      <c r="T2161" s="6">
        <f>10^-(14-Q2161)</f>
        <v>3.1622776601683699E-8</v>
      </c>
      <c r="U2161" s="6">
        <v>0</v>
      </c>
      <c r="V2161" s="6">
        <v>0</v>
      </c>
      <c r="W2161" s="6">
        <v>0</v>
      </c>
      <c r="X2161" s="6">
        <v>0</v>
      </c>
      <c r="Y2161" t="s">
        <v>28</v>
      </c>
      <c r="Z2161" s="5">
        <v>114</v>
      </c>
      <c r="AA2161" s="3">
        <v>6.4896999999999999E-5</v>
      </c>
      <c r="AB2161" s="2">
        <v>0.73939999999999995</v>
      </c>
      <c r="AC2161" s="2">
        <v>4.82E-2</v>
      </c>
      <c r="AD2161">
        <v>0.3</v>
      </c>
      <c r="AE2161">
        <v>830.4</v>
      </c>
      <c r="AF2161">
        <v>2</v>
      </c>
      <c r="AL2161" s="9">
        <v>17.5</v>
      </c>
      <c r="AM2161" s="9">
        <v>11</v>
      </c>
      <c r="AN2161" s="9">
        <v>2.5</v>
      </c>
      <c r="AP2161"/>
    </row>
    <row r="2162" spans="1:42" x14ac:dyDescent="0.3">
      <c r="A2162" t="s">
        <v>122</v>
      </c>
      <c r="B2162" t="s">
        <v>1582</v>
      </c>
      <c r="C2162">
        <v>86</v>
      </c>
      <c r="D2162" s="8">
        <v>1.4403999999999999</v>
      </c>
      <c r="E2162">
        <v>100000</v>
      </c>
      <c r="G2162" t="s">
        <v>119</v>
      </c>
      <c r="H2162">
        <v>6.5</v>
      </c>
      <c r="I2162" s="4">
        <v>1.5</v>
      </c>
      <c r="J2162" s="3">
        <v>1344</v>
      </c>
      <c r="K2162" s="4">
        <v>20</v>
      </c>
      <c r="L2162" t="s">
        <v>140</v>
      </c>
      <c r="M2162" t="s">
        <v>28</v>
      </c>
      <c r="N2162" s="3">
        <v>5</v>
      </c>
      <c r="O2162" s="3">
        <v>0</v>
      </c>
      <c r="P2162">
        <v>22.5</v>
      </c>
      <c r="Q2162">
        <v>6.5</v>
      </c>
      <c r="R2162" t="s">
        <v>102</v>
      </c>
      <c r="S2162">
        <v>0</v>
      </c>
      <c r="T2162" s="6">
        <f>10^-(14-Q2162)</f>
        <v>3.1622776601683699E-8</v>
      </c>
      <c r="U2162" s="6">
        <v>0</v>
      </c>
      <c r="V2162" s="6">
        <v>0</v>
      </c>
      <c r="W2162" s="6">
        <v>0</v>
      </c>
      <c r="X2162" s="6">
        <v>0</v>
      </c>
      <c r="Y2162" t="s">
        <v>28</v>
      </c>
      <c r="Z2162" s="5">
        <v>114</v>
      </c>
      <c r="AA2162" s="3">
        <v>6.53796E-5</v>
      </c>
      <c r="AB2162" s="2">
        <v>0.75819999999999999</v>
      </c>
      <c r="AC2162" s="2">
        <v>4.8500000000000001E-2</v>
      </c>
      <c r="AD2162">
        <v>0.3</v>
      </c>
      <c r="AE2162">
        <v>830.4</v>
      </c>
      <c r="AF2162">
        <v>2</v>
      </c>
      <c r="AL2162" s="9">
        <v>17.5</v>
      </c>
      <c r="AM2162" s="9">
        <v>11</v>
      </c>
      <c r="AN2162" s="9">
        <v>2.5</v>
      </c>
      <c r="AP2162"/>
    </row>
    <row r="2163" spans="1:42" x14ac:dyDescent="0.3">
      <c r="A2163" t="s">
        <v>122</v>
      </c>
      <c r="B2163" t="s">
        <v>1582</v>
      </c>
      <c r="C2163">
        <v>86</v>
      </c>
      <c r="D2163" s="8">
        <v>1.4403999999999999</v>
      </c>
      <c r="E2163">
        <v>100000</v>
      </c>
      <c r="G2163" t="s">
        <v>119</v>
      </c>
      <c r="H2163">
        <v>6.5</v>
      </c>
      <c r="I2163" s="4">
        <v>1.5</v>
      </c>
      <c r="J2163" s="3">
        <v>1344</v>
      </c>
      <c r="K2163" s="4">
        <v>20</v>
      </c>
      <c r="L2163" t="s">
        <v>140</v>
      </c>
      <c r="M2163" t="s">
        <v>28</v>
      </c>
      <c r="N2163" s="3">
        <v>5</v>
      </c>
      <c r="O2163" s="3">
        <v>0</v>
      </c>
      <c r="P2163">
        <v>22.5</v>
      </c>
      <c r="Q2163">
        <v>6.5</v>
      </c>
      <c r="R2163" t="s">
        <v>102</v>
      </c>
      <c r="S2163">
        <v>0</v>
      </c>
      <c r="T2163" s="6">
        <f>10^-(14-Q2163)</f>
        <v>3.1622776601683699E-8</v>
      </c>
      <c r="U2163" s="6">
        <v>0</v>
      </c>
      <c r="V2163" s="6">
        <v>0</v>
      </c>
      <c r="W2163" s="6">
        <v>0</v>
      </c>
      <c r="X2163" s="6">
        <v>0</v>
      </c>
      <c r="Y2163" t="s">
        <v>28</v>
      </c>
      <c r="Z2163" s="5">
        <v>113</v>
      </c>
      <c r="AA2163" s="3">
        <v>6.2763399999999996E-5</v>
      </c>
      <c r="AB2163" s="2">
        <v>0.69059999999999999</v>
      </c>
      <c r="AC2163" s="2">
        <v>4.6800000000000001E-2</v>
      </c>
      <c r="AD2163">
        <v>0.3</v>
      </c>
      <c r="AE2163">
        <v>830.4</v>
      </c>
      <c r="AF2163">
        <v>2</v>
      </c>
      <c r="AL2163" s="9">
        <v>17.5</v>
      </c>
      <c r="AM2163" s="9">
        <v>11</v>
      </c>
      <c r="AN2163" s="9">
        <v>2.5</v>
      </c>
      <c r="AP2163"/>
    </row>
    <row r="2164" spans="1:42" x14ac:dyDescent="0.3">
      <c r="A2164" t="s">
        <v>123</v>
      </c>
      <c r="B2164" t="s">
        <v>1582</v>
      </c>
      <c r="C2164">
        <v>86</v>
      </c>
      <c r="D2164" s="8">
        <v>1.4403999999999999</v>
      </c>
      <c r="E2164">
        <v>100000</v>
      </c>
      <c r="G2164" t="s">
        <v>119</v>
      </c>
      <c r="H2164">
        <v>6.5</v>
      </c>
      <c r="I2164" s="4">
        <v>1.5</v>
      </c>
      <c r="J2164" s="3">
        <v>1344</v>
      </c>
      <c r="K2164" s="4">
        <v>20</v>
      </c>
      <c r="L2164" t="s">
        <v>140</v>
      </c>
      <c r="M2164" t="s">
        <v>28</v>
      </c>
      <c r="N2164" s="3">
        <v>5</v>
      </c>
      <c r="O2164" s="3">
        <v>0</v>
      </c>
      <c r="P2164">
        <v>22.5</v>
      </c>
      <c r="Q2164">
        <v>6.5</v>
      </c>
      <c r="R2164" t="s">
        <v>102</v>
      </c>
      <c r="S2164">
        <v>0</v>
      </c>
      <c r="T2164" s="6">
        <f>10^-(14-Q2164)</f>
        <v>3.1622776601683699E-8</v>
      </c>
      <c r="U2164" s="6">
        <v>0</v>
      </c>
      <c r="V2164" s="6">
        <v>0</v>
      </c>
      <c r="W2164" s="6">
        <v>0</v>
      </c>
      <c r="X2164" s="6">
        <v>0</v>
      </c>
      <c r="Y2164" t="s">
        <v>28</v>
      </c>
      <c r="Z2164" s="5">
        <v>80.599999999999994</v>
      </c>
      <c r="AA2164" s="3">
        <v>8.2575400000000002E-5</v>
      </c>
      <c r="AB2164" s="2">
        <v>0.67159999999999997</v>
      </c>
      <c r="AC2164" s="2">
        <v>4.7899999999999998E-2</v>
      </c>
      <c r="AD2164">
        <v>0.3</v>
      </c>
      <c r="AE2164">
        <v>830.1</v>
      </c>
      <c r="AF2164">
        <v>2</v>
      </c>
      <c r="AL2164" s="9">
        <v>17.5</v>
      </c>
      <c r="AM2164" s="9">
        <v>11</v>
      </c>
      <c r="AN2164" s="9">
        <v>2.5</v>
      </c>
      <c r="AP2164"/>
    </row>
    <row r="2165" spans="1:42" x14ac:dyDescent="0.3">
      <c r="A2165" t="s">
        <v>123</v>
      </c>
      <c r="B2165" t="s">
        <v>1582</v>
      </c>
      <c r="C2165">
        <v>86</v>
      </c>
      <c r="D2165" s="8">
        <v>1.4403999999999999</v>
      </c>
      <c r="E2165">
        <v>100000</v>
      </c>
      <c r="G2165" t="s">
        <v>119</v>
      </c>
      <c r="H2165">
        <v>6.5</v>
      </c>
      <c r="I2165" s="4">
        <v>1.5</v>
      </c>
      <c r="J2165" s="3">
        <v>1344</v>
      </c>
      <c r="K2165" s="4">
        <v>20</v>
      </c>
      <c r="L2165" t="s">
        <v>140</v>
      </c>
      <c r="M2165" t="s">
        <v>28</v>
      </c>
      <c r="N2165" s="3">
        <v>5</v>
      </c>
      <c r="O2165" s="3">
        <v>0</v>
      </c>
      <c r="P2165">
        <v>22.5</v>
      </c>
      <c r="Q2165">
        <v>6.5</v>
      </c>
      <c r="R2165" t="s">
        <v>102</v>
      </c>
      <c r="S2165">
        <v>0</v>
      </c>
      <c r="T2165" s="6">
        <f>10^-(14-Q2165)</f>
        <v>3.1622776601683699E-8</v>
      </c>
      <c r="U2165" s="6">
        <v>0</v>
      </c>
      <c r="V2165" s="6">
        <v>0</v>
      </c>
      <c r="W2165" s="6">
        <v>0</v>
      </c>
      <c r="X2165" s="6">
        <v>0</v>
      </c>
      <c r="Y2165" t="s">
        <v>28</v>
      </c>
      <c r="Z2165" s="5">
        <v>81</v>
      </c>
      <c r="AA2165" s="3">
        <v>8.87984E-5</v>
      </c>
      <c r="AB2165" s="2">
        <v>0.83230000000000004</v>
      </c>
      <c r="AC2165" s="2">
        <v>5.0999999999999997E-2</v>
      </c>
      <c r="AD2165">
        <v>0.3</v>
      </c>
      <c r="AE2165">
        <v>830.1</v>
      </c>
      <c r="AF2165">
        <v>2</v>
      </c>
      <c r="AL2165" s="9">
        <v>17.5</v>
      </c>
      <c r="AM2165" s="9">
        <v>11</v>
      </c>
      <c r="AN2165" s="9">
        <v>2.5</v>
      </c>
      <c r="AP2165"/>
    </row>
    <row r="2166" spans="1:42" x14ac:dyDescent="0.3">
      <c r="A2166" t="s">
        <v>123</v>
      </c>
      <c r="B2166" t="s">
        <v>1582</v>
      </c>
      <c r="C2166">
        <v>86</v>
      </c>
      <c r="D2166" s="8">
        <v>1.4403999999999999</v>
      </c>
      <c r="E2166">
        <v>100000</v>
      </c>
      <c r="G2166" t="s">
        <v>119</v>
      </c>
      <c r="H2166">
        <v>6.5</v>
      </c>
      <c r="I2166" s="4">
        <v>1.5</v>
      </c>
      <c r="J2166" s="3">
        <v>1344</v>
      </c>
      <c r="K2166" s="4">
        <v>20</v>
      </c>
      <c r="L2166" t="s">
        <v>140</v>
      </c>
      <c r="M2166" t="s">
        <v>28</v>
      </c>
      <c r="N2166" s="3">
        <v>5</v>
      </c>
      <c r="O2166" s="3">
        <v>0</v>
      </c>
      <c r="P2166">
        <v>22.5</v>
      </c>
      <c r="Q2166">
        <v>6.5</v>
      </c>
      <c r="R2166" t="s">
        <v>102</v>
      </c>
      <c r="S2166">
        <v>0</v>
      </c>
      <c r="T2166" s="6">
        <f>10^-(14-Q2166)</f>
        <v>3.1622776601683699E-8</v>
      </c>
      <c r="U2166" s="6">
        <v>0</v>
      </c>
      <c r="V2166" s="6">
        <v>0</v>
      </c>
      <c r="W2166" s="6">
        <v>0</v>
      </c>
      <c r="X2166" s="6">
        <v>0</v>
      </c>
      <c r="Y2166" t="s">
        <v>28</v>
      </c>
      <c r="Z2166" s="5">
        <v>81.2</v>
      </c>
      <c r="AA2166" s="3">
        <v>9.2075000000000002E-5</v>
      </c>
      <c r="AB2166" s="2">
        <v>0.92479999999999996</v>
      </c>
      <c r="AC2166" s="2">
        <v>5.28E-2</v>
      </c>
      <c r="AD2166">
        <v>0.3</v>
      </c>
      <c r="AE2166">
        <v>830.1</v>
      </c>
      <c r="AF2166">
        <v>2</v>
      </c>
      <c r="AL2166" s="9">
        <v>17.5</v>
      </c>
      <c r="AM2166" s="9">
        <v>11</v>
      </c>
      <c r="AN2166" s="9">
        <v>2.5</v>
      </c>
      <c r="AP2166"/>
    </row>
    <row r="2167" spans="1:42" x14ac:dyDescent="0.3">
      <c r="A2167" t="s">
        <v>124</v>
      </c>
      <c r="B2167" t="s">
        <v>1582</v>
      </c>
      <c r="C2167">
        <v>86</v>
      </c>
      <c r="D2167" s="8">
        <v>1.4403999999999999</v>
      </c>
      <c r="E2167">
        <v>100000</v>
      </c>
      <c r="G2167" t="s">
        <v>119</v>
      </c>
      <c r="H2167">
        <v>6.5</v>
      </c>
      <c r="I2167" s="4">
        <v>1.5</v>
      </c>
      <c r="J2167" s="3">
        <v>1344</v>
      </c>
      <c r="K2167" s="4">
        <v>20</v>
      </c>
      <c r="L2167" t="s">
        <v>140</v>
      </c>
      <c r="M2167" t="s">
        <v>28</v>
      </c>
      <c r="N2167" s="3">
        <v>5</v>
      </c>
      <c r="O2167" s="3">
        <v>0</v>
      </c>
      <c r="P2167">
        <v>22.5</v>
      </c>
      <c r="Q2167">
        <v>6.5</v>
      </c>
      <c r="R2167" t="s">
        <v>102</v>
      </c>
      <c r="S2167">
        <v>0</v>
      </c>
      <c r="T2167" s="6">
        <f>10^-(14-Q2167)</f>
        <v>3.1622776601683699E-8</v>
      </c>
      <c r="U2167" s="6">
        <v>0</v>
      </c>
      <c r="V2167" s="6">
        <v>0</v>
      </c>
      <c r="W2167" s="6">
        <v>0</v>
      </c>
      <c r="X2167" s="6">
        <v>0</v>
      </c>
      <c r="Y2167" t="s">
        <v>28</v>
      </c>
      <c r="Z2167" s="5">
        <v>119</v>
      </c>
      <c r="AA2167" s="3">
        <v>8.0670399999999999E-5</v>
      </c>
      <c r="AB2167" s="2">
        <v>0.83750000000000002</v>
      </c>
      <c r="AC2167" s="2">
        <v>5.0099999999999999E-2</v>
      </c>
      <c r="AD2167">
        <v>0.3</v>
      </c>
      <c r="AE2167">
        <v>829.3</v>
      </c>
      <c r="AF2167">
        <v>2</v>
      </c>
      <c r="AL2167" s="9">
        <v>17.5</v>
      </c>
      <c r="AM2167" s="9">
        <v>11</v>
      </c>
      <c r="AN2167" s="9">
        <v>2.5</v>
      </c>
      <c r="AP2167"/>
    </row>
    <row r="2168" spans="1:42" x14ac:dyDescent="0.3">
      <c r="A2168" t="s">
        <v>124</v>
      </c>
      <c r="B2168" t="s">
        <v>1582</v>
      </c>
      <c r="C2168">
        <v>86</v>
      </c>
      <c r="D2168" s="8">
        <v>1.4403999999999999</v>
      </c>
      <c r="E2168">
        <v>100000</v>
      </c>
      <c r="G2168" t="s">
        <v>119</v>
      </c>
      <c r="H2168">
        <v>6.5</v>
      </c>
      <c r="I2168" s="4">
        <v>1.5</v>
      </c>
      <c r="J2168" s="3">
        <v>1344</v>
      </c>
      <c r="K2168" s="4">
        <v>20</v>
      </c>
      <c r="L2168" t="s">
        <v>140</v>
      </c>
      <c r="M2168" t="s">
        <v>28</v>
      </c>
      <c r="N2168" s="3">
        <v>5</v>
      </c>
      <c r="O2168" s="3">
        <v>0</v>
      </c>
      <c r="P2168">
        <v>22.5</v>
      </c>
      <c r="Q2168">
        <v>6.5</v>
      </c>
      <c r="R2168" t="s">
        <v>102</v>
      </c>
      <c r="S2168">
        <v>0</v>
      </c>
      <c r="T2168" s="6">
        <f>10^-(14-Q2168)</f>
        <v>3.1622776601683699E-8</v>
      </c>
      <c r="U2168" s="6">
        <v>0</v>
      </c>
      <c r="V2168" s="6">
        <v>0</v>
      </c>
      <c r="W2168" s="6">
        <v>0</v>
      </c>
      <c r="X2168" s="6">
        <v>0</v>
      </c>
      <c r="Y2168" t="s">
        <v>28</v>
      </c>
      <c r="Z2168" s="5">
        <v>119</v>
      </c>
      <c r="AA2168" s="3">
        <v>8.3083399999999991E-5</v>
      </c>
      <c r="AB2168" s="2">
        <v>0.9304</v>
      </c>
      <c r="AC2168" s="2">
        <v>5.1299999999999998E-2</v>
      </c>
      <c r="AD2168">
        <v>0.3</v>
      </c>
      <c r="AE2168">
        <v>829.3</v>
      </c>
      <c r="AF2168">
        <v>2</v>
      </c>
      <c r="AL2168" s="9">
        <v>17.5</v>
      </c>
      <c r="AM2168" s="9">
        <v>11</v>
      </c>
      <c r="AN2168" s="9">
        <v>2.5</v>
      </c>
      <c r="AP2168"/>
    </row>
    <row r="2169" spans="1:42" x14ac:dyDescent="0.3">
      <c r="A2169" t="s">
        <v>124</v>
      </c>
      <c r="B2169" t="s">
        <v>1582</v>
      </c>
      <c r="C2169">
        <v>86</v>
      </c>
      <c r="D2169" s="8">
        <v>1.4403999999999999</v>
      </c>
      <c r="E2169">
        <v>100000</v>
      </c>
      <c r="G2169" t="s">
        <v>119</v>
      </c>
      <c r="H2169">
        <v>6.5</v>
      </c>
      <c r="I2169" s="4">
        <v>1.5</v>
      </c>
      <c r="J2169" s="3">
        <v>1344</v>
      </c>
      <c r="K2169" s="4">
        <v>20</v>
      </c>
      <c r="L2169" t="s">
        <v>140</v>
      </c>
      <c r="M2169" t="s">
        <v>28</v>
      </c>
      <c r="N2169" s="3">
        <v>5</v>
      </c>
      <c r="O2169" s="3">
        <v>0</v>
      </c>
      <c r="P2169">
        <v>22.5</v>
      </c>
      <c r="Q2169">
        <v>6.5</v>
      </c>
      <c r="R2169" t="s">
        <v>102</v>
      </c>
      <c r="S2169">
        <v>0</v>
      </c>
      <c r="T2169" s="6">
        <f>10^-(14-Q2169)</f>
        <v>3.1622776601683699E-8</v>
      </c>
      <c r="U2169" s="6">
        <v>0</v>
      </c>
      <c r="V2169" s="6">
        <v>0</v>
      </c>
      <c r="W2169" s="6">
        <v>0</v>
      </c>
      <c r="X2169" s="6">
        <v>0</v>
      </c>
      <c r="Y2169" t="s">
        <v>28</v>
      </c>
      <c r="Z2169" s="5">
        <v>119</v>
      </c>
      <c r="AA2169" s="3">
        <v>8.2295999999999986E-5</v>
      </c>
      <c r="AB2169" s="2">
        <v>0.90569999999999995</v>
      </c>
      <c r="AC2169" s="2">
        <v>5.0900000000000001E-2</v>
      </c>
      <c r="AD2169">
        <v>0.3</v>
      </c>
      <c r="AE2169">
        <v>829.3</v>
      </c>
      <c r="AF2169">
        <v>2</v>
      </c>
      <c r="AL2169" s="9">
        <v>17.5</v>
      </c>
      <c r="AM2169" s="9">
        <v>11</v>
      </c>
      <c r="AN2169" s="9">
        <v>2.5</v>
      </c>
      <c r="AP2169"/>
    </row>
    <row r="2170" spans="1:42" x14ac:dyDescent="0.3">
      <c r="A2170" t="s">
        <v>125</v>
      </c>
      <c r="B2170" t="s">
        <v>1582</v>
      </c>
      <c r="C2170">
        <v>86</v>
      </c>
      <c r="D2170" s="8">
        <v>1.4403999999999999</v>
      </c>
      <c r="E2170">
        <v>100000</v>
      </c>
      <c r="G2170" t="s">
        <v>111</v>
      </c>
      <c r="H2170" t="s">
        <v>987</v>
      </c>
      <c r="I2170" s="4">
        <v>1.5</v>
      </c>
      <c r="J2170" s="3">
        <v>1344</v>
      </c>
      <c r="K2170" s="4">
        <v>20</v>
      </c>
      <c r="L2170" t="s">
        <v>140</v>
      </c>
      <c r="M2170" t="s">
        <v>28</v>
      </c>
      <c r="N2170" s="3">
        <v>1</v>
      </c>
      <c r="O2170" s="3">
        <v>0</v>
      </c>
      <c r="P2170">
        <v>22.5</v>
      </c>
      <c r="Q2170">
        <v>3.5</v>
      </c>
      <c r="R2170" t="s">
        <v>102</v>
      </c>
      <c r="S2170">
        <v>0</v>
      </c>
      <c r="T2170" s="6">
        <f>10^-(14-Q2170)</f>
        <v>3.162277660168371E-11</v>
      </c>
      <c r="U2170" s="6">
        <v>0</v>
      </c>
      <c r="V2170" s="6">
        <v>0</v>
      </c>
      <c r="W2170" s="6">
        <v>0</v>
      </c>
      <c r="X2170" s="6">
        <v>0</v>
      </c>
      <c r="Y2170" t="s">
        <v>28</v>
      </c>
      <c r="Z2170" s="5">
        <v>394</v>
      </c>
      <c r="AA2170" s="3">
        <v>3.6931600000000002E-6</v>
      </c>
      <c r="AB2170" s="2">
        <v>0.20349999999999999</v>
      </c>
      <c r="AC2170" s="2">
        <v>4.4299999999999999E-2</v>
      </c>
      <c r="AD2170">
        <v>0.3</v>
      </c>
      <c r="AE2170">
        <v>829.5</v>
      </c>
      <c r="AF2170">
        <v>2</v>
      </c>
      <c r="AL2170" s="9">
        <v>17.5</v>
      </c>
      <c r="AM2170" s="9">
        <v>11</v>
      </c>
      <c r="AN2170" s="9">
        <v>2.5</v>
      </c>
      <c r="AP2170"/>
    </row>
    <row r="2171" spans="1:42" x14ac:dyDescent="0.3">
      <c r="A2171" t="s">
        <v>125</v>
      </c>
      <c r="B2171" t="s">
        <v>1582</v>
      </c>
      <c r="C2171">
        <v>86</v>
      </c>
      <c r="D2171" s="8">
        <v>1.4403999999999999</v>
      </c>
      <c r="E2171">
        <v>100000</v>
      </c>
      <c r="G2171" t="s">
        <v>111</v>
      </c>
      <c r="H2171" t="s">
        <v>987</v>
      </c>
      <c r="I2171" s="4">
        <v>1.5</v>
      </c>
      <c r="J2171" s="3">
        <v>1344</v>
      </c>
      <c r="K2171" s="4">
        <v>20</v>
      </c>
      <c r="L2171" t="s">
        <v>140</v>
      </c>
      <c r="M2171" t="s">
        <v>28</v>
      </c>
      <c r="N2171" s="3">
        <v>1</v>
      </c>
      <c r="O2171" s="3">
        <v>0</v>
      </c>
      <c r="P2171">
        <v>22.5</v>
      </c>
      <c r="Q2171">
        <v>3.5</v>
      </c>
      <c r="R2171" t="s">
        <v>102</v>
      </c>
      <c r="S2171">
        <v>0</v>
      </c>
      <c r="T2171" s="6">
        <f>10^-(14-Q2171)</f>
        <v>3.162277660168371E-11</v>
      </c>
      <c r="U2171" s="6">
        <v>0</v>
      </c>
      <c r="V2171" s="6">
        <v>0</v>
      </c>
      <c r="W2171" s="6">
        <v>0</v>
      </c>
      <c r="X2171" s="6">
        <v>0</v>
      </c>
      <c r="Y2171" t="s">
        <v>28</v>
      </c>
      <c r="Z2171" s="5">
        <v>393</v>
      </c>
      <c r="AA2171" s="3">
        <v>2.96164E-6</v>
      </c>
      <c r="AB2171" s="2">
        <v>0.18049999999999999</v>
      </c>
      <c r="AC2171" s="2">
        <v>3.9199999999999999E-2</v>
      </c>
      <c r="AD2171">
        <v>0.3</v>
      </c>
      <c r="AE2171">
        <v>829.5</v>
      </c>
      <c r="AF2171">
        <v>2</v>
      </c>
      <c r="AL2171" s="9">
        <v>17.5</v>
      </c>
      <c r="AM2171" s="9">
        <v>11</v>
      </c>
      <c r="AN2171" s="9">
        <v>2.5</v>
      </c>
      <c r="AP2171"/>
    </row>
    <row r="2172" spans="1:42" x14ac:dyDescent="0.3">
      <c r="A2172" t="s">
        <v>125</v>
      </c>
      <c r="B2172" t="s">
        <v>1582</v>
      </c>
      <c r="C2172">
        <v>86</v>
      </c>
      <c r="D2172" s="8">
        <v>1.4403999999999999</v>
      </c>
      <c r="E2172">
        <v>100000</v>
      </c>
      <c r="G2172" t="s">
        <v>111</v>
      </c>
      <c r="H2172" t="s">
        <v>987</v>
      </c>
      <c r="I2172" s="4">
        <v>1.5</v>
      </c>
      <c r="J2172" s="3">
        <v>1344</v>
      </c>
      <c r="K2172" s="4">
        <v>20</v>
      </c>
      <c r="L2172" t="s">
        <v>140</v>
      </c>
      <c r="M2172" t="s">
        <v>28</v>
      </c>
      <c r="N2172" s="3">
        <v>1</v>
      </c>
      <c r="O2172" s="3">
        <v>0</v>
      </c>
      <c r="P2172">
        <v>22.5</v>
      </c>
      <c r="Q2172">
        <v>3.5</v>
      </c>
      <c r="R2172" t="s">
        <v>102</v>
      </c>
      <c r="S2172">
        <v>0</v>
      </c>
      <c r="T2172" s="6">
        <f>10^-(14-Q2172)</f>
        <v>3.162277660168371E-11</v>
      </c>
      <c r="U2172" s="6">
        <v>0</v>
      </c>
      <c r="V2172" s="6">
        <v>0</v>
      </c>
      <c r="W2172" s="6">
        <v>0</v>
      </c>
      <c r="X2172" s="6">
        <v>0</v>
      </c>
      <c r="Y2172" t="s">
        <v>28</v>
      </c>
      <c r="Z2172" s="5">
        <v>394</v>
      </c>
      <c r="AA2172" s="3">
        <v>1.9197320000000001E-6</v>
      </c>
      <c r="AB2172" s="2">
        <v>0.15740000000000001</v>
      </c>
      <c r="AC2172" s="2">
        <v>3.3300000000000003E-2</v>
      </c>
      <c r="AD2172">
        <v>0.3</v>
      </c>
      <c r="AE2172">
        <v>829.5</v>
      </c>
      <c r="AF2172">
        <v>2</v>
      </c>
      <c r="AL2172" s="9">
        <v>17.5</v>
      </c>
      <c r="AM2172" s="9">
        <v>11</v>
      </c>
      <c r="AN2172" s="9">
        <v>2.5</v>
      </c>
      <c r="AP2172"/>
    </row>
    <row r="2173" spans="1:42" x14ac:dyDescent="0.3">
      <c r="A2173" t="s">
        <v>126</v>
      </c>
      <c r="B2173" t="s">
        <v>1582</v>
      </c>
      <c r="C2173">
        <v>86</v>
      </c>
      <c r="D2173" s="8">
        <v>1.4403999999999999</v>
      </c>
      <c r="E2173">
        <v>100000</v>
      </c>
      <c r="G2173" t="s">
        <v>102</v>
      </c>
      <c r="H2173" t="s">
        <v>987</v>
      </c>
      <c r="I2173" s="4">
        <v>1.5</v>
      </c>
      <c r="J2173" s="3">
        <v>0</v>
      </c>
      <c r="K2173" s="4">
        <v>20</v>
      </c>
      <c r="L2173" t="s">
        <v>140</v>
      </c>
      <c r="M2173" t="s">
        <v>28</v>
      </c>
      <c r="N2173" s="3">
        <v>1</v>
      </c>
      <c r="O2173" s="3">
        <v>0</v>
      </c>
      <c r="P2173">
        <v>22.5</v>
      </c>
      <c r="Q2173">
        <v>3.5</v>
      </c>
      <c r="R2173" t="s">
        <v>102</v>
      </c>
      <c r="S2173">
        <v>0</v>
      </c>
      <c r="T2173" s="6">
        <f>10^-(14-Q2173)</f>
        <v>3.162277660168371E-11</v>
      </c>
      <c r="U2173" s="6">
        <v>0</v>
      </c>
      <c r="V2173" s="6">
        <v>0</v>
      </c>
      <c r="W2173" s="6">
        <v>0</v>
      </c>
      <c r="X2173" s="6">
        <v>0</v>
      </c>
      <c r="Y2173" t="s">
        <v>28</v>
      </c>
      <c r="Z2173" s="5">
        <v>331</v>
      </c>
      <c r="AA2173" s="3">
        <v>7.8841600000000004E-6</v>
      </c>
      <c r="AB2173" s="2">
        <v>0.17799999999999999</v>
      </c>
      <c r="AC2173" s="2">
        <v>4.9099999999999998E-2</v>
      </c>
      <c r="AD2173">
        <v>0.3</v>
      </c>
      <c r="AE2173">
        <v>829.8</v>
      </c>
      <c r="AF2173">
        <v>2</v>
      </c>
      <c r="AL2173" s="9">
        <v>17.5</v>
      </c>
      <c r="AM2173" s="9">
        <v>11</v>
      </c>
      <c r="AN2173" s="9">
        <v>2.5</v>
      </c>
      <c r="AP2173"/>
    </row>
    <row r="2174" spans="1:42" x14ac:dyDescent="0.3">
      <c r="A2174" t="s">
        <v>126</v>
      </c>
      <c r="B2174" t="s">
        <v>1582</v>
      </c>
      <c r="C2174">
        <v>86</v>
      </c>
      <c r="D2174" s="8">
        <v>1.4403999999999999</v>
      </c>
      <c r="E2174">
        <v>100000</v>
      </c>
      <c r="G2174" t="s">
        <v>102</v>
      </c>
      <c r="H2174" t="s">
        <v>987</v>
      </c>
      <c r="I2174" s="4">
        <v>1.5</v>
      </c>
      <c r="J2174" s="3">
        <v>0</v>
      </c>
      <c r="K2174" s="4">
        <v>20</v>
      </c>
      <c r="L2174" t="s">
        <v>140</v>
      </c>
      <c r="M2174" t="s">
        <v>28</v>
      </c>
      <c r="N2174" s="3">
        <v>1</v>
      </c>
      <c r="O2174" s="3">
        <v>0</v>
      </c>
      <c r="P2174">
        <v>22.5</v>
      </c>
      <c r="Q2174">
        <v>3.5</v>
      </c>
      <c r="R2174" t="s">
        <v>102</v>
      </c>
      <c r="S2174">
        <v>0</v>
      </c>
      <c r="T2174" s="6">
        <f>10^-(14-Q2174)</f>
        <v>3.162277660168371E-11</v>
      </c>
      <c r="U2174" s="6">
        <v>0</v>
      </c>
      <c r="V2174" s="6">
        <v>0</v>
      </c>
      <c r="W2174" s="6">
        <v>0</v>
      </c>
      <c r="X2174" s="6">
        <v>0</v>
      </c>
      <c r="Y2174" t="s">
        <v>28</v>
      </c>
      <c r="Z2174" s="5">
        <v>331</v>
      </c>
      <c r="AA2174" s="3">
        <v>8.5064599999999995E-6</v>
      </c>
      <c r="AB2174" s="2">
        <v>0.1842</v>
      </c>
      <c r="AC2174" s="2">
        <v>5.1799999999999999E-2</v>
      </c>
      <c r="AD2174">
        <v>0.3</v>
      </c>
      <c r="AE2174">
        <v>829.8</v>
      </c>
      <c r="AF2174">
        <v>2</v>
      </c>
      <c r="AL2174" s="9">
        <v>17.5</v>
      </c>
      <c r="AM2174" s="9">
        <v>11</v>
      </c>
      <c r="AN2174" s="9">
        <v>2.5</v>
      </c>
      <c r="AP2174"/>
    </row>
    <row r="2175" spans="1:42" x14ac:dyDescent="0.3">
      <c r="A2175" t="s">
        <v>126</v>
      </c>
      <c r="B2175" t="s">
        <v>1582</v>
      </c>
      <c r="C2175">
        <v>86</v>
      </c>
      <c r="D2175" s="8">
        <v>1.4403999999999999</v>
      </c>
      <c r="E2175">
        <v>100000</v>
      </c>
      <c r="G2175" t="s">
        <v>102</v>
      </c>
      <c r="H2175" t="s">
        <v>987</v>
      </c>
      <c r="I2175" s="4">
        <v>1.5</v>
      </c>
      <c r="J2175" s="3">
        <v>0</v>
      </c>
      <c r="K2175" s="4">
        <v>20</v>
      </c>
      <c r="L2175" t="s">
        <v>140</v>
      </c>
      <c r="M2175" t="s">
        <v>28</v>
      </c>
      <c r="N2175" s="3">
        <v>1</v>
      </c>
      <c r="O2175" s="3">
        <v>0</v>
      </c>
      <c r="P2175">
        <v>22.5</v>
      </c>
      <c r="Q2175">
        <v>3.5</v>
      </c>
      <c r="R2175" t="s">
        <v>102</v>
      </c>
      <c r="S2175">
        <v>0</v>
      </c>
      <c r="T2175" s="6">
        <f>10^-(14-Q2175)</f>
        <v>3.162277660168371E-11</v>
      </c>
      <c r="U2175" s="6">
        <v>0</v>
      </c>
      <c r="V2175" s="6">
        <v>0</v>
      </c>
      <c r="W2175" s="6">
        <v>0</v>
      </c>
      <c r="X2175" s="6">
        <v>0</v>
      </c>
      <c r="Y2175" t="s">
        <v>28</v>
      </c>
      <c r="Z2175" s="5">
        <v>332</v>
      </c>
      <c r="AA2175" s="3">
        <v>9.5122999999999987E-6</v>
      </c>
      <c r="AB2175" s="2">
        <v>0.192</v>
      </c>
      <c r="AC2175" s="2">
        <v>5.6899999999999999E-2</v>
      </c>
      <c r="AD2175">
        <v>0.3</v>
      </c>
      <c r="AE2175">
        <v>829.8</v>
      </c>
      <c r="AF2175">
        <v>2</v>
      </c>
      <c r="AL2175" s="9">
        <v>17.5</v>
      </c>
      <c r="AM2175" s="9">
        <v>11</v>
      </c>
      <c r="AN2175" s="9">
        <v>2.5</v>
      </c>
      <c r="AP2175"/>
    </row>
    <row r="2176" spans="1:42" x14ac:dyDescent="0.3">
      <c r="A2176" t="s">
        <v>127</v>
      </c>
      <c r="B2176" t="s">
        <v>1582</v>
      </c>
      <c r="C2176">
        <v>86</v>
      </c>
      <c r="D2176" s="8">
        <v>1.4403999999999999</v>
      </c>
      <c r="E2176">
        <v>100000</v>
      </c>
      <c r="G2176" t="s">
        <v>102</v>
      </c>
      <c r="H2176" t="s">
        <v>987</v>
      </c>
      <c r="I2176" s="4">
        <v>1.5</v>
      </c>
      <c r="J2176" s="3">
        <v>0</v>
      </c>
      <c r="K2176" s="4">
        <v>20</v>
      </c>
      <c r="L2176" t="s">
        <v>140</v>
      </c>
      <c r="M2176" t="s">
        <v>28</v>
      </c>
      <c r="N2176" s="3">
        <v>1</v>
      </c>
      <c r="O2176" s="3">
        <v>0</v>
      </c>
      <c r="P2176">
        <v>22.5</v>
      </c>
      <c r="Q2176">
        <v>3.5</v>
      </c>
      <c r="R2176" t="s">
        <v>102</v>
      </c>
      <c r="S2176">
        <v>0</v>
      </c>
      <c r="T2176" s="6">
        <f>10^-(14-Q2176)</f>
        <v>3.162277660168371E-11</v>
      </c>
      <c r="U2176" s="6">
        <v>0</v>
      </c>
      <c r="V2176" s="6">
        <v>0</v>
      </c>
      <c r="W2176" s="6">
        <v>0</v>
      </c>
      <c r="X2176" s="6">
        <v>0</v>
      </c>
      <c r="Y2176" t="s">
        <v>28</v>
      </c>
      <c r="Z2176" s="5">
        <v>217</v>
      </c>
      <c r="AA2176" s="3">
        <v>5.6184799999999999E-6</v>
      </c>
      <c r="AB2176" s="2">
        <v>0.15049999999999999</v>
      </c>
      <c r="AC2176" s="2">
        <v>3.39E-2</v>
      </c>
      <c r="AD2176">
        <v>0.3</v>
      </c>
      <c r="AE2176">
        <v>829.4</v>
      </c>
      <c r="AF2176">
        <v>2</v>
      </c>
      <c r="AL2176" s="9">
        <v>17.5</v>
      </c>
      <c r="AM2176" s="9">
        <v>11</v>
      </c>
      <c r="AN2176" s="9">
        <v>2.5</v>
      </c>
      <c r="AP2176"/>
    </row>
    <row r="2177" spans="1:42" x14ac:dyDescent="0.3">
      <c r="A2177" t="s">
        <v>127</v>
      </c>
      <c r="B2177" t="s">
        <v>1582</v>
      </c>
      <c r="C2177">
        <v>86</v>
      </c>
      <c r="D2177" s="8">
        <v>1.4403999999999999</v>
      </c>
      <c r="E2177">
        <v>100000</v>
      </c>
      <c r="G2177" t="s">
        <v>102</v>
      </c>
      <c r="H2177" t="s">
        <v>987</v>
      </c>
      <c r="I2177" s="4">
        <v>1.5</v>
      </c>
      <c r="J2177" s="3">
        <v>0</v>
      </c>
      <c r="K2177" s="4">
        <v>20</v>
      </c>
      <c r="L2177" t="s">
        <v>140</v>
      </c>
      <c r="M2177" t="s">
        <v>28</v>
      </c>
      <c r="N2177" s="3">
        <v>1</v>
      </c>
      <c r="O2177" s="3">
        <v>0</v>
      </c>
      <c r="P2177">
        <v>22.5</v>
      </c>
      <c r="Q2177">
        <v>3.5</v>
      </c>
      <c r="R2177" t="s">
        <v>102</v>
      </c>
      <c r="S2177">
        <v>0</v>
      </c>
      <c r="T2177" s="6">
        <f>10^-(14-Q2177)</f>
        <v>3.162277660168371E-11</v>
      </c>
      <c r="U2177" s="6">
        <v>0</v>
      </c>
      <c r="V2177" s="6">
        <v>0</v>
      </c>
      <c r="W2177" s="6">
        <v>0</v>
      </c>
      <c r="X2177" s="6">
        <v>0</v>
      </c>
      <c r="Y2177" t="s">
        <v>28</v>
      </c>
      <c r="Z2177" s="5">
        <v>217</v>
      </c>
      <c r="AA2177" s="3">
        <v>6.8249800000000002E-6</v>
      </c>
      <c r="AB2177" s="2">
        <v>0.16339999999999999</v>
      </c>
      <c r="AC2177" s="2">
        <v>3.6700000000000003E-2</v>
      </c>
      <c r="AD2177">
        <v>0.3</v>
      </c>
      <c r="AE2177">
        <v>829.4</v>
      </c>
      <c r="AF2177">
        <v>2</v>
      </c>
      <c r="AL2177" s="9">
        <v>17.5</v>
      </c>
      <c r="AM2177" s="9">
        <v>11</v>
      </c>
      <c r="AN2177" s="9">
        <v>2.5</v>
      </c>
      <c r="AP2177"/>
    </row>
    <row r="2178" spans="1:42" x14ac:dyDescent="0.3">
      <c r="A2178" t="s">
        <v>127</v>
      </c>
      <c r="B2178" t="s">
        <v>1582</v>
      </c>
      <c r="C2178">
        <v>86</v>
      </c>
      <c r="D2178" s="8">
        <v>1.4403999999999999</v>
      </c>
      <c r="E2178">
        <v>100000</v>
      </c>
      <c r="G2178" t="s">
        <v>102</v>
      </c>
      <c r="H2178" t="s">
        <v>987</v>
      </c>
      <c r="I2178" s="4">
        <v>1.5</v>
      </c>
      <c r="J2178" s="3">
        <v>0</v>
      </c>
      <c r="K2178" s="4">
        <v>20</v>
      </c>
      <c r="L2178" t="s">
        <v>140</v>
      </c>
      <c r="M2178" t="s">
        <v>28</v>
      </c>
      <c r="N2178" s="3">
        <v>1</v>
      </c>
      <c r="O2178" s="3">
        <v>0</v>
      </c>
      <c r="P2178">
        <v>22.5</v>
      </c>
      <c r="Q2178">
        <v>3.5</v>
      </c>
      <c r="R2178" t="s">
        <v>102</v>
      </c>
      <c r="S2178">
        <v>0</v>
      </c>
      <c r="T2178" s="6">
        <f>10^-(14-Q2178)</f>
        <v>3.162277660168371E-11</v>
      </c>
      <c r="U2178" s="6">
        <v>0</v>
      </c>
      <c r="V2178" s="6">
        <v>0</v>
      </c>
      <c r="W2178" s="6">
        <v>0</v>
      </c>
      <c r="X2178" s="6">
        <v>0</v>
      </c>
      <c r="Y2178" t="s">
        <v>28</v>
      </c>
      <c r="Z2178" s="5">
        <v>218</v>
      </c>
      <c r="AA2178" s="3">
        <v>9.2328999999999993E-6</v>
      </c>
      <c r="AB2178" s="2">
        <v>0.18179999999999999</v>
      </c>
      <c r="AC2178" s="2">
        <v>4.4200000000000003E-2</v>
      </c>
      <c r="AD2178">
        <v>0.3</v>
      </c>
      <c r="AE2178">
        <v>829.4</v>
      </c>
      <c r="AF2178">
        <v>2</v>
      </c>
      <c r="AL2178" s="9">
        <v>17.5</v>
      </c>
      <c r="AM2178" s="9">
        <v>11</v>
      </c>
      <c r="AN2178" s="9">
        <v>2.5</v>
      </c>
      <c r="AP2178"/>
    </row>
    <row r="2179" spans="1:42" x14ac:dyDescent="0.3">
      <c r="A2179" t="s">
        <v>128</v>
      </c>
      <c r="B2179" t="s">
        <v>1582</v>
      </c>
      <c r="C2179">
        <v>86</v>
      </c>
      <c r="D2179" s="8">
        <v>1.4403999999999999</v>
      </c>
      <c r="E2179">
        <v>100000</v>
      </c>
      <c r="G2179" t="s">
        <v>111</v>
      </c>
      <c r="H2179">
        <v>6.5</v>
      </c>
      <c r="I2179" s="4">
        <v>1.5</v>
      </c>
      <c r="J2179" s="3">
        <v>1344</v>
      </c>
      <c r="K2179" s="4">
        <v>20</v>
      </c>
      <c r="L2179" t="s">
        <v>140</v>
      </c>
      <c r="M2179" t="s">
        <v>28</v>
      </c>
      <c r="N2179" s="3">
        <v>1</v>
      </c>
      <c r="O2179" s="3">
        <v>0</v>
      </c>
      <c r="P2179">
        <v>22.5</v>
      </c>
      <c r="Q2179">
        <v>6.5</v>
      </c>
      <c r="R2179" t="s">
        <v>102</v>
      </c>
      <c r="S2179">
        <v>0</v>
      </c>
      <c r="T2179" s="6">
        <f>10^-(14-Q2179)</f>
        <v>3.1622776601683699E-8</v>
      </c>
      <c r="U2179" s="6">
        <v>0</v>
      </c>
      <c r="V2179" s="6">
        <v>0</v>
      </c>
      <c r="W2179" s="6">
        <v>0</v>
      </c>
      <c r="X2179" s="6">
        <v>0</v>
      </c>
      <c r="Y2179" t="s">
        <v>28</v>
      </c>
      <c r="Z2179" s="5">
        <v>193</v>
      </c>
      <c r="AA2179" s="3">
        <v>5.6337199999999997E-6</v>
      </c>
      <c r="AB2179" s="2">
        <v>0.33</v>
      </c>
      <c r="AC2179" s="2">
        <v>4.19E-2</v>
      </c>
      <c r="AD2179">
        <v>0.3</v>
      </c>
      <c r="AE2179">
        <v>829.5</v>
      </c>
      <c r="AF2179">
        <v>2</v>
      </c>
      <c r="AL2179" s="9">
        <v>17.5</v>
      </c>
      <c r="AM2179" s="9">
        <v>11</v>
      </c>
      <c r="AN2179" s="9">
        <v>2.5</v>
      </c>
      <c r="AP2179"/>
    </row>
    <row r="2180" spans="1:42" x14ac:dyDescent="0.3">
      <c r="A2180" t="s">
        <v>128</v>
      </c>
      <c r="B2180" t="s">
        <v>1582</v>
      </c>
      <c r="C2180">
        <v>86</v>
      </c>
      <c r="D2180" s="8">
        <v>1.4403999999999999</v>
      </c>
      <c r="E2180">
        <v>100000</v>
      </c>
      <c r="G2180" t="s">
        <v>111</v>
      </c>
      <c r="H2180">
        <v>6.5</v>
      </c>
      <c r="I2180" s="4">
        <v>1.5</v>
      </c>
      <c r="J2180" s="3">
        <v>1344</v>
      </c>
      <c r="K2180" s="4">
        <v>20</v>
      </c>
      <c r="L2180" t="s">
        <v>140</v>
      </c>
      <c r="M2180" t="s">
        <v>28</v>
      </c>
      <c r="N2180" s="3">
        <v>1</v>
      </c>
      <c r="O2180" s="3">
        <v>0</v>
      </c>
      <c r="P2180">
        <v>22.5</v>
      </c>
      <c r="Q2180">
        <v>6.5</v>
      </c>
      <c r="R2180" t="s">
        <v>102</v>
      </c>
      <c r="S2180">
        <v>0</v>
      </c>
      <c r="T2180" s="6">
        <f>10^-(14-Q2180)</f>
        <v>3.1622776601683699E-8</v>
      </c>
      <c r="U2180" s="6">
        <v>0</v>
      </c>
      <c r="V2180" s="6">
        <v>0</v>
      </c>
      <c r="W2180" s="6">
        <v>0</v>
      </c>
      <c r="X2180" s="6">
        <v>0</v>
      </c>
      <c r="Y2180" t="s">
        <v>28</v>
      </c>
      <c r="Z2180" s="5">
        <v>193</v>
      </c>
      <c r="AA2180" s="3">
        <v>5.1688999999999998E-6</v>
      </c>
      <c r="AB2180" s="2">
        <v>0.3075</v>
      </c>
      <c r="AC2180" s="2">
        <v>3.8699999999999998E-2</v>
      </c>
      <c r="AD2180">
        <v>0.3</v>
      </c>
      <c r="AE2180">
        <v>829.5</v>
      </c>
      <c r="AF2180">
        <v>2</v>
      </c>
      <c r="AL2180" s="9">
        <v>17.5</v>
      </c>
      <c r="AM2180" s="9">
        <v>11</v>
      </c>
      <c r="AN2180" s="9">
        <v>2.5</v>
      </c>
      <c r="AP2180"/>
    </row>
    <row r="2181" spans="1:42" x14ac:dyDescent="0.3">
      <c r="A2181" t="s">
        <v>128</v>
      </c>
      <c r="B2181" t="s">
        <v>1582</v>
      </c>
      <c r="C2181">
        <v>86</v>
      </c>
      <c r="D2181" s="8">
        <v>1.4403999999999999</v>
      </c>
      <c r="E2181">
        <v>100000</v>
      </c>
      <c r="G2181" t="s">
        <v>111</v>
      </c>
      <c r="H2181">
        <v>6.5</v>
      </c>
      <c r="I2181" s="4">
        <v>1.5</v>
      </c>
      <c r="J2181" s="3">
        <v>1344</v>
      </c>
      <c r="K2181" s="4">
        <v>20</v>
      </c>
      <c r="L2181" t="s">
        <v>140</v>
      </c>
      <c r="M2181" t="s">
        <v>28</v>
      </c>
      <c r="N2181" s="3">
        <v>1</v>
      </c>
      <c r="O2181" s="3">
        <v>0</v>
      </c>
      <c r="P2181">
        <v>22.5</v>
      </c>
      <c r="Q2181">
        <v>6.5</v>
      </c>
      <c r="R2181" t="s">
        <v>102</v>
      </c>
      <c r="S2181">
        <v>0</v>
      </c>
      <c r="T2181" s="6">
        <f>10^-(14-Q2181)</f>
        <v>3.1622776601683699E-8</v>
      </c>
      <c r="U2181" s="6">
        <v>0</v>
      </c>
      <c r="V2181" s="6">
        <v>0</v>
      </c>
      <c r="W2181" s="6">
        <v>0</v>
      </c>
      <c r="X2181" s="6">
        <v>0</v>
      </c>
      <c r="Y2181" t="s">
        <v>28</v>
      </c>
      <c r="Z2181" s="5">
        <v>192</v>
      </c>
      <c r="AA2181" s="3">
        <v>2.3119080000000001E-6</v>
      </c>
      <c r="AB2181" s="2">
        <v>0.21179999999999999</v>
      </c>
      <c r="AC2181" s="2">
        <v>2.4899999999999999E-2</v>
      </c>
      <c r="AD2181">
        <v>0.3</v>
      </c>
      <c r="AE2181">
        <v>829.5</v>
      </c>
      <c r="AF2181">
        <v>2</v>
      </c>
      <c r="AL2181" s="9">
        <v>17.5</v>
      </c>
      <c r="AM2181" s="9">
        <v>11</v>
      </c>
      <c r="AN2181" s="9">
        <v>2.5</v>
      </c>
      <c r="AP2181"/>
    </row>
    <row r="2182" spans="1:42" x14ac:dyDescent="0.3">
      <c r="A2182" t="s">
        <v>129</v>
      </c>
      <c r="B2182" t="s">
        <v>1582</v>
      </c>
      <c r="C2182">
        <v>86</v>
      </c>
      <c r="D2182" s="8">
        <v>1.4403999999999999</v>
      </c>
      <c r="E2182">
        <v>100000</v>
      </c>
      <c r="G2182" t="s">
        <v>111</v>
      </c>
      <c r="H2182">
        <v>6.5</v>
      </c>
      <c r="I2182" s="4">
        <v>1.5</v>
      </c>
      <c r="J2182" s="3">
        <v>1344</v>
      </c>
      <c r="K2182" s="4">
        <v>20</v>
      </c>
      <c r="L2182" t="s">
        <v>140</v>
      </c>
      <c r="M2182" t="s">
        <v>28</v>
      </c>
      <c r="N2182" s="3">
        <v>1</v>
      </c>
      <c r="O2182" s="3">
        <v>0</v>
      </c>
      <c r="P2182">
        <v>22.5</v>
      </c>
      <c r="Q2182">
        <v>6.5</v>
      </c>
      <c r="R2182" t="s">
        <v>102</v>
      </c>
      <c r="S2182">
        <v>0</v>
      </c>
      <c r="T2182" s="6">
        <f>10^-(14-Q2182)</f>
        <v>3.1622776601683699E-8</v>
      </c>
      <c r="U2182" s="6">
        <v>0</v>
      </c>
      <c r="V2182" s="6">
        <v>0</v>
      </c>
      <c r="W2182" s="6">
        <v>0</v>
      </c>
      <c r="X2182" s="6">
        <v>0</v>
      </c>
      <c r="Y2182" t="s">
        <v>28</v>
      </c>
      <c r="Z2182" s="5">
        <v>27.9</v>
      </c>
      <c r="AA2182" s="3">
        <v>1.0071099999999999E-5</v>
      </c>
      <c r="AB2182" s="2">
        <v>0.20669999999999999</v>
      </c>
      <c r="AC2182" s="2">
        <v>2.7300000000000001E-2</v>
      </c>
      <c r="AD2182">
        <v>0.3</v>
      </c>
      <c r="AE2182">
        <v>828.8</v>
      </c>
      <c r="AF2182">
        <v>2</v>
      </c>
      <c r="AL2182" s="9">
        <v>17.5</v>
      </c>
      <c r="AM2182" s="9">
        <v>11</v>
      </c>
      <c r="AN2182" s="9">
        <v>2.5</v>
      </c>
      <c r="AP2182"/>
    </row>
    <row r="2183" spans="1:42" x14ac:dyDescent="0.3">
      <c r="A2183" t="s">
        <v>129</v>
      </c>
      <c r="B2183" t="s">
        <v>1582</v>
      </c>
      <c r="C2183">
        <v>86</v>
      </c>
      <c r="D2183" s="8">
        <v>1.4403999999999999</v>
      </c>
      <c r="E2183">
        <v>100000</v>
      </c>
      <c r="G2183" t="s">
        <v>111</v>
      </c>
      <c r="H2183">
        <v>6.5</v>
      </c>
      <c r="I2183" s="4">
        <v>1.5</v>
      </c>
      <c r="J2183" s="3">
        <v>1344</v>
      </c>
      <c r="K2183" s="4">
        <v>20</v>
      </c>
      <c r="L2183" t="s">
        <v>140</v>
      </c>
      <c r="M2183" t="s">
        <v>28</v>
      </c>
      <c r="N2183" s="3">
        <v>1</v>
      </c>
      <c r="O2183" s="3">
        <v>0</v>
      </c>
      <c r="P2183">
        <v>22.5</v>
      </c>
      <c r="Q2183">
        <v>6.5</v>
      </c>
      <c r="R2183" t="s">
        <v>102</v>
      </c>
      <c r="S2183">
        <v>0</v>
      </c>
      <c r="T2183" s="6">
        <f>10^-(14-Q2183)</f>
        <v>3.1622776601683699E-8</v>
      </c>
      <c r="U2183" s="6">
        <v>0</v>
      </c>
      <c r="V2183" s="6">
        <v>0</v>
      </c>
      <c r="W2183" s="6">
        <v>0</v>
      </c>
      <c r="X2183" s="6">
        <v>0</v>
      </c>
      <c r="Y2183" t="s">
        <v>28</v>
      </c>
      <c r="Z2183" s="5">
        <v>27.4</v>
      </c>
      <c r="AA2183" s="3">
        <v>1.071372E-5</v>
      </c>
      <c r="AB2183" s="2">
        <v>0.21179999999999999</v>
      </c>
      <c r="AC2183" s="2">
        <v>2.69E-2</v>
      </c>
      <c r="AD2183">
        <v>0.3</v>
      </c>
      <c r="AE2183">
        <v>828.8</v>
      </c>
      <c r="AF2183">
        <v>2</v>
      </c>
      <c r="AL2183" s="9">
        <v>17.5</v>
      </c>
      <c r="AM2183" s="9">
        <v>11</v>
      </c>
      <c r="AN2183" s="9">
        <v>2.5</v>
      </c>
      <c r="AP2183"/>
    </row>
    <row r="2184" spans="1:42" x14ac:dyDescent="0.3">
      <c r="A2184" t="s">
        <v>129</v>
      </c>
      <c r="B2184" t="s">
        <v>1582</v>
      </c>
      <c r="C2184">
        <v>86</v>
      </c>
      <c r="D2184" s="8">
        <v>1.4403999999999999</v>
      </c>
      <c r="E2184">
        <v>100000</v>
      </c>
      <c r="G2184" t="s">
        <v>111</v>
      </c>
      <c r="H2184">
        <v>6.5</v>
      </c>
      <c r="I2184" s="4">
        <v>1.5</v>
      </c>
      <c r="J2184" s="3">
        <v>1344</v>
      </c>
      <c r="K2184" s="4">
        <v>20</v>
      </c>
      <c r="L2184" t="s">
        <v>140</v>
      </c>
      <c r="M2184" t="s">
        <v>28</v>
      </c>
      <c r="N2184" s="3">
        <v>1</v>
      </c>
      <c r="O2184" s="3">
        <v>0</v>
      </c>
      <c r="P2184">
        <v>22.5</v>
      </c>
      <c r="Q2184">
        <v>6.5</v>
      </c>
      <c r="R2184" t="s">
        <v>102</v>
      </c>
      <c r="S2184">
        <v>0</v>
      </c>
      <c r="T2184" s="6">
        <f>10^-(14-Q2184)</f>
        <v>3.1622776601683699E-8</v>
      </c>
      <c r="U2184" s="6">
        <v>0</v>
      </c>
      <c r="V2184" s="6">
        <v>0</v>
      </c>
      <c r="W2184" s="6">
        <v>0</v>
      </c>
      <c r="X2184" s="6">
        <v>0</v>
      </c>
      <c r="Y2184" t="s">
        <v>28</v>
      </c>
      <c r="Z2184" s="5">
        <v>30.7</v>
      </c>
      <c r="AA2184" s="3">
        <v>1.6035019999999999E-5</v>
      </c>
      <c r="AB2184" s="2">
        <v>0.25230000000000002</v>
      </c>
      <c r="AC2184" s="2">
        <v>4.1000000000000002E-2</v>
      </c>
      <c r="AD2184">
        <v>0.3</v>
      </c>
      <c r="AE2184">
        <v>828.8</v>
      </c>
      <c r="AF2184">
        <v>2</v>
      </c>
      <c r="AL2184" s="9">
        <v>17.5</v>
      </c>
      <c r="AM2184" s="9">
        <v>11</v>
      </c>
      <c r="AN2184" s="9">
        <v>2.5</v>
      </c>
      <c r="AP2184"/>
    </row>
    <row r="2185" spans="1:42" x14ac:dyDescent="0.3">
      <c r="A2185" t="s">
        <v>130</v>
      </c>
      <c r="B2185" t="s">
        <v>1582</v>
      </c>
      <c r="C2185">
        <v>86</v>
      </c>
      <c r="D2185" s="8">
        <v>1.4403999999999999</v>
      </c>
      <c r="E2185">
        <v>100000</v>
      </c>
      <c r="G2185" t="s">
        <v>111</v>
      </c>
      <c r="H2185">
        <v>6.5</v>
      </c>
      <c r="I2185" s="4">
        <v>1.5</v>
      </c>
      <c r="J2185" s="3">
        <v>1344</v>
      </c>
      <c r="K2185" s="4">
        <v>20</v>
      </c>
      <c r="L2185" t="s">
        <v>140</v>
      </c>
      <c r="M2185" t="s">
        <v>28</v>
      </c>
      <c r="N2185" s="3">
        <v>1</v>
      </c>
      <c r="O2185" s="3">
        <v>0</v>
      </c>
      <c r="P2185">
        <v>22.5</v>
      </c>
      <c r="Q2185">
        <v>6.5</v>
      </c>
      <c r="R2185" t="s">
        <v>102</v>
      </c>
      <c r="S2185">
        <v>0</v>
      </c>
      <c r="T2185" s="6">
        <f>10^-(14-Q2185)</f>
        <v>3.1622776601683699E-8</v>
      </c>
      <c r="U2185" s="6">
        <v>0</v>
      </c>
      <c r="V2185" s="6">
        <v>0</v>
      </c>
      <c r="W2185" s="6">
        <v>0</v>
      </c>
      <c r="X2185" s="6">
        <v>0</v>
      </c>
      <c r="Y2185" t="s">
        <v>28</v>
      </c>
      <c r="Z2185" s="5">
        <v>65.900000000000006</v>
      </c>
      <c r="AA2185" s="3">
        <v>1.3533120000000001E-5</v>
      </c>
      <c r="AB2185" s="2">
        <v>0.28849999999999998</v>
      </c>
      <c r="AC2185" s="2">
        <v>3.4000000000000002E-2</v>
      </c>
      <c r="AD2185">
        <v>0.3</v>
      </c>
      <c r="AE2185">
        <v>829.3</v>
      </c>
      <c r="AF2185">
        <v>2</v>
      </c>
      <c r="AL2185" s="9">
        <v>17.5</v>
      </c>
      <c r="AM2185" s="9">
        <v>11</v>
      </c>
      <c r="AN2185" s="9">
        <v>2.5</v>
      </c>
      <c r="AP2185"/>
    </row>
    <row r="2186" spans="1:42" x14ac:dyDescent="0.3">
      <c r="A2186" t="s">
        <v>130</v>
      </c>
      <c r="B2186" t="s">
        <v>1582</v>
      </c>
      <c r="C2186">
        <v>86</v>
      </c>
      <c r="D2186" s="8">
        <v>1.4403999999999999</v>
      </c>
      <c r="E2186">
        <v>100000</v>
      </c>
      <c r="G2186" t="s">
        <v>111</v>
      </c>
      <c r="H2186">
        <v>6.5</v>
      </c>
      <c r="I2186" s="4">
        <v>1.5</v>
      </c>
      <c r="J2186" s="3">
        <v>1344</v>
      </c>
      <c r="K2186" s="4">
        <v>20</v>
      </c>
      <c r="L2186" t="s">
        <v>140</v>
      </c>
      <c r="M2186" t="s">
        <v>28</v>
      </c>
      <c r="N2186" s="3">
        <v>1</v>
      </c>
      <c r="O2186" s="3">
        <v>0</v>
      </c>
      <c r="P2186">
        <v>22.5</v>
      </c>
      <c r="Q2186">
        <v>6.5</v>
      </c>
      <c r="R2186" t="s">
        <v>102</v>
      </c>
      <c r="S2186">
        <v>0</v>
      </c>
      <c r="T2186" s="6">
        <f>10^-(14-Q2186)</f>
        <v>3.1622776601683699E-8</v>
      </c>
      <c r="U2186" s="6">
        <v>0</v>
      </c>
      <c r="V2186" s="6">
        <v>0</v>
      </c>
      <c r="W2186" s="6">
        <v>0</v>
      </c>
      <c r="X2186" s="6">
        <v>0</v>
      </c>
      <c r="Y2186" t="s">
        <v>28</v>
      </c>
      <c r="Z2186" s="5">
        <v>65.7</v>
      </c>
      <c r="AA2186" s="3">
        <v>9.5631E-6</v>
      </c>
      <c r="AB2186" s="2">
        <v>0.21870000000000001</v>
      </c>
      <c r="AC2186" s="2">
        <v>2.8199999999999999E-2</v>
      </c>
      <c r="AD2186">
        <v>0.3</v>
      </c>
      <c r="AE2186">
        <v>829.3</v>
      </c>
      <c r="AF2186">
        <v>2</v>
      </c>
      <c r="AL2186" s="9">
        <v>17.5</v>
      </c>
      <c r="AM2186" s="9">
        <v>11</v>
      </c>
      <c r="AN2186" s="9">
        <v>2.5</v>
      </c>
      <c r="AP2186"/>
    </row>
    <row r="2187" spans="1:42" x14ac:dyDescent="0.3">
      <c r="A2187" t="s">
        <v>130</v>
      </c>
      <c r="B2187" t="s">
        <v>1582</v>
      </c>
      <c r="C2187">
        <v>86</v>
      </c>
      <c r="D2187" s="8">
        <v>1.4403999999999999</v>
      </c>
      <c r="E2187">
        <v>100000</v>
      </c>
      <c r="G2187" t="s">
        <v>111</v>
      </c>
      <c r="H2187">
        <v>6.5</v>
      </c>
      <c r="I2187" s="4">
        <v>1.5</v>
      </c>
      <c r="J2187" s="3">
        <v>1344</v>
      </c>
      <c r="K2187" s="4">
        <v>20</v>
      </c>
      <c r="L2187" t="s">
        <v>140</v>
      </c>
      <c r="M2187" t="s">
        <v>28</v>
      </c>
      <c r="N2187" s="3">
        <v>1</v>
      </c>
      <c r="O2187" s="3">
        <v>0</v>
      </c>
      <c r="P2187">
        <v>22.5</v>
      </c>
      <c r="Q2187">
        <v>6.5</v>
      </c>
      <c r="R2187" t="s">
        <v>102</v>
      </c>
      <c r="S2187">
        <v>0</v>
      </c>
      <c r="T2187" s="6">
        <f>10^-(14-Q2187)</f>
        <v>3.1622776601683699E-8</v>
      </c>
      <c r="U2187" s="6">
        <v>0</v>
      </c>
      <c r="V2187" s="6">
        <v>0</v>
      </c>
      <c r="W2187" s="6">
        <v>0</v>
      </c>
      <c r="X2187" s="6">
        <v>0</v>
      </c>
      <c r="Y2187" t="s">
        <v>28</v>
      </c>
      <c r="Z2187" s="5">
        <v>65.8</v>
      </c>
      <c r="AA2187" s="3">
        <v>9.1719399999999988E-6</v>
      </c>
      <c r="AB2187" s="2">
        <v>0.21440000000000001</v>
      </c>
      <c r="AC2187" s="2">
        <v>2.7699999999999999E-2</v>
      </c>
      <c r="AD2187">
        <v>0.3</v>
      </c>
      <c r="AE2187">
        <v>829.3</v>
      </c>
      <c r="AF2187">
        <v>2</v>
      </c>
      <c r="AL2187" s="9">
        <v>17.5</v>
      </c>
      <c r="AM2187" s="9">
        <v>11</v>
      </c>
      <c r="AN2187" s="9">
        <v>2.5</v>
      </c>
      <c r="AP2187"/>
    </row>
    <row r="2188" spans="1:42" x14ac:dyDescent="0.3">
      <c r="A2188" t="s">
        <v>131</v>
      </c>
      <c r="B2188" t="s">
        <v>1582</v>
      </c>
      <c r="C2188">
        <v>86</v>
      </c>
      <c r="D2188" s="8">
        <v>1.4300999999999999</v>
      </c>
      <c r="E2188">
        <v>100000</v>
      </c>
      <c r="G2188" t="s">
        <v>102</v>
      </c>
      <c r="H2188" t="s">
        <v>987</v>
      </c>
      <c r="I2188" s="4">
        <v>1.5</v>
      </c>
      <c r="J2188" s="3">
        <v>0</v>
      </c>
      <c r="K2188" s="4">
        <v>20</v>
      </c>
      <c r="L2188" t="s">
        <v>140</v>
      </c>
      <c r="M2188" t="s">
        <v>28</v>
      </c>
      <c r="N2188" s="3">
        <v>1</v>
      </c>
      <c r="O2188" s="3">
        <v>0</v>
      </c>
      <c r="P2188">
        <v>22.5</v>
      </c>
      <c r="Q2188">
        <v>6.5</v>
      </c>
      <c r="R2188" t="s">
        <v>102</v>
      </c>
      <c r="S2188">
        <v>0</v>
      </c>
      <c r="T2188" s="6">
        <f>10^-(14-Q2188)</f>
        <v>3.1622776601683699E-8</v>
      </c>
      <c r="U2188" s="6">
        <v>0</v>
      </c>
      <c r="V2188" s="6">
        <v>0</v>
      </c>
      <c r="W2188" s="6">
        <v>0</v>
      </c>
      <c r="X2188" s="6">
        <v>0</v>
      </c>
      <c r="Y2188" t="s">
        <v>28</v>
      </c>
      <c r="Z2188" s="5">
        <v>-2.62</v>
      </c>
      <c r="AA2188" s="3">
        <v>1.3850619999999999E-5</v>
      </c>
      <c r="AB2188" s="2">
        <v>0.2802</v>
      </c>
      <c r="AC2188" s="2">
        <v>2.47E-2</v>
      </c>
      <c r="AD2188">
        <v>0.3</v>
      </c>
      <c r="AE2188">
        <v>825.5</v>
      </c>
      <c r="AF2188">
        <v>1</v>
      </c>
      <c r="AL2188" s="9">
        <v>17.5</v>
      </c>
      <c r="AM2188" s="9">
        <v>11</v>
      </c>
      <c r="AN2188" s="9">
        <v>2.5</v>
      </c>
      <c r="AP2188"/>
    </row>
    <row r="2189" spans="1:42" x14ac:dyDescent="0.3">
      <c r="A2189" t="s">
        <v>131</v>
      </c>
      <c r="B2189" t="s">
        <v>1582</v>
      </c>
      <c r="C2189">
        <v>86</v>
      </c>
      <c r="D2189" s="8">
        <v>1.4300999999999999</v>
      </c>
      <c r="E2189">
        <v>100000</v>
      </c>
      <c r="G2189" t="s">
        <v>102</v>
      </c>
      <c r="H2189" t="s">
        <v>987</v>
      </c>
      <c r="I2189" s="4">
        <v>1.5</v>
      </c>
      <c r="J2189" s="3">
        <v>0</v>
      </c>
      <c r="K2189" s="4">
        <v>20</v>
      </c>
      <c r="L2189" t="s">
        <v>140</v>
      </c>
      <c r="M2189" t="s">
        <v>28</v>
      </c>
      <c r="N2189" s="3">
        <v>1</v>
      </c>
      <c r="O2189" s="3">
        <v>0</v>
      </c>
      <c r="P2189">
        <v>22.5</v>
      </c>
      <c r="Q2189">
        <v>6.5</v>
      </c>
      <c r="R2189" t="s">
        <v>102</v>
      </c>
      <c r="S2189">
        <v>0</v>
      </c>
      <c r="T2189" s="6">
        <f>10^-(14-Q2189)</f>
        <v>3.1622776601683699E-8</v>
      </c>
      <c r="U2189" s="6">
        <v>0</v>
      </c>
      <c r="V2189" s="6">
        <v>0</v>
      </c>
      <c r="W2189" s="6">
        <v>0</v>
      </c>
      <c r="X2189" s="6">
        <v>0</v>
      </c>
      <c r="Y2189" t="s">
        <v>28</v>
      </c>
      <c r="Z2189" s="5">
        <v>-2.73</v>
      </c>
      <c r="AA2189" s="3">
        <v>1.1206479999999999E-5</v>
      </c>
      <c r="AB2189" s="2">
        <v>0.2364</v>
      </c>
      <c r="AC2189" s="2">
        <v>2.2200000000000001E-2</v>
      </c>
      <c r="AD2189">
        <v>0.3</v>
      </c>
      <c r="AE2189">
        <v>825.5</v>
      </c>
      <c r="AF2189">
        <v>1</v>
      </c>
      <c r="AL2189" s="9">
        <v>17.5</v>
      </c>
      <c r="AM2189" s="9">
        <v>11</v>
      </c>
      <c r="AN2189" s="9">
        <v>2.5</v>
      </c>
      <c r="AP2189"/>
    </row>
    <row r="2190" spans="1:42" x14ac:dyDescent="0.3">
      <c r="A2190" t="s">
        <v>131</v>
      </c>
      <c r="B2190" t="s">
        <v>1582</v>
      </c>
      <c r="C2190">
        <v>86</v>
      </c>
      <c r="D2190" s="8">
        <v>1.4300999999999999</v>
      </c>
      <c r="E2190">
        <v>100000</v>
      </c>
      <c r="G2190" t="s">
        <v>102</v>
      </c>
      <c r="H2190" t="s">
        <v>987</v>
      </c>
      <c r="I2190" s="4">
        <v>1.5</v>
      </c>
      <c r="J2190" s="3">
        <v>0</v>
      </c>
      <c r="K2190" s="4">
        <v>20</v>
      </c>
      <c r="L2190" t="s">
        <v>140</v>
      </c>
      <c r="M2190" t="s">
        <v>28</v>
      </c>
      <c r="N2190" s="3">
        <v>1</v>
      </c>
      <c r="O2190" s="3">
        <v>0</v>
      </c>
      <c r="P2190">
        <v>22.5</v>
      </c>
      <c r="Q2190">
        <v>6.5</v>
      </c>
      <c r="R2190" t="s">
        <v>102</v>
      </c>
      <c r="S2190">
        <v>0</v>
      </c>
      <c r="T2190" s="6">
        <f>10^-(14-Q2190)</f>
        <v>3.1622776601683699E-8</v>
      </c>
      <c r="U2190" s="6">
        <v>0</v>
      </c>
      <c r="V2190" s="6">
        <v>0</v>
      </c>
      <c r="W2190" s="6">
        <v>0</v>
      </c>
      <c r="X2190" s="6">
        <v>0</v>
      </c>
      <c r="Y2190" t="s">
        <v>28</v>
      </c>
      <c r="Z2190" s="5">
        <v>-2.72</v>
      </c>
      <c r="AA2190" s="3">
        <v>1.1808459999999999E-5</v>
      </c>
      <c r="AB2190" s="2">
        <v>0.2414</v>
      </c>
      <c r="AC2190" s="2">
        <v>2.2700000000000001E-2</v>
      </c>
      <c r="AD2190">
        <v>0.3</v>
      </c>
      <c r="AE2190">
        <v>825.5</v>
      </c>
      <c r="AF2190">
        <v>1</v>
      </c>
      <c r="AL2190" s="9">
        <v>17.5</v>
      </c>
      <c r="AM2190" s="9">
        <v>11</v>
      </c>
      <c r="AN2190" s="9">
        <v>2.5</v>
      </c>
      <c r="AP2190"/>
    </row>
    <row r="2191" spans="1:42" x14ac:dyDescent="0.3">
      <c r="A2191" t="s">
        <v>132</v>
      </c>
      <c r="B2191" t="s">
        <v>1582</v>
      </c>
      <c r="C2191">
        <v>86</v>
      </c>
      <c r="D2191" s="8">
        <v>1.4403999999999999</v>
      </c>
      <c r="E2191">
        <v>100000</v>
      </c>
      <c r="G2191" t="s">
        <v>111</v>
      </c>
      <c r="H2191">
        <v>6.5</v>
      </c>
      <c r="I2191" s="4">
        <v>1.5</v>
      </c>
      <c r="J2191" s="3">
        <v>1344</v>
      </c>
      <c r="K2191" s="4">
        <v>20</v>
      </c>
      <c r="L2191" t="s">
        <v>140</v>
      </c>
      <c r="M2191" t="s">
        <v>28</v>
      </c>
      <c r="N2191" s="3">
        <v>0.1</v>
      </c>
      <c r="O2191" s="3">
        <v>0</v>
      </c>
      <c r="P2191">
        <v>22.5</v>
      </c>
      <c r="Q2191">
        <v>6.5</v>
      </c>
      <c r="R2191" t="s">
        <v>102</v>
      </c>
      <c r="S2191">
        <v>0</v>
      </c>
      <c r="T2191" s="6">
        <f>10^-(14-Q2191)</f>
        <v>3.1622776601683699E-8</v>
      </c>
      <c r="U2191" s="6">
        <v>0</v>
      </c>
      <c r="V2191" s="6">
        <v>0</v>
      </c>
      <c r="W2191" s="6">
        <v>0</v>
      </c>
      <c r="X2191" s="6">
        <v>0</v>
      </c>
      <c r="Y2191" t="s">
        <v>28</v>
      </c>
      <c r="Z2191" s="5">
        <v>84.3</v>
      </c>
      <c r="AA2191" s="3">
        <v>1.031494E-5</v>
      </c>
      <c r="AB2191" s="2">
        <v>0.52380000000000004</v>
      </c>
      <c r="AC2191" s="2">
        <v>3.0700000000000002E-2</v>
      </c>
      <c r="AD2191">
        <v>0.3</v>
      </c>
      <c r="AE2191">
        <v>826.3</v>
      </c>
      <c r="AF2191">
        <v>2</v>
      </c>
      <c r="AL2191" s="9">
        <v>17.5</v>
      </c>
      <c r="AM2191" s="9">
        <v>11</v>
      </c>
      <c r="AN2191" s="9">
        <v>2.5</v>
      </c>
      <c r="AP2191"/>
    </row>
    <row r="2192" spans="1:42" x14ac:dyDescent="0.3">
      <c r="A2192" t="s">
        <v>132</v>
      </c>
      <c r="B2192" t="s">
        <v>1582</v>
      </c>
      <c r="C2192">
        <v>86</v>
      </c>
      <c r="D2192" s="8">
        <v>1.4403999999999999</v>
      </c>
      <c r="E2192">
        <v>100000</v>
      </c>
      <c r="G2192" t="s">
        <v>111</v>
      </c>
      <c r="H2192">
        <v>6.5</v>
      </c>
      <c r="I2192" s="4">
        <v>1.5</v>
      </c>
      <c r="J2192" s="3">
        <v>1344</v>
      </c>
      <c r="K2192" s="4">
        <v>20</v>
      </c>
      <c r="L2192" t="s">
        <v>140</v>
      </c>
      <c r="M2192" t="s">
        <v>28</v>
      </c>
      <c r="N2192" s="3">
        <v>0.1</v>
      </c>
      <c r="O2192" s="3">
        <v>0</v>
      </c>
      <c r="P2192">
        <v>22.5</v>
      </c>
      <c r="Q2192">
        <v>6.5</v>
      </c>
      <c r="R2192" t="s">
        <v>102</v>
      </c>
      <c r="S2192">
        <v>0</v>
      </c>
      <c r="T2192" s="6">
        <f>10^-(14-Q2192)</f>
        <v>3.1622776601683699E-8</v>
      </c>
      <c r="U2192" s="6">
        <v>0</v>
      </c>
      <c r="V2192" s="6">
        <v>0</v>
      </c>
      <c r="W2192" s="6">
        <v>0</v>
      </c>
      <c r="X2192" s="6">
        <v>0</v>
      </c>
      <c r="Y2192" t="s">
        <v>28</v>
      </c>
      <c r="Z2192" s="5">
        <v>79.900000000000006</v>
      </c>
      <c r="AA2192" s="3">
        <v>9.0220799999999999E-6</v>
      </c>
      <c r="AB2192" s="2">
        <v>0.4556</v>
      </c>
      <c r="AC2192" s="2">
        <v>1.7000000000000001E-2</v>
      </c>
      <c r="AD2192">
        <v>0.3</v>
      </c>
      <c r="AE2192">
        <v>826.3</v>
      </c>
      <c r="AF2192">
        <v>2</v>
      </c>
      <c r="AL2192" s="9">
        <v>17.5</v>
      </c>
      <c r="AM2192" s="9">
        <v>11</v>
      </c>
      <c r="AN2192" s="9">
        <v>2.5</v>
      </c>
      <c r="AP2192"/>
    </row>
    <row r="2193" spans="1:42" x14ac:dyDescent="0.3">
      <c r="A2193" t="s">
        <v>132</v>
      </c>
      <c r="B2193" t="s">
        <v>1582</v>
      </c>
      <c r="C2193">
        <v>86</v>
      </c>
      <c r="D2193" s="8">
        <v>1.4403999999999999</v>
      </c>
      <c r="E2193">
        <v>100000</v>
      </c>
      <c r="G2193" t="s">
        <v>111</v>
      </c>
      <c r="H2193">
        <v>6.5</v>
      </c>
      <c r="I2193" s="4">
        <v>1.5</v>
      </c>
      <c r="J2193" s="3">
        <v>1344</v>
      </c>
      <c r="K2193" s="4">
        <v>20</v>
      </c>
      <c r="L2193" t="s">
        <v>140</v>
      </c>
      <c r="M2193" t="s">
        <v>28</v>
      </c>
      <c r="N2193" s="3">
        <v>0.1</v>
      </c>
      <c r="O2193" s="3">
        <v>0</v>
      </c>
      <c r="P2193">
        <v>22.5</v>
      </c>
      <c r="Q2193">
        <v>6.5</v>
      </c>
      <c r="R2193" t="s">
        <v>102</v>
      </c>
      <c r="S2193">
        <v>0</v>
      </c>
      <c r="T2193" s="6">
        <f>10^-(14-Q2193)</f>
        <v>3.1622776601683699E-8</v>
      </c>
      <c r="U2193" s="6">
        <v>0</v>
      </c>
      <c r="V2193" s="6">
        <v>0</v>
      </c>
      <c r="W2193" s="6">
        <v>0</v>
      </c>
      <c r="X2193" s="6">
        <v>0</v>
      </c>
      <c r="Y2193" t="s">
        <v>28</v>
      </c>
      <c r="Z2193" s="5">
        <v>79.900000000000006</v>
      </c>
      <c r="AA2193" s="3">
        <v>8.9915999999999987E-6</v>
      </c>
      <c r="AB2193" s="2">
        <v>0.45279999999999998</v>
      </c>
      <c r="AC2193" s="2">
        <v>1.6899999999999998E-2</v>
      </c>
      <c r="AD2193">
        <v>0.3</v>
      </c>
      <c r="AE2193">
        <v>826.3</v>
      </c>
      <c r="AF2193">
        <v>2</v>
      </c>
      <c r="AL2193" s="9">
        <v>17.5</v>
      </c>
      <c r="AM2193" s="9">
        <v>11</v>
      </c>
      <c r="AN2193" s="9">
        <v>2.5</v>
      </c>
      <c r="AP2193"/>
    </row>
    <row r="2194" spans="1:42" x14ac:dyDescent="0.3">
      <c r="A2194" t="s">
        <v>133</v>
      </c>
      <c r="B2194" t="s">
        <v>1582</v>
      </c>
      <c r="C2194">
        <v>86</v>
      </c>
      <c r="D2194" s="8">
        <v>1.4403999999999999</v>
      </c>
      <c r="E2194">
        <v>100000</v>
      </c>
      <c r="G2194" t="s">
        <v>111</v>
      </c>
      <c r="H2194">
        <v>6.5</v>
      </c>
      <c r="I2194" s="4">
        <v>1.5</v>
      </c>
      <c r="J2194" s="3">
        <v>1344</v>
      </c>
      <c r="K2194" s="4">
        <v>20</v>
      </c>
      <c r="L2194" t="s">
        <v>140</v>
      </c>
      <c r="M2194" t="s">
        <v>28</v>
      </c>
      <c r="N2194" s="3">
        <v>0.1</v>
      </c>
      <c r="O2194" s="3">
        <v>0</v>
      </c>
      <c r="P2194">
        <v>22.5</v>
      </c>
      <c r="Q2194">
        <v>6.5</v>
      </c>
      <c r="R2194" t="s">
        <v>102</v>
      </c>
      <c r="S2194">
        <v>0</v>
      </c>
      <c r="T2194" s="6">
        <f>10^-(14-Q2194)</f>
        <v>3.1622776601683699E-8</v>
      </c>
      <c r="U2194" s="6">
        <v>0</v>
      </c>
      <c r="V2194" s="6">
        <v>0</v>
      </c>
      <c r="W2194" s="6">
        <v>0</v>
      </c>
      <c r="X2194" s="6">
        <v>0</v>
      </c>
      <c r="Y2194" t="s">
        <v>28</v>
      </c>
      <c r="Z2194" s="5">
        <v>56.8</v>
      </c>
      <c r="AA2194" s="3">
        <v>1.8074639999999997E-5</v>
      </c>
      <c r="AB2194" s="2">
        <v>0.59119999999999995</v>
      </c>
      <c r="AC2194" s="2">
        <v>1.43E-2</v>
      </c>
      <c r="AD2194">
        <v>0.3</v>
      </c>
      <c r="AE2194">
        <v>824.9</v>
      </c>
      <c r="AF2194">
        <v>2</v>
      </c>
      <c r="AL2194" s="9">
        <v>17.5</v>
      </c>
      <c r="AM2194" s="9">
        <v>11</v>
      </c>
      <c r="AN2194" s="9">
        <v>2.5</v>
      </c>
      <c r="AP2194"/>
    </row>
    <row r="2195" spans="1:42" x14ac:dyDescent="0.3">
      <c r="A2195" t="s">
        <v>133</v>
      </c>
      <c r="B2195" t="s">
        <v>1582</v>
      </c>
      <c r="C2195">
        <v>86</v>
      </c>
      <c r="D2195" s="8">
        <v>1.4403999999999999</v>
      </c>
      <c r="E2195">
        <v>100000</v>
      </c>
      <c r="G2195" t="s">
        <v>111</v>
      </c>
      <c r="H2195">
        <v>6.5</v>
      </c>
      <c r="I2195" s="4">
        <v>1.5</v>
      </c>
      <c r="J2195" s="3">
        <v>1344</v>
      </c>
      <c r="K2195" s="4">
        <v>20</v>
      </c>
      <c r="L2195" t="s">
        <v>140</v>
      </c>
      <c r="M2195" t="s">
        <v>28</v>
      </c>
      <c r="N2195" s="3">
        <v>0.1</v>
      </c>
      <c r="O2195" s="3">
        <v>0</v>
      </c>
      <c r="P2195">
        <v>22.5</v>
      </c>
      <c r="Q2195">
        <v>6.5</v>
      </c>
      <c r="R2195" t="s">
        <v>102</v>
      </c>
      <c r="S2195">
        <v>0</v>
      </c>
      <c r="T2195" s="6">
        <f>10^-(14-Q2195)</f>
        <v>3.1622776601683699E-8</v>
      </c>
      <c r="U2195" s="6">
        <v>0</v>
      </c>
      <c r="V2195" s="6">
        <v>0</v>
      </c>
      <c r="W2195" s="6">
        <v>0</v>
      </c>
      <c r="X2195" s="6">
        <v>0</v>
      </c>
      <c r="Y2195" t="s">
        <v>28</v>
      </c>
      <c r="Z2195" s="5">
        <v>59</v>
      </c>
      <c r="AA2195" s="3">
        <v>1.50114E-5</v>
      </c>
      <c r="AB2195" s="2">
        <v>0.41449999999999998</v>
      </c>
      <c r="AC2195" s="2">
        <v>1.66E-2</v>
      </c>
      <c r="AD2195">
        <v>0.3</v>
      </c>
      <c r="AE2195">
        <v>824.9</v>
      </c>
      <c r="AF2195">
        <v>2</v>
      </c>
      <c r="AL2195" s="9">
        <v>17.5</v>
      </c>
      <c r="AM2195" s="9">
        <v>11</v>
      </c>
      <c r="AN2195" s="9">
        <v>2.5</v>
      </c>
      <c r="AP2195"/>
    </row>
    <row r="2196" spans="1:42" x14ac:dyDescent="0.3">
      <c r="A2196" t="s">
        <v>133</v>
      </c>
      <c r="B2196" t="s">
        <v>1582</v>
      </c>
      <c r="C2196">
        <v>86</v>
      </c>
      <c r="D2196" s="8">
        <v>1.4403999999999999</v>
      </c>
      <c r="E2196">
        <v>100000</v>
      </c>
      <c r="G2196" t="s">
        <v>111</v>
      </c>
      <c r="H2196">
        <v>6.5</v>
      </c>
      <c r="I2196" s="4">
        <v>1.5</v>
      </c>
      <c r="J2196" s="3">
        <v>1344</v>
      </c>
      <c r="K2196" s="4">
        <v>20</v>
      </c>
      <c r="L2196" t="s">
        <v>140</v>
      </c>
      <c r="M2196" t="s">
        <v>28</v>
      </c>
      <c r="N2196" s="3">
        <v>0.1</v>
      </c>
      <c r="O2196" s="3">
        <v>0</v>
      </c>
      <c r="P2196">
        <v>22.5</v>
      </c>
      <c r="Q2196">
        <v>6.5</v>
      </c>
      <c r="R2196" t="s">
        <v>102</v>
      </c>
      <c r="S2196">
        <v>0</v>
      </c>
      <c r="T2196" s="6">
        <f>10^-(14-Q2196)</f>
        <v>3.1622776601683699E-8</v>
      </c>
      <c r="U2196" s="6">
        <v>0</v>
      </c>
      <c r="V2196" s="6">
        <v>0</v>
      </c>
      <c r="W2196" s="6">
        <v>0</v>
      </c>
      <c r="X2196" s="6">
        <v>0</v>
      </c>
      <c r="Y2196" t="s">
        <v>28</v>
      </c>
      <c r="Z2196" s="5">
        <v>59.3</v>
      </c>
      <c r="AA2196" s="3">
        <v>8.9890599999999989E-6</v>
      </c>
      <c r="AB2196" s="2">
        <v>0.2898</v>
      </c>
      <c r="AC2196" s="2">
        <v>1.35E-2</v>
      </c>
      <c r="AD2196">
        <v>0.3</v>
      </c>
      <c r="AE2196">
        <v>824.9</v>
      </c>
      <c r="AF2196">
        <v>2</v>
      </c>
      <c r="AL2196" s="9">
        <v>17.5</v>
      </c>
      <c r="AM2196" s="9">
        <v>11</v>
      </c>
      <c r="AN2196" s="9">
        <v>2.5</v>
      </c>
      <c r="AP2196"/>
    </row>
    <row r="2197" spans="1:42" x14ac:dyDescent="0.3">
      <c r="A2197" t="s">
        <v>133</v>
      </c>
      <c r="B2197" t="s">
        <v>1582</v>
      </c>
      <c r="C2197">
        <v>86</v>
      </c>
      <c r="D2197" s="8">
        <v>1.4403999999999999</v>
      </c>
      <c r="E2197">
        <v>100000</v>
      </c>
      <c r="G2197" t="s">
        <v>111</v>
      </c>
      <c r="H2197">
        <v>6.5</v>
      </c>
      <c r="I2197" s="4">
        <v>1.5</v>
      </c>
      <c r="J2197" s="3">
        <v>1344</v>
      </c>
      <c r="K2197" s="4">
        <v>20</v>
      </c>
      <c r="L2197" t="s">
        <v>140</v>
      </c>
      <c r="M2197" t="s">
        <v>28</v>
      </c>
      <c r="N2197" s="3">
        <v>0.1</v>
      </c>
      <c r="O2197" s="3">
        <v>0</v>
      </c>
      <c r="P2197">
        <v>22.5</v>
      </c>
      <c r="Q2197">
        <v>6.5</v>
      </c>
      <c r="R2197" t="s">
        <v>102</v>
      </c>
      <c r="S2197">
        <v>0</v>
      </c>
      <c r="T2197" s="6">
        <f>10^-(14-Q2197)</f>
        <v>3.1622776601683699E-8</v>
      </c>
      <c r="U2197" s="6">
        <v>0</v>
      </c>
      <c r="V2197" s="6">
        <v>0</v>
      </c>
      <c r="W2197" s="6">
        <v>0</v>
      </c>
      <c r="X2197" s="6">
        <v>0</v>
      </c>
      <c r="Y2197" t="s">
        <v>28</v>
      </c>
      <c r="Z2197" s="5">
        <v>57.9</v>
      </c>
      <c r="AA2197" s="3">
        <v>1.8973800000000001E-5</v>
      </c>
      <c r="AB2197" s="2">
        <v>0.64449999999999996</v>
      </c>
      <c r="AC2197" s="2">
        <v>1.6199999999999999E-2</v>
      </c>
      <c r="AD2197">
        <v>0.3</v>
      </c>
      <c r="AE2197">
        <v>824.9</v>
      </c>
      <c r="AF2197">
        <v>2</v>
      </c>
      <c r="AL2197" s="9">
        <v>17.5</v>
      </c>
      <c r="AM2197" s="9">
        <v>11</v>
      </c>
      <c r="AN2197" s="9">
        <v>2.5</v>
      </c>
      <c r="AP2197"/>
    </row>
    <row r="2198" spans="1:42" x14ac:dyDescent="0.3">
      <c r="A2198" t="s">
        <v>133</v>
      </c>
      <c r="B2198" t="s">
        <v>1582</v>
      </c>
      <c r="C2198">
        <v>86</v>
      </c>
      <c r="D2198" s="8">
        <v>1.4403999999999999</v>
      </c>
      <c r="E2198">
        <v>100000</v>
      </c>
      <c r="G2198" t="s">
        <v>111</v>
      </c>
      <c r="H2198">
        <v>6.5</v>
      </c>
      <c r="I2198" s="4">
        <v>1.5</v>
      </c>
      <c r="J2198" s="3">
        <v>1344</v>
      </c>
      <c r="K2198" s="4">
        <v>20</v>
      </c>
      <c r="L2198" t="s">
        <v>140</v>
      </c>
      <c r="M2198" t="s">
        <v>28</v>
      </c>
      <c r="N2198" s="3">
        <v>0.1</v>
      </c>
      <c r="O2198" s="3">
        <v>0</v>
      </c>
      <c r="P2198">
        <v>22.5</v>
      </c>
      <c r="Q2198">
        <v>6.5</v>
      </c>
      <c r="R2198" t="s">
        <v>102</v>
      </c>
      <c r="S2198">
        <v>0</v>
      </c>
      <c r="T2198" s="6">
        <f>10^-(14-Q2198)</f>
        <v>3.1622776601683699E-8</v>
      </c>
      <c r="U2198" s="6">
        <v>0</v>
      </c>
      <c r="V2198" s="6">
        <v>0</v>
      </c>
      <c r="W2198" s="6">
        <v>0</v>
      </c>
      <c r="X2198" s="6">
        <v>0</v>
      </c>
      <c r="Y2198" t="s">
        <v>28</v>
      </c>
      <c r="Z2198" s="5">
        <v>58</v>
      </c>
      <c r="AA2198" s="3">
        <v>1.4909799999999999E-5</v>
      </c>
      <c r="AB2198" s="2">
        <v>0.41620000000000001</v>
      </c>
      <c r="AC2198" s="2">
        <v>1.47E-2</v>
      </c>
      <c r="AD2198">
        <v>0.3</v>
      </c>
      <c r="AE2198">
        <v>824.9</v>
      </c>
      <c r="AF2198">
        <v>2</v>
      </c>
      <c r="AL2198" s="9">
        <v>17.5</v>
      </c>
      <c r="AM2198" s="9">
        <v>11</v>
      </c>
      <c r="AN2198" s="9">
        <v>2.5</v>
      </c>
      <c r="AP2198"/>
    </row>
    <row r="2199" spans="1:42" x14ac:dyDescent="0.3">
      <c r="A2199" t="s">
        <v>133</v>
      </c>
      <c r="B2199" t="s">
        <v>1582</v>
      </c>
      <c r="C2199">
        <v>86</v>
      </c>
      <c r="D2199" s="8">
        <v>1.4403999999999999</v>
      </c>
      <c r="E2199">
        <v>100000</v>
      </c>
      <c r="G2199" t="s">
        <v>111</v>
      </c>
      <c r="H2199">
        <v>6.5</v>
      </c>
      <c r="I2199" s="4">
        <v>1.5</v>
      </c>
      <c r="J2199" s="3">
        <v>1344</v>
      </c>
      <c r="K2199" s="4">
        <v>20</v>
      </c>
      <c r="L2199" t="s">
        <v>140</v>
      </c>
      <c r="M2199" t="s">
        <v>28</v>
      </c>
      <c r="N2199" s="3">
        <v>0.1</v>
      </c>
      <c r="O2199" s="3">
        <v>0</v>
      </c>
      <c r="P2199">
        <v>22.5</v>
      </c>
      <c r="Q2199">
        <v>6.5</v>
      </c>
      <c r="R2199" t="s">
        <v>102</v>
      </c>
      <c r="S2199">
        <v>0</v>
      </c>
      <c r="T2199" s="6">
        <f>10^-(14-Q2199)</f>
        <v>3.1622776601683699E-8</v>
      </c>
      <c r="U2199" s="6">
        <v>0</v>
      </c>
      <c r="V2199" s="6">
        <v>0</v>
      </c>
      <c r="W2199" s="6">
        <v>0</v>
      </c>
      <c r="X2199" s="6">
        <v>0</v>
      </c>
      <c r="Y2199" t="s">
        <v>28</v>
      </c>
      <c r="Z2199" s="5">
        <v>58.7</v>
      </c>
      <c r="AA2199" s="3">
        <v>9.0779600000000007E-6</v>
      </c>
      <c r="AB2199" s="2">
        <v>0.2918</v>
      </c>
      <c r="AC2199" s="2">
        <v>1.2800000000000001E-2</v>
      </c>
      <c r="AD2199">
        <v>0.3</v>
      </c>
      <c r="AE2199">
        <v>824.9</v>
      </c>
      <c r="AF2199">
        <v>2</v>
      </c>
      <c r="AL2199" s="9">
        <v>17.5</v>
      </c>
      <c r="AM2199" s="9">
        <v>11</v>
      </c>
      <c r="AN2199" s="9">
        <v>2.5</v>
      </c>
      <c r="AP2199"/>
    </row>
    <row r="2200" spans="1:42" x14ac:dyDescent="0.3">
      <c r="A2200" t="s">
        <v>1966</v>
      </c>
      <c r="B2200" s="8" t="s">
        <v>1965</v>
      </c>
      <c r="C2200">
        <v>87</v>
      </c>
      <c r="D2200" s="8">
        <v>1.4403999999999999</v>
      </c>
      <c r="E2200">
        <v>1200</v>
      </c>
      <c r="G2200" t="s">
        <v>102</v>
      </c>
      <c r="H2200" t="s">
        <v>987</v>
      </c>
      <c r="L2200" t="s">
        <v>140</v>
      </c>
      <c r="M2200" t="s">
        <v>171</v>
      </c>
      <c r="N2200" s="3">
        <v>0.1</v>
      </c>
      <c r="O2200" s="3">
        <v>0</v>
      </c>
      <c r="P2200">
        <v>22.5</v>
      </c>
      <c r="Q2200">
        <v>6.5</v>
      </c>
      <c r="R2200" t="s">
        <v>102</v>
      </c>
      <c r="S2200">
        <v>0</v>
      </c>
      <c r="T2200" s="6">
        <f>10^-(14-Q2200)</f>
        <v>3.1622776601683699E-8</v>
      </c>
      <c r="U2200" s="6">
        <v>0</v>
      </c>
      <c r="V2200" s="6">
        <v>0</v>
      </c>
      <c r="W2200" s="6">
        <v>0</v>
      </c>
      <c r="X2200" s="6">
        <v>0</v>
      </c>
      <c r="Y2200" t="s">
        <v>171</v>
      </c>
      <c r="AE2200">
        <v>432</v>
      </c>
      <c r="AF2200">
        <v>1</v>
      </c>
      <c r="AL2200" s="9">
        <v>17.5</v>
      </c>
      <c r="AM2200" s="9">
        <v>11</v>
      </c>
      <c r="AN2200" s="9">
        <v>2.5</v>
      </c>
      <c r="AP2200"/>
    </row>
    <row r="2201" spans="1:42" x14ac:dyDescent="0.3">
      <c r="A2201" t="s">
        <v>1967</v>
      </c>
      <c r="B2201" s="8" t="s">
        <v>1965</v>
      </c>
      <c r="C2201">
        <v>87</v>
      </c>
      <c r="D2201" s="8">
        <v>1.4403999999999999</v>
      </c>
      <c r="G2201" t="s">
        <v>29</v>
      </c>
      <c r="H2201" t="s">
        <v>987</v>
      </c>
      <c r="J2201" s="3">
        <v>24</v>
      </c>
      <c r="L2201" t="s">
        <v>140</v>
      </c>
      <c r="M2201" t="s">
        <v>171</v>
      </c>
      <c r="N2201" s="3">
        <v>0.5</v>
      </c>
      <c r="O2201" s="3">
        <v>0</v>
      </c>
      <c r="P2201">
        <v>22.5</v>
      </c>
      <c r="Q2201">
        <v>6.5</v>
      </c>
      <c r="R2201" t="s">
        <v>102</v>
      </c>
      <c r="S2201">
        <v>0</v>
      </c>
      <c r="T2201" s="6">
        <f>10^-(14-Q2201)</f>
        <v>3.1622776601683699E-8</v>
      </c>
      <c r="U2201" s="6">
        <v>0</v>
      </c>
      <c r="V2201" s="6">
        <v>0</v>
      </c>
      <c r="W2201" s="6">
        <v>0</v>
      </c>
      <c r="X2201" s="6">
        <v>0</v>
      </c>
      <c r="Y2201" t="s">
        <v>171</v>
      </c>
      <c r="AE2201">
        <v>425</v>
      </c>
      <c r="AF2201">
        <v>1</v>
      </c>
      <c r="AL2201" s="9">
        <v>17.5</v>
      </c>
      <c r="AM2201" s="9">
        <v>11</v>
      </c>
      <c r="AN2201" s="9">
        <v>2.5</v>
      </c>
      <c r="AP2201"/>
    </row>
    <row r="2202" spans="1:42" x14ac:dyDescent="0.3">
      <c r="A2202" t="s">
        <v>1968</v>
      </c>
      <c r="B2202" s="8" t="s">
        <v>1965</v>
      </c>
      <c r="C2202">
        <v>87</v>
      </c>
      <c r="D2202" s="8">
        <v>1.4403999999999999</v>
      </c>
      <c r="E2202">
        <v>1200</v>
      </c>
      <c r="G2202" t="s">
        <v>102</v>
      </c>
      <c r="H2202" t="s">
        <v>987</v>
      </c>
      <c r="L2202" t="s">
        <v>140</v>
      </c>
      <c r="M2202" t="s">
        <v>171</v>
      </c>
      <c r="N2202" s="3">
        <v>0.51</v>
      </c>
      <c r="O2202" s="3">
        <v>0</v>
      </c>
      <c r="P2202">
        <v>22.5</v>
      </c>
      <c r="Q2202">
        <v>6.5</v>
      </c>
      <c r="R2202" t="s">
        <v>102</v>
      </c>
      <c r="S2202">
        <v>0</v>
      </c>
      <c r="T2202" s="6">
        <f>10^-(14-Q2202)</f>
        <v>3.1622776601683699E-8</v>
      </c>
      <c r="U2202" s="6">
        <v>0</v>
      </c>
      <c r="V2202" s="6">
        <v>0</v>
      </c>
      <c r="W2202" s="6">
        <v>0</v>
      </c>
      <c r="X2202" s="6">
        <v>0</v>
      </c>
      <c r="Y2202" t="s">
        <v>171</v>
      </c>
      <c r="AE2202">
        <v>911</v>
      </c>
      <c r="AF2202">
        <v>1</v>
      </c>
      <c r="AL2202" s="9">
        <v>17.5</v>
      </c>
      <c r="AM2202" s="9">
        <v>11</v>
      </c>
      <c r="AN2202" s="9">
        <v>2.5</v>
      </c>
      <c r="AP2202"/>
    </row>
    <row r="2203" spans="1:42" x14ac:dyDescent="0.3">
      <c r="A2203" t="s">
        <v>1969</v>
      </c>
      <c r="B2203" s="8" t="s">
        <v>1965</v>
      </c>
      <c r="C2203">
        <v>87</v>
      </c>
      <c r="D2203" s="8">
        <v>1.4403999999999999</v>
      </c>
      <c r="E2203">
        <v>600</v>
      </c>
      <c r="G2203" t="s">
        <v>31</v>
      </c>
      <c r="H2203">
        <v>-1.2</v>
      </c>
      <c r="I2203" s="4">
        <v>1</v>
      </c>
      <c r="L2203" t="s">
        <v>140</v>
      </c>
      <c r="M2203" t="s">
        <v>171</v>
      </c>
      <c r="N2203" s="3">
        <v>0.4701816467790596</v>
      </c>
      <c r="O2203" s="3">
        <v>0</v>
      </c>
      <c r="P2203">
        <v>22.5</v>
      </c>
      <c r="Q2203">
        <v>6.5</v>
      </c>
      <c r="R2203" t="s">
        <v>102</v>
      </c>
      <c r="S2203">
        <v>0</v>
      </c>
      <c r="T2203" s="6">
        <f>10^-(14-Q2203)</f>
        <v>3.1622776601683699E-8</v>
      </c>
      <c r="U2203" s="6">
        <v>0</v>
      </c>
      <c r="V2203" s="6">
        <v>0</v>
      </c>
      <c r="W2203" s="6">
        <v>0</v>
      </c>
      <c r="X2203" s="6">
        <v>0</v>
      </c>
      <c r="Y2203" t="s">
        <v>171</v>
      </c>
      <c r="AE2203">
        <v>300</v>
      </c>
      <c r="AF2203">
        <v>1</v>
      </c>
      <c r="AL2203" s="9">
        <v>17.5</v>
      </c>
      <c r="AM2203" s="9">
        <v>11</v>
      </c>
      <c r="AN2203" s="9">
        <v>2.5</v>
      </c>
      <c r="AP2203"/>
    </row>
    <row r="2204" spans="1:42" x14ac:dyDescent="0.3">
      <c r="A2204" t="s">
        <v>1970</v>
      </c>
      <c r="B2204" s="8" t="s">
        <v>1965</v>
      </c>
      <c r="C2204">
        <v>87</v>
      </c>
      <c r="D2204" s="8">
        <v>1.4403999999999999</v>
      </c>
      <c r="H2204" t="s">
        <v>987</v>
      </c>
      <c r="L2204" t="s">
        <v>140</v>
      </c>
      <c r="M2204" t="s">
        <v>171</v>
      </c>
      <c r="N2204" s="3">
        <v>0.4701816467790596</v>
      </c>
      <c r="O2204" s="3">
        <v>0</v>
      </c>
      <c r="P2204">
        <v>22.5</v>
      </c>
      <c r="Q2204">
        <v>6.5</v>
      </c>
      <c r="R2204" t="s">
        <v>102</v>
      </c>
      <c r="S2204">
        <v>0</v>
      </c>
      <c r="T2204" s="6">
        <f>10^-(14-Q2204)</f>
        <v>3.1622776601683699E-8</v>
      </c>
      <c r="U2204" s="6">
        <v>0</v>
      </c>
      <c r="V2204" s="6">
        <v>0</v>
      </c>
      <c r="W2204" s="6">
        <v>0</v>
      </c>
      <c r="X2204" s="6">
        <v>0</v>
      </c>
      <c r="Y2204" t="s">
        <v>171</v>
      </c>
      <c r="AE2204">
        <v>670</v>
      </c>
      <c r="AF2204">
        <v>1</v>
      </c>
      <c r="AL2204" s="9">
        <v>17.5</v>
      </c>
      <c r="AM2204" s="9">
        <v>11</v>
      </c>
      <c r="AN2204" s="9">
        <v>2.5</v>
      </c>
      <c r="AP2204"/>
    </row>
    <row r="2205" spans="1:42" x14ac:dyDescent="0.3">
      <c r="A2205" t="s">
        <v>1971</v>
      </c>
      <c r="B2205" s="8" t="s">
        <v>1965</v>
      </c>
      <c r="C2205">
        <v>87</v>
      </c>
      <c r="D2205" s="8">
        <v>1.4403999999999999</v>
      </c>
      <c r="E2205">
        <v>1200</v>
      </c>
      <c r="G2205" t="s">
        <v>102</v>
      </c>
      <c r="H2205" t="s">
        <v>987</v>
      </c>
      <c r="L2205" t="s">
        <v>140</v>
      </c>
      <c r="M2205" t="s">
        <v>171</v>
      </c>
      <c r="N2205" s="3">
        <v>0.1</v>
      </c>
      <c r="O2205" s="3">
        <v>0</v>
      </c>
      <c r="P2205">
        <v>22.5</v>
      </c>
      <c r="Q2205">
        <v>6.5</v>
      </c>
      <c r="R2205" t="s">
        <v>102</v>
      </c>
      <c r="S2205">
        <v>0</v>
      </c>
      <c r="T2205" s="6">
        <f>10^-(14-Q2205)</f>
        <v>3.1622776601683699E-8</v>
      </c>
      <c r="U2205" s="6">
        <v>0</v>
      </c>
      <c r="V2205" s="6">
        <v>0</v>
      </c>
      <c r="W2205" s="6">
        <v>0</v>
      </c>
      <c r="X2205" s="6">
        <v>0</v>
      </c>
      <c r="Y2205" t="s">
        <v>171</v>
      </c>
      <c r="AE2205">
        <v>432</v>
      </c>
      <c r="AF2205">
        <v>1</v>
      </c>
      <c r="AL2205" s="9">
        <v>17.5</v>
      </c>
      <c r="AM2205" s="9">
        <v>11</v>
      </c>
      <c r="AN2205" s="9">
        <v>2.5</v>
      </c>
      <c r="AP2205"/>
    </row>
    <row r="2206" spans="1:42" x14ac:dyDescent="0.3">
      <c r="A2206" t="s">
        <v>1972</v>
      </c>
      <c r="B2206" s="8" t="s">
        <v>1965</v>
      </c>
      <c r="C2206">
        <v>87</v>
      </c>
      <c r="D2206" s="8">
        <v>1.4403999999999999</v>
      </c>
      <c r="G2206" t="s">
        <v>102</v>
      </c>
      <c r="H2206" t="s">
        <v>987</v>
      </c>
      <c r="L2206" t="s">
        <v>140</v>
      </c>
      <c r="M2206" t="s">
        <v>171</v>
      </c>
      <c r="N2206" s="3">
        <v>0.58440000000000003</v>
      </c>
      <c r="O2206" s="3">
        <v>0</v>
      </c>
      <c r="P2206">
        <v>22.5</v>
      </c>
      <c r="Q2206">
        <v>6.5</v>
      </c>
      <c r="R2206" t="s">
        <v>102</v>
      </c>
      <c r="S2206">
        <v>0</v>
      </c>
      <c r="T2206" s="6">
        <f>10^-(14-Q2206)</f>
        <v>3.1622776601683699E-8</v>
      </c>
      <c r="U2206" s="6">
        <v>0</v>
      </c>
      <c r="V2206" s="6">
        <v>0</v>
      </c>
      <c r="W2206" s="6">
        <v>0</v>
      </c>
      <c r="X2206" s="6">
        <v>0</v>
      </c>
      <c r="Y2206" t="s">
        <v>171</v>
      </c>
      <c r="AE2206">
        <v>370</v>
      </c>
      <c r="AF2206">
        <v>1</v>
      </c>
      <c r="AL2206" s="9">
        <v>17.5</v>
      </c>
      <c r="AM2206" s="9">
        <v>11</v>
      </c>
      <c r="AN2206" s="9">
        <v>2.5</v>
      </c>
      <c r="AP2206"/>
    </row>
    <row r="2207" spans="1:42" x14ac:dyDescent="0.3">
      <c r="A2207" t="s">
        <v>1973</v>
      </c>
      <c r="B2207" s="8" t="s">
        <v>1965</v>
      </c>
      <c r="C2207">
        <v>87</v>
      </c>
      <c r="D2207" s="8">
        <v>1.4403999999999999</v>
      </c>
      <c r="E2207">
        <v>1000</v>
      </c>
      <c r="G2207" t="s">
        <v>31</v>
      </c>
      <c r="H2207">
        <v>-1.2</v>
      </c>
      <c r="I2207" s="4">
        <v>1</v>
      </c>
      <c r="J2207" s="3">
        <f>1/6</f>
        <v>0.16666666666666666</v>
      </c>
      <c r="K2207" s="4">
        <f>1/3</f>
        <v>0.33333333333333331</v>
      </c>
      <c r="L2207" t="s">
        <v>172</v>
      </c>
      <c r="M2207" t="s">
        <v>171</v>
      </c>
      <c r="N2207" s="3">
        <v>0.6</v>
      </c>
      <c r="O2207" s="3">
        <v>0</v>
      </c>
      <c r="P2207">
        <v>22.5</v>
      </c>
      <c r="Q2207">
        <v>6.5</v>
      </c>
      <c r="R2207" t="s">
        <v>102</v>
      </c>
      <c r="S2207">
        <v>0</v>
      </c>
      <c r="T2207" s="6">
        <f>10^-(14-Q2207)</f>
        <v>3.1622776601683699E-8</v>
      </c>
      <c r="U2207" s="6">
        <v>0</v>
      </c>
      <c r="V2207" s="6">
        <v>0</v>
      </c>
      <c r="W2207" s="6">
        <v>0</v>
      </c>
      <c r="X2207" s="6">
        <v>0</v>
      </c>
      <c r="Y2207" t="s">
        <v>171</v>
      </c>
      <c r="AE2207">
        <v>1020</v>
      </c>
      <c r="AF2207">
        <v>2</v>
      </c>
      <c r="AL2207" s="9">
        <v>17.5</v>
      </c>
      <c r="AM2207" s="9">
        <v>11</v>
      </c>
      <c r="AN2207" s="9">
        <v>2.5</v>
      </c>
      <c r="AP2207"/>
    </row>
    <row r="2208" spans="1:42" x14ac:dyDescent="0.3">
      <c r="A2208" t="s">
        <v>1974</v>
      </c>
      <c r="B2208" s="8" t="s">
        <v>1965</v>
      </c>
      <c r="C2208">
        <v>87</v>
      </c>
      <c r="D2208" s="8">
        <v>1.4403999999999999</v>
      </c>
      <c r="H2208" t="s">
        <v>987</v>
      </c>
      <c r="L2208" t="s">
        <v>140</v>
      </c>
      <c r="M2208" t="s">
        <v>171</v>
      </c>
      <c r="N2208" s="3">
        <v>0.01</v>
      </c>
      <c r="O2208" s="3">
        <v>0</v>
      </c>
      <c r="P2208">
        <v>22.5</v>
      </c>
      <c r="Q2208">
        <v>6.5</v>
      </c>
      <c r="R2208" t="s">
        <v>102</v>
      </c>
      <c r="S2208">
        <v>0</v>
      </c>
      <c r="T2208" s="6">
        <f>10^-(14-Q2208)</f>
        <v>3.1622776601683699E-8</v>
      </c>
      <c r="U2208" s="6">
        <v>0</v>
      </c>
      <c r="V2208" s="6">
        <v>0</v>
      </c>
      <c r="W2208" s="6">
        <v>0</v>
      </c>
      <c r="X2208" s="6">
        <v>0</v>
      </c>
      <c r="Y2208" t="s">
        <v>171</v>
      </c>
      <c r="AE2208">
        <v>645</v>
      </c>
      <c r="AF2208">
        <v>1</v>
      </c>
      <c r="AL2208" s="9">
        <v>17.5</v>
      </c>
      <c r="AM2208" s="9">
        <v>11</v>
      </c>
      <c r="AN2208" s="9">
        <v>2.5</v>
      </c>
      <c r="AP2208"/>
    </row>
    <row r="2209" spans="1:42" x14ac:dyDescent="0.3">
      <c r="A2209" t="s">
        <v>1975</v>
      </c>
      <c r="B2209" s="8" t="s">
        <v>1965</v>
      </c>
      <c r="C2209">
        <v>87</v>
      </c>
      <c r="D2209" s="8">
        <v>1.4403999999999999</v>
      </c>
      <c r="H2209" t="s">
        <v>987</v>
      </c>
      <c r="L2209" t="s">
        <v>140</v>
      </c>
      <c r="M2209" t="s">
        <v>171</v>
      </c>
      <c r="N2209" s="3">
        <v>0.05</v>
      </c>
      <c r="O2209" s="3">
        <v>0</v>
      </c>
      <c r="P2209">
        <v>22.5</v>
      </c>
      <c r="Q2209">
        <v>6.5</v>
      </c>
      <c r="R2209" t="s">
        <v>102</v>
      </c>
      <c r="S2209">
        <v>0</v>
      </c>
      <c r="T2209" s="6">
        <f>10^-(14-Q2209)</f>
        <v>3.1622776601683699E-8</v>
      </c>
      <c r="U2209" s="6">
        <v>0</v>
      </c>
      <c r="V2209" s="6">
        <v>0</v>
      </c>
      <c r="W2209" s="6">
        <v>0</v>
      </c>
      <c r="X2209" s="6">
        <v>0</v>
      </c>
      <c r="Y2209" t="s">
        <v>171</v>
      </c>
      <c r="AE2209">
        <v>754</v>
      </c>
      <c r="AF2209">
        <v>1</v>
      </c>
      <c r="AL2209" s="9">
        <v>17.5</v>
      </c>
      <c r="AM2209" s="9">
        <v>11</v>
      </c>
      <c r="AN2209" s="9">
        <v>2.5</v>
      </c>
      <c r="AP2209"/>
    </row>
    <row r="2210" spans="1:42" x14ac:dyDescent="0.3">
      <c r="A2210" t="s">
        <v>1976</v>
      </c>
      <c r="B2210" s="8" t="s">
        <v>1965</v>
      </c>
      <c r="C2210">
        <v>87</v>
      </c>
      <c r="D2210" s="8">
        <v>1.4403999999999999</v>
      </c>
      <c r="E2210">
        <v>600</v>
      </c>
      <c r="G2210" t="s">
        <v>102</v>
      </c>
      <c r="H2210" t="s">
        <v>987</v>
      </c>
      <c r="K2210" s="4">
        <v>1</v>
      </c>
      <c r="L2210" t="s">
        <v>140</v>
      </c>
      <c r="M2210" t="s">
        <v>171</v>
      </c>
      <c r="N2210" s="3">
        <v>0.51</v>
      </c>
      <c r="O2210" s="3">
        <v>0</v>
      </c>
      <c r="P2210">
        <v>22.5</v>
      </c>
      <c r="Q2210">
        <v>6.5</v>
      </c>
      <c r="R2210" t="s">
        <v>102</v>
      </c>
      <c r="S2210">
        <v>0</v>
      </c>
      <c r="T2210" s="6">
        <f>10^-(14-Q2210)</f>
        <v>3.1622776601683699E-8</v>
      </c>
      <c r="U2210" s="6">
        <v>0</v>
      </c>
      <c r="V2210" s="6">
        <v>0</v>
      </c>
      <c r="W2210" s="6">
        <v>0</v>
      </c>
      <c r="X2210" s="6">
        <v>0</v>
      </c>
      <c r="Y2210" t="s">
        <v>171</v>
      </c>
      <c r="AE2210">
        <v>239</v>
      </c>
      <c r="AF2210">
        <v>1</v>
      </c>
      <c r="AL2210" s="9">
        <v>17.5</v>
      </c>
      <c r="AM2210" s="9">
        <v>11</v>
      </c>
      <c r="AN2210" s="9">
        <v>2.5</v>
      </c>
      <c r="AP2210"/>
    </row>
    <row r="2211" spans="1:42" x14ac:dyDescent="0.3">
      <c r="A2211" t="s">
        <v>1977</v>
      </c>
      <c r="B2211" s="8" t="s">
        <v>1965</v>
      </c>
      <c r="C2211">
        <v>87</v>
      </c>
      <c r="D2211" s="8">
        <v>1.4403999999999999</v>
      </c>
      <c r="E2211">
        <v>2000</v>
      </c>
      <c r="G2211" t="s">
        <v>102</v>
      </c>
      <c r="H2211" t="s">
        <v>987</v>
      </c>
      <c r="K2211" s="4">
        <v>5</v>
      </c>
      <c r="L2211" t="s">
        <v>140</v>
      </c>
      <c r="M2211" t="s">
        <v>171</v>
      </c>
      <c r="N2211" s="3">
        <v>0.1</v>
      </c>
      <c r="O2211" s="3">
        <v>0</v>
      </c>
      <c r="P2211">
        <v>22.5</v>
      </c>
      <c r="Q2211">
        <v>6.5</v>
      </c>
      <c r="R2211" t="s">
        <v>102</v>
      </c>
      <c r="S2211">
        <v>0</v>
      </c>
      <c r="T2211" s="6">
        <f>10^-(14-Q2211)</f>
        <v>3.1622776601683699E-8</v>
      </c>
      <c r="U2211" s="6">
        <v>0</v>
      </c>
      <c r="V2211" s="6">
        <v>0</v>
      </c>
      <c r="W2211" s="6">
        <v>0</v>
      </c>
      <c r="X2211" s="6">
        <v>0</v>
      </c>
      <c r="Y2211" t="s">
        <v>171</v>
      </c>
      <c r="AE2211">
        <v>350</v>
      </c>
      <c r="AF2211">
        <v>1</v>
      </c>
      <c r="AL2211" s="9">
        <v>17.5</v>
      </c>
      <c r="AM2211" s="9">
        <v>11</v>
      </c>
      <c r="AN2211" s="9">
        <v>2.5</v>
      </c>
      <c r="AP2211"/>
    </row>
    <row r="2212" spans="1:42" x14ac:dyDescent="0.3">
      <c r="A2212" t="s">
        <v>1978</v>
      </c>
      <c r="B2212" s="8" t="s">
        <v>1965</v>
      </c>
      <c r="C2212">
        <v>87</v>
      </c>
      <c r="D2212" s="8">
        <v>1.4403999999999999</v>
      </c>
      <c r="G2212" t="s">
        <v>102</v>
      </c>
      <c r="H2212" t="s">
        <v>987</v>
      </c>
      <c r="L2212" t="s">
        <v>140</v>
      </c>
      <c r="M2212" t="s">
        <v>171</v>
      </c>
      <c r="N2212" s="3">
        <v>8.4626234132581094E-2</v>
      </c>
      <c r="O2212" s="3">
        <v>0</v>
      </c>
      <c r="P2212">
        <v>22.5</v>
      </c>
      <c r="Q2212">
        <v>6.5</v>
      </c>
      <c r="R2212" t="s">
        <v>102</v>
      </c>
      <c r="S2212">
        <v>0</v>
      </c>
      <c r="T2212" s="6">
        <f>10^-(14-Q2212)</f>
        <v>3.1622776601683699E-8</v>
      </c>
      <c r="U2212" s="6">
        <v>0</v>
      </c>
      <c r="V2212" s="6">
        <v>0</v>
      </c>
      <c r="W2212" s="6">
        <v>0</v>
      </c>
      <c r="X2212" s="6">
        <v>0</v>
      </c>
      <c r="Y2212" t="s">
        <v>171</v>
      </c>
      <c r="AE2212">
        <v>370</v>
      </c>
      <c r="AF2212">
        <v>1</v>
      </c>
      <c r="AL2212" s="9">
        <v>17.5</v>
      </c>
      <c r="AM2212" s="9">
        <v>11</v>
      </c>
      <c r="AN2212" s="9">
        <v>2.5</v>
      </c>
      <c r="AP2212"/>
    </row>
    <row r="2213" spans="1:42" x14ac:dyDescent="0.3">
      <c r="A2213" t="s">
        <v>1926</v>
      </c>
      <c r="B2213" t="s">
        <v>1894</v>
      </c>
      <c r="C2213">
        <v>89</v>
      </c>
      <c r="D2213" s="8" t="s">
        <v>1570</v>
      </c>
      <c r="E2213">
        <v>1200</v>
      </c>
      <c r="G2213" t="s">
        <v>29</v>
      </c>
      <c r="J2213">
        <v>48</v>
      </c>
      <c r="K2213">
        <v>1</v>
      </c>
      <c r="L2213" t="s">
        <v>140</v>
      </c>
      <c r="M2213" t="s">
        <v>28</v>
      </c>
      <c r="N2213" s="3">
        <v>1</v>
      </c>
      <c r="O2213" s="3">
        <v>0</v>
      </c>
      <c r="P2213">
        <v>22.5</v>
      </c>
      <c r="Q2213">
        <v>6.5</v>
      </c>
      <c r="R2213" t="s">
        <v>102</v>
      </c>
      <c r="S2213">
        <v>0</v>
      </c>
      <c r="T2213" s="6">
        <f>10^-(14-Q2213)</f>
        <v>3.1622776601683699E-8</v>
      </c>
      <c r="U2213" s="6">
        <v>0</v>
      </c>
      <c r="V2213" s="6">
        <v>0</v>
      </c>
      <c r="W2213" s="6">
        <v>0</v>
      </c>
      <c r="X2213" s="6">
        <v>0</v>
      </c>
      <c r="Y2213" t="s">
        <v>28</v>
      </c>
      <c r="Z2213" s="5">
        <v>-182</v>
      </c>
      <c r="AA2213" s="6"/>
      <c r="AB2213" s="6"/>
      <c r="AC2213" s="6">
        <v>1.1999999999999999E-3</v>
      </c>
      <c r="AD2213">
        <v>0.3</v>
      </c>
      <c r="AE2213">
        <v>262</v>
      </c>
      <c r="AF2213">
        <v>1</v>
      </c>
      <c r="AH2213" s="9">
        <v>7.02</v>
      </c>
      <c r="AI2213" s="9">
        <v>0.35</v>
      </c>
      <c r="AL2213" s="9">
        <v>16.899999999999999</v>
      </c>
      <c r="AM2213" s="9">
        <v>3.9</v>
      </c>
      <c r="AN2213" s="9">
        <v>0.23</v>
      </c>
      <c r="AP2213"/>
    </row>
    <row r="2214" spans="1:42" x14ac:dyDescent="0.3">
      <c r="A2214" t="s">
        <v>1927</v>
      </c>
      <c r="B2214" t="s">
        <v>1894</v>
      </c>
      <c r="C2214">
        <v>89</v>
      </c>
      <c r="D2214" s="8" t="s">
        <v>1570</v>
      </c>
      <c r="E2214">
        <v>1200</v>
      </c>
      <c r="G2214" t="s">
        <v>29</v>
      </c>
      <c r="J2214">
        <v>48</v>
      </c>
      <c r="K2214">
        <v>1</v>
      </c>
      <c r="L2214" t="s">
        <v>140</v>
      </c>
      <c r="M2214" t="s">
        <v>28</v>
      </c>
      <c r="N2214" s="3">
        <v>1</v>
      </c>
      <c r="O2214" s="3">
        <v>0</v>
      </c>
      <c r="P2214">
        <v>22.5</v>
      </c>
      <c r="Q2214">
        <v>6.5</v>
      </c>
      <c r="R2214" t="s">
        <v>102</v>
      </c>
      <c r="S2214">
        <v>0</v>
      </c>
      <c r="T2214" s="6">
        <f>10^-(14-Q2214)</f>
        <v>3.1622776601683699E-8</v>
      </c>
      <c r="U2214" s="6">
        <v>0</v>
      </c>
      <c r="V2214" s="6">
        <v>0</v>
      </c>
      <c r="W2214" s="6">
        <v>0</v>
      </c>
      <c r="X2214" s="6">
        <v>0</v>
      </c>
      <c r="Y2214" t="s">
        <v>28</v>
      </c>
      <c r="Z2214" s="5">
        <v>-192</v>
      </c>
      <c r="AA2214" s="6"/>
      <c r="AB2214" s="6"/>
      <c r="AC2214" s="6">
        <v>8.9999999999999998E-4</v>
      </c>
      <c r="AD2214">
        <v>0.3</v>
      </c>
      <c r="AE2214">
        <v>10</v>
      </c>
      <c r="AF2214">
        <v>1</v>
      </c>
      <c r="AH2214" s="9">
        <v>7.02</v>
      </c>
      <c r="AI2214" s="9">
        <v>0.35</v>
      </c>
      <c r="AL2214" s="9">
        <v>16.899999999999999</v>
      </c>
      <c r="AM2214" s="9">
        <v>3.9</v>
      </c>
      <c r="AN2214" s="9">
        <v>0.23</v>
      </c>
      <c r="AP2214"/>
    </row>
    <row r="2215" spans="1:42" x14ac:dyDescent="0.3">
      <c r="A2215" t="s">
        <v>1928</v>
      </c>
      <c r="B2215" t="s">
        <v>1894</v>
      </c>
      <c r="C2215">
        <v>89</v>
      </c>
      <c r="D2215" s="8" t="s">
        <v>1570</v>
      </c>
      <c r="E2215">
        <v>1200</v>
      </c>
      <c r="G2215" t="s">
        <v>29</v>
      </c>
      <c r="J2215">
        <v>48</v>
      </c>
      <c r="K2215">
        <v>1</v>
      </c>
      <c r="L2215" t="s">
        <v>140</v>
      </c>
      <c r="M2215" t="s">
        <v>28</v>
      </c>
      <c r="N2215" s="3">
        <v>1</v>
      </c>
      <c r="O2215" s="3">
        <v>0</v>
      </c>
      <c r="P2215">
        <v>22.5</v>
      </c>
      <c r="Q2215">
        <v>6.5</v>
      </c>
      <c r="R2215" t="s">
        <v>102</v>
      </c>
      <c r="S2215">
        <v>0</v>
      </c>
      <c r="T2215" s="6">
        <f>10^-(14-Q2215)</f>
        <v>3.1622776601683699E-8</v>
      </c>
      <c r="U2215" s="6">
        <v>0</v>
      </c>
      <c r="V2215" s="6">
        <v>0</v>
      </c>
      <c r="W2215" s="6">
        <v>0</v>
      </c>
      <c r="X2215" s="6">
        <v>0</v>
      </c>
      <c r="Y2215" t="s">
        <v>28</v>
      </c>
      <c r="Z2215" s="5">
        <v>-114</v>
      </c>
      <c r="AA2215" s="6"/>
      <c r="AB2215" s="6"/>
      <c r="AC2215" s="6">
        <v>8.0000000000000004E-4</v>
      </c>
      <c r="AD2215">
        <v>0.3</v>
      </c>
      <c r="AE2215">
        <v>105</v>
      </c>
      <c r="AF2215">
        <v>1</v>
      </c>
      <c r="AH2215" s="9">
        <v>7.02</v>
      </c>
      <c r="AI2215" s="9">
        <v>0.35</v>
      </c>
      <c r="AL2215" s="9">
        <v>16.899999999999999</v>
      </c>
      <c r="AM2215" s="9">
        <v>3.9</v>
      </c>
      <c r="AN2215" s="9">
        <v>0.23</v>
      </c>
      <c r="AP2215"/>
    </row>
    <row r="2216" spans="1:42" x14ac:dyDescent="0.3">
      <c r="A2216" t="s">
        <v>1929</v>
      </c>
      <c r="B2216" t="s">
        <v>1894</v>
      </c>
      <c r="C2216">
        <v>89</v>
      </c>
      <c r="D2216" s="8" t="s">
        <v>1571</v>
      </c>
      <c r="E2216">
        <v>1200</v>
      </c>
      <c r="G2216" t="s">
        <v>29</v>
      </c>
      <c r="J2216">
        <v>48</v>
      </c>
      <c r="K2216">
        <v>1</v>
      </c>
      <c r="L2216" t="s">
        <v>140</v>
      </c>
      <c r="M2216" t="s">
        <v>28</v>
      </c>
      <c r="N2216" s="3">
        <v>1</v>
      </c>
      <c r="O2216" s="3">
        <v>0</v>
      </c>
      <c r="P2216">
        <v>22.5</v>
      </c>
      <c r="Q2216">
        <v>6.5</v>
      </c>
      <c r="R2216" t="s">
        <v>102</v>
      </c>
      <c r="S2216">
        <v>0</v>
      </c>
      <c r="T2216" s="6">
        <f>10^-(14-Q2216)</f>
        <v>3.1622776601683699E-8</v>
      </c>
      <c r="U2216" s="6">
        <v>0</v>
      </c>
      <c r="V2216" s="6">
        <v>0</v>
      </c>
      <c r="W2216" s="6">
        <v>0</v>
      </c>
      <c r="X2216" s="6">
        <v>0</v>
      </c>
      <c r="Y2216" t="s">
        <v>28</v>
      </c>
      <c r="Z2216" s="5">
        <v>-111</v>
      </c>
      <c r="AA2216" s="6"/>
      <c r="AB2216" s="6"/>
      <c r="AC2216" s="6">
        <v>4.0000000000000001E-3</v>
      </c>
      <c r="AD2216">
        <v>0.3</v>
      </c>
      <c r="AE2216">
        <v>283</v>
      </c>
      <c r="AF2216">
        <v>1</v>
      </c>
      <c r="AH2216" s="9">
        <v>7.02</v>
      </c>
      <c r="AI2216" s="9">
        <v>0.35</v>
      </c>
      <c r="AL2216" s="9">
        <v>16.899999999999999</v>
      </c>
      <c r="AM2216" s="9">
        <v>3.9</v>
      </c>
      <c r="AN2216" s="9">
        <v>0.23</v>
      </c>
      <c r="AP2216"/>
    </row>
    <row r="2217" spans="1:42" x14ac:dyDescent="0.3">
      <c r="A2217" t="s">
        <v>1939</v>
      </c>
      <c r="B2217" t="s">
        <v>1894</v>
      </c>
      <c r="C2217">
        <v>89</v>
      </c>
      <c r="D2217" s="8" t="s">
        <v>1570</v>
      </c>
      <c r="E2217">
        <v>1200</v>
      </c>
      <c r="G2217" t="s">
        <v>29</v>
      </c>
      <c r="J2217">
        <v>48</v>
      </c>
      <c r="K2217">
        <v>1</v>
      </c>
      <c r="L2217" t="s">
        <v>140</v>
      </c>
      <c r="M2217" t="s">
        <v>28</v>
      </c>
      <c r="N2217" s="3">
        <v>1</v>
      </c>
      <c r="O2217" s="3">
        <v>0</v>
      </c>
      <c r="P2217">
        <v>22.5</v>
      </c>
      <c r="Q2217">
        <v>6.5</v>
      </c>
      <c r="R2217" t="s">
        <v>102</v>
      </c>
      <c r="S2217">
        <v>0</v>
      </c>
      <c r="T2217" s="6">
        <f>10^-(14-Q2217)</f>
        <v>3.1622776601683699E-8</v>
      </c>
      <c r="U2217" s="6">
        <v>0</v>
      </c>
      <c r="V2217" s="6">
        <v>0</v>
      </c>
      <c r="W2217" s="6">
        <v>0</v>
      </c>
      <c r="X2217" s="6">
        <v>0</v>
      </c>
      <c r="Y2217" t="s">
        <v>28</v>
      </c>
      <c r="Z2217" s="5">
        <v>-133</v>
      </c>
      <c r="AA2217" s="6"/>
      <c r="AB2217" s="6"/>
      <c r="AC2217" s="6">
        <v>1.1999999999999999E-3</v>
      </c>
      <c r="AD2217">
        <v>0.3</v>
      </c>
      <c r="AE2217">
        <v>305</v>
      </c>
      <c r="AF2217">
        <v>1</v>
      </c>
      <c r="AH2217" s="9">
        <v>7.02</v>
      </c>
      <c r="AI2217" s="9">
        <v>0.35</v>
      </c>
      <c r="AL2217" s="9">
        <v>16.899999999999999</v>
      </c>
      <c r="AM2217" s="9">
        <v>3.9</v>
      </c>
      <c r="AN2217" s="9">
        <v>0.23</v>
      </c>
      <c r="AP2217"/>
    </row>
    <row r="2218" spans="1:42" x14ac:dyDescent="0.3">
      <c r="A2218" t="s">
        <v>1940</v>
      </c>
      <c r="B2218" t="s">
        <v>1894</v>
      </c>
      <c r="C2218">
        <v>89</v>
      </c>
      <c r="D2218" s="8" t="s">
        <v>1570</v>
      </c>
      <c r="E2218">
        <v>1200</v>
      </c>
      <c r="G2218" t="s">
        <v>29</v>
      </c>
      <c r="J2218">
        <v>48</v>
      </c>
      <c r="K2218">
        <v>1</v>
      </c>
      <c r="L2218" t="s">
        <v>140</v>
      </c>
      <c r="M2218" t="s">
        <v>28</v>
      </c>
      <c r="N2218" s="3">
        <v>1</v>
      </c>
      <c r="O2218" s="3">
        <v>0</v>
      </c>
      <c r="P2218">
        <v>22.5</v>
      </c>
      <c r="Q2218">
        <v>6.5</v>
      </c>
      <c r="R2218" t="s">
        <v>102</v>
      </c>
      <c r="S2218">
        <v>0</v>
      </c>
      <c r="T2218" s="6">
        <f>10^-(14-Q2218)</f>
        <v>3.1622776601683699E-8</v>
      </c>
      <c r="U2218" s="6">
        <v>0</v>
      </c>
      <c r="V2218" s="6">
        <v>0</v>
      </c>
      <c r="W2218" s="6">
        <v>0</v>
      </c>
      <c r="X2218" s="6">
        <v>0</v>
      </c>
      <c r="Y2218" t="s">
        <v>28</v>
      </c>
      <c r="Z2218" s="5">
        <v>-122</v>
      </c>
      <c r="AA2218" s="6"/>
      <c r="AB2218" s="6"/>
      <c r="AC2218" s="6">
        <v>8.9999999999999998E-4</v>
      </c>
      <c r="AD2218">
        <v>0.3</v>
      </c>
      <c r="AE2218">
        <v>70</v>
      </c>
      <c r="AF2218">
        <v>1</v>
      </c>
      <c r="AH2218" s="9">
        <v>7.02</v>
      </c>
      <c r="AI2218" s="9">
        <v>0.35</v>
      </c>
      <c r="AL2218" s="9">
        <v>16.899999999999999</v>
      </c>
      <c r="AM2218" s="9">
        <v>3.9</v>
      </c>
      <c r="AN2218" s="9">
        <v>0.23</v>
      </c>
      <c r="AP2218"/>
    </row>
    <row r="2219" spans="1:42" x14ac:dyDescent="0.3">
      <c r="A2219" t="s">
        <v>1941</v>
      </c>
      <c r="B2219" t="s">
        <v>1894</v>
      </c>
      <c r="C2219">
        <v>89</v>
      </c>
      <c r="D2219" s="8" t="s">
        <v>1570</v>
      </c>
      <c r="E2219">
        <v>1200</v>
      </c>
      <c r="G2219" t="s">
        <v>29</v>
      </c>
      <c r="J2219">
        <v>48</v>
      </c>
      <c r="K2219">
        <v>1</v>
      </c>
      <c r="L2219" t="s">
        <v>140</v>
      </c>
      <c r="M2219" t="s">
        <v>28</v>
      </c>
      <c r="N2219" s="3">
        <v>1</v>
      </c>
      <c r="O2219" s="3">
        <v>0</v>
      </c>
      <c r="P2219">
        <v>22.5</v>
      </c>
      <c r="Q2219">
        <v>6.5</v>
      </c>
      <c r="R2219" t="s">
        <v>102</v>
      </c>
      <c r="S2219">
        <v>0</v>
      </c>
      <c r="T2219" s="6">
        <f>10^-(14-Q2219)</f>
        <v>3.1622776601683699E-8</v>
      </c>
      <c r="U2219" s="6">
        <v>0</v>
      </c>
      <c r="V2219" s="6">
        <v>0</v>
      </c>
      <c r="W2219" s="6">
        <v>0</v>
      </c>
      <c r="X2219" s="6">
        <v>0</v>
      </c>
      <c r="Y2219" t="s">
        <v>28</v>
      </c>
      <c r="Z2219" s="5">
        <v>-125</v>
      </c>
      <c r="AA2219" s="6"/>
      <c r="AB2219" s="6"/>
      <c r="AC2219" s="6">
        <v>1.4E-3</v>
      </c>
      <c r="AD2219">
        <v>0.3</v>
      </c>
      <c r="AE2219">
        <v>60</v>
      </c>
      <c r="AF2219">
        <v>1</v>
      </c>
      <c r="AH2219" s="9">
        <v>7.02</v>
      </c>
      <c r="AI2219" s="9">
        <v>0.35</v>
      </c>
      <c r="AL2219" s="9">
        <v>16.899999999999999</v>
      </c>
      <c r="AM2219" s="9">
        <v>3.9</v>
      </c>
      <c r="AN2219" s="9">
        <v>0.23</v>
      </c>
      <c r="AP2219"/>
    </row>
    <row r="2220" spans="1:42" x14ac:dyDescent="0.3">
      <c r="A2220" t="s">
        <v>1942</v>
      </c>
      <c r="B2220" t="s">
        <v>1894</v>
      </c>
      <c r="C2220">
        <v>89</v>
      </c>
      <c r="D2220" s="8" t="s">
        <v>1571</v>
      </c>
      <c r="E2220">
        <v>1200</v>
      </c>
      <c r="G2220" t="s">
        <v>29</v>
      </c>
      <c r="J2220">
        <v>48</v>
      </c>
      <c r="K2220">
        <v>1</v>
      </c>
      <c r="L2220" t="s">
        <v>140</v>
      </c>
      <c r="M2220" t="s">
        <v>28</v>
      </c>
      <c r="N2220" s="3">
        <v>1</v>
      </c>
      <c r="O2220" s="3">
        <v>0</v>
      </c>
      <c r="P2220">
        <v>22.5</v>
      </c>
      <c r="Q2220">
        <v>6.5</v>
      </c>
      <c r="R2220" t="s">
        <v>102</v>
      </c>
      <c r="S2220">
        <v>0</v>
      </c>
      <c r="T2220" s="6">
        <f>10^-(14-Q2220)</f>
        <v>3.1622776601683699E-8</v>
      </c>
      <c r="U2220" s="6">
        <v>0</v>
      </c>
      <c r="V2220" s="6">
        <v>0</v>
      </c>
      <c r="W2220" s="6">
        <v>0</v>
      </c>
      <c r="X2220" s="6">
        <v>0</v>
      </c>
      <c r="Y2220" t="s">
        <v>28</v>
      </c>
      <c r="Z2220" s="5">
        <v>-183</v>
      </c>
      <c r="AA2220" s="6"/>
      <c r="AB2220" s="6"/>
      <c r="AC2220" s="6">
        <v>6.1999999999999998E-3</v>
      </c>
      <c r="AD2220">
        <v>0.3</v>
      </c>
      <c r="AE2220">
        <v>317</v>
      </c>
      <c r="AF2220">
        <v>1</v>
      </c>
      <c r="AH2220" s="9">
        <v>7.02</v>
      </c>
      <c r="AI2220" s="9">
        <v>0.35</v>
      </c>
      <c r="AL2220" s="9">
        <v>16.899999999999999</v>
      </c>
      <c r="AM2220" s="9">
        <v>3.9</v>
      </c>
      <c r="AN2220" s="9">
        <v>0.23</v>
      </c>
      <c r="AP2220"/>
    </row>
    <row r="2221" spans="1:42" x14ac:dyDescent="0.3">
      <c r="A2221" t="s">
        <v>1951</v>
      </c>
      <c r="B2221" t="s">
        <v>1894</v>
      </c>
      <c r="C2221">
        <v>89</v>
      </c>
      <c r="D2221" s="8" t="s">
        <v>1571</v>
      </c>
      <c r="E2221">
        <v>1200</v>
      </c>
      <c r="G2221" t="s">
        <v>29</v>
      </c>
      <c r="J2221">
        <v>48</v>
      </c>
      <c r="K2221">
        <v>1</v>
      </c>
      <c r="L2221" t="s">
        <v>140</v>
      </c>
      <c r="M2221" t="s">
        <v>28</v>
      </c>
      <c r="N2221" s="3">
        <v>1</v>
      </c>
      <c r="O2221" s="3">
        <v>0</v>
      </c>
      <c r="P2221">
        <v>22.5</v>
      </c>
      <c r="Q2221">
        <v>6.5</v>
      </c>
      <c r="R2221" t="s">
        <v>102</v>
      </c>
      <c r="S2221">
        <v>0</v>
      </c>
      <c r="T2221" s="6">
        <f>10^-(14-Q2221)</f>
        <v>3.1622776601683699E-8</v>
      </c>
      <c r="U2221" s="6">
        <v>0</v>
      </c>
      <c r="V2221" s="6">
        <v>0</v>
      </c>
      <c r="W2221" s="6">
        <v>0</v>
      </c>
      <c r="X2221" s="6">
        <v>0</v>
      </c>
      <c r="Y2221" t="s">
        <v>28</v>
      </c>
      <c r="Z2221" s="5">
        <v>-204</v>
      </c>
      <c r="AA2221" s="6"/>
      <c r="AB2221" s="6"/>
      <c r="AC2221" s="6">
        <v>0.04</v>
      </c>
      <c r="AD2221">
        <v>0.3</v>
      </c>
      <c r="AE2221">
        <v>78</v>
      </c>
      <c r="AF2221">
        <v>1</v>
      </c>
      <c r="AH2221" s="9">
        <v>7.02</v>
      </c>
      <c r="AI2221" s="9">
        <v>0.35</v>
      </c>
      <c r="AL2221" s="9">
        <v>16.899999999999999</v>
      </c>
      <c r="AM2221" s="9">
        <v>3.9</v>
      </c>
      <c r="AN2221" s="9">
        <v>0.23</v>
      </c>
      <c r="AP2221"/>
    </row>
    <row r="2222" spans="1:42" x14ac:dyDescent="0.3">
      <c r="A2222" t="s">
        <v>1956</v>
      </c>
      <c r="B2222" t="s">
        <v>1894</v>
      </c>
      <c r="C2222">
        <v>89</v>
      </c>
      <c r="D2222" s="8" t="s">
        <v>1570</v>
      </c>
      <c r="E2222">
        <v>1200</v>
      </c>
      <c r="G2222" t="s">
        <v>29</v>
      </c>
      <c r="J2222">
        <v>48</v>
      </c>
      <c r="K2222">
        <v>1</v>
      </c>
      <c r="L2222" t="s">
        <v>140</v>
      </c>
      <c r="M2222" t="s">
        <v>28</v>
      </c>
      <c r="N2222" s="3">
        <v>1</v>
      </c>
      <c r="O2222" s="3">
        <v>0</v>
      </c>
      <c r="P2222">
        <v>22.5</v>
      </c>
      <c r="Q2222">
        <v>6.5</v>
      </c>
      <c r="R2222" t="s">
        <v>102</v>
      </c>
      <c r="S2222">
        <v>0</v>
      </c>
      <c r="T2222" s="6">
        <f>10^-(14-Q2222)</f>
        <v>3.1622776601683699E-8</v>
      </c>
      <c r="U2222" s="6">
        <v>0</v>
      </c>
      <c r="V2222" s="6">
        <v>0</v>
      </c>
      <c r="W2222" s="6">
        <v>0</v>
      </c>
      <c r="X2222" s="6">
        <v>0</v>
      </c>
      <c r="Y2222" t="s">
        <v>28</v>
      </c>
      <c r="Z2222" s="5">
        <v>-117</v>
      </c>
      <c r="AA2222" s="6"/>
      <c r="AB2222" s="6"/>
      <c r="AC2222" s="6"/>
      <c r="AD2222">
        <v>0.3</v>
      </c>
      <c r="AE2222">
        <v>305</v>
      </c>
      <c r="AF2222">
        <v>1</v>
      </c>
      <c r="AH2222" s="9">
        <v>7.02</v>
      </c>
      <c r="AI2222" s="9">
        <v>0.35</v>
      </c>
      <c r="AL2222" s="9">
        <v>16.899999999999999</v>
      </c>
      <c r="AM2222" s="9">
        <v>3.9</v>
      </c>
      <c r="AN2222" s="9">
        <v>0.23</v>
      </c>
      <c r="AP2222"/>
    </row>
    <row r="2223" spans="1:42" x14ac:dyDescent="0.3">
      <c r="A2223" t="s">
        <v>1957</v>
      </c>
      <c r="B2223" t="s">
        <v>1894</v>
      </c>
      <c r="C2223">
        <v>89</v>
      </c>
      <c r="D2223" s="8" t="s">
        <v>1570</v>
      </c>
      <c r="E2223">
        <v>1200</v>
      </c>
      <c r="G2223" t="s">
        <v>29</v>
      </c>
      <c r="J2223">
        <v>48</v>
      </c>
      <c r="K2223">
        <v>1</v>
      </c>
      <c r="L2223" t="s">
        <v>140</v>
      </c>
      <c r="M2223" t="s">
        <v>28</v>
      </c>
      <c r="N2223" s="3">
        <v>1</v>
      </c>
      <c r="O2223" s="3">
        <v>0</v>
      </c>
      <c r="P2223">
        <v>22.5</v>
      </c>
      <c r="Q2223">
        <v>6.5</v>
      </c>
      <c r="R2223" t="s">
        <v>102</v>
      </c>
      <c r="S2223">
        <v>0</v>
      </c>
      <c r="T2223" s="6">
        <f>10^-(14-Q2223)</f>
        <v>3.1622776601683699E-8</v>
      </c>
      <c r="U2223" s="6">
        <v>0</v>
      </c>
      <c r="V2223" s="6">
        <v>0</v>
      </c>
      <c r="W2223" s="6">
        <v>0</v>
      </c>
      <c r="X2223" s="6">
        <v>0</v>
      </c>
      <c r="Y2223" t="s">
        <v>28</v>
      </c>
      <c r="Z2223" s="5">
        <v>-124</v>
      </c>
      <c r="AA2223" s="6"/>
      <c r="AB2223" s="6"/>
      <c r="AC2223" s="6"/>
      <c r="AD2223">
        <v>0.3</v>
      </c>
      <c r="AE2223">
        <v>246</v>
      </c>
      <c r="AF2223">
        <v>1</v>
      </c>
      <c r="AH2223" s="9">
        <v>7.02</v>
      </c>
      <c r="AI2223" s="9">
        <v>0.35</v>
      </c>
      <c r="AL2223" s="9">
        <v>16.899999999999999</v>
      </c>
      <c r="AM2223" s="9">
        <v>3.9</v>
      </c>
      <c r="AN2223" s="9">
        <v>0.23</v>
      </c>
      <c r="AP2223"/>
    </row>
    <row r="2224" spans="1:42" x14ac:dyDescent="0.3">
      <c r="A2224" t="s">
        <v>1958</v>
      </c>
      <c r="B2224" t="s">
        <v>1894</v>
      </c>
      <c r="C2224">
        <v>89</v>
      </c>
      <c r="D2224" s="8" t="s">
        <v>1570</v>
      </c>
      <c r="E2224">
        <v>1200</v>
      </c>
      <c r="G2224" t="s">
        <v>29</v>
      </c>
      <c r="J2224">
        <v>48</v>
      </c>
      <c r="K2224">
        <v>1</v>
      </c>
      <c r="L2224" t="s">
        <v>140</v>
      </c>
      <c r="M2224" t="s">
        <v>28</v>
      </c>
      <c r="N2224" s="3">
        <v>1</v>
      </c>
      <c r="O2224" s="3">
        <v>0</v>
      </c>
      <c r="P2224">
        <v>22.5</v>
      </c>
      <c r="Q2224">
        <v>6.5</v>
      </c>
      <c r="R2224" t="s">
        <v>102</v>
      </c>
      <c r="S2224">
        <v>0</v>
      </c>
      <c r="T2224" s="6">
        <f>10^-(14-Q2224)</f>
        <v>3.1622776601683699E-8</v>
      </c>
      <c r="U2224" s="6">
        <v>0</v>
      </c>
      <c r="V2224" s="6">
        <v>0</v>
      </c>
      <c r="W2224" s="6">
        <v>0</v>
      </c>
      <c r="X2224" s="6">
        <v>0</v>
      </c>
      <c r="Y2224" t="s">
        <v>28</v>
      </c>
      <c r="Z2224" s="5">
        <v>-109</v>
      </c>
      <c r="AA2224" s="6"/>
      <c r="AB2224" s="6"/>
      <c r="AC2224" s="6"/>
      <c r="AD2224">
        <v>0.3</v>
      </c>
      <c r="AE2224">
        <v>306</v>
      </c>
      <c r="AF2224">
        <v>1</v>
      </c>
      <c r="AH2224" s="9">
        <v>7.02</v>
      </c>
      <c r="AI2224" s="9">
        <v>0.35</v>
      </c>
      <c r="AL2224" s="9">
        <v>16.899999999999999</v>
      </c>
      <c r="AM2224" s="9">
        <v>3.9</v>
      </c>
      <c r="AN2224" s="9">
        <v>0.23</v>
      </c>
      <c r="AP2224"/>
    </row>
    <row r="2225" spans="1:42" x14ac:dyDescent="0.3">
      <c r="A2225" t="s">
        <v>1959</v>
      </c>
      <c r="B2225" t="s">
        <v>1894</v>
      </c>
      <c r="C2225">
        <v>89</v>
      </c>
      <c r="D2225" s="8" t="s">
        <v>1570</v>
      </c>
      <c r="E2225">
        <v>1200</v>
      </c>
      <c r="G2225" t="s">
        <v>29</v>
      </c>
      <c r="J2225">
        <v>48</v>
      </c>
      <c r="K2225">
        <v>1</v>
      </c>
      <c r="L2225" t="s">
        <v>140</v>
      </c>
      <c r="M2225" t="s">
        <v>28</v>
      </c>
      <c r="N2225" s="3">
        <v>1</v>
      </c>
      <c r="O2225" s="3">
        <v>0</v>
      </c>
      <c r="P2225">
        <v>22.5</v>
      </c>
      <c r="Q2225">
        <v>6.5</v>
      </c>
      <c r="R2225" t="s">
        <v>102</v>
      </c>
      <c r="S2225">
        <v>0</v>
      </c>
      <c r="T2225" s="6">
        <f>10^-(14-Q2225)</f>
        <v>3.1622776601683699E-8</v>
      </c>
      <c r="U2225" s="6">
        <v>0</v>
      </c>
      <c r="V2225" s="6">
        <v>0</v>
      </c>
      <c r="W2225" s="6">
        <v>0</v>
      </c>
      <c r="X2225" s="6">
        <v>0</v>
      </c>
      <c r="Y2225" t="s">
        <v>28</v>
      </c>
      <c r="Z2225" s="5">
        <v>-116</v>
      </c>
      <c r="AA2225" s="6"/>
      <c r="AB2225" s="6"/>
      <c r="AC2225" s="6"/>
      <c r="AD2225">
        <v>0.3</v>
      </c>
      <c r="AE2225">
        <v>255</v>
      </c>
      <c r="AF2225">
        <v>1</v>
      </c>
      <c r="AH2225" s="9">
        <v>7.02</v>
      </c>
      <c r="AI2225" s="9">
        <v>0.35</v>
      </c>
      <c r="AL2225" s="9">
        <v>16.899999999999999</v>
      </c>
      <c r="AM2225" s="9">
        <v>3.9</v>
      </c>
      <c r="AN2225" s="9">
        <v>0.23</v>
      </c>
      <c r="AP2225"/>
    </row>
    <row r="2226" spans="1:42" x14ac:dyDescent="0.3">
      <c r="A2226" t="s">
        <v>1893</v>
      </c>
      <c r="B2226" t="s">
        <v>1894</v>
      </c>
      <c r="C2226">
        <v>89</v>
      </c>
      <c r="D2226" s="8">
        <v>302</v>
      </c>
      <c r="E2226">
        <v>1200</v>
      </c>
      <c r="G2226" t="s">
        <v>31</v>
      </c>
      <c r="H2226">
        <v>-1.2</v>
      </c>
      <c r="I2226" s="4">
        <v>1</v>
      </c>
      <c r="J2226">
        <v>0.25</v>
      </c>
      <c r="K2226">
        <v>1</v>
      </c>
      <c r="L2226" t="s">
        <v>140</v>
      </c>
      <c r="M2226" t="s">
        <v>28</v>
      </c>
      <c r="N2226" s="3">
        <v>1</v>
      </c>
      <c r="O2226" s="3">
        <v>0</v>
      </c>
      <c r="P2226">
        <v>22.5</v>
      </c>
      <c r="Q2226">
        <v>6.5</v>
      </c>
      <c r="R2226" t="s">
        <v>102</v>
      </c>
      <c r="S2226">
        <v>0</v>
      </c>
      <c r="T2226" s="6">
        <f>10^-(14-Q2226)</f>
        <v>3.1622776601683699E-8</v>
      </c>
      <c r="U2226" s="6">
        <v>0</v>
      </c>
      <c r="V2226" s="6">
        <v>0</v>
      </c>
      <c r="W2226" s="6">
        <v>0</v>
      </c>
      <c r="X2226" s="6">
        <v>0</v>
      </c>
      <c r="Y2226" t="s">
        <v>28</v>
      </c>
      <c r="Z2226" s="5">
        <v>-155</v>
      </c>
      <c r="AA2226" s="6">
        <v>1.8261641097388919E-3</v>
      </c>
      <c r="AB2226" s="6">
        <v>0.32179999999999997</v>
      </c>
      <c r="AC2226" s="6">
        <v>0.24399999999999999</v>
      </c>
      <c r="AD2226">
        <v>0.3</v>
      </c>
      <c r="AE2226">
        <v>656.9</v>
      </c>
      <c r="AF2226">
        <v>1</v>
      </c>
      <c r="AH2226" s="9">
        <v>2.7</v>
      </c>
      <c r="AI2226" s="9">
        <v>0.4</v>
      </c>
      <c r="AL2226" s="9">
        <v>17.899999999999999</v>
      </c>
      <c r="AM2226" s="9">
        <v>8.1</v>
      </c>
      <c r="AN2226" s="9">
        <v>0.3</v>
      </c>
      <c r="AO2226" s="9" t="s">
        <v>987</v>
      </c>
      <c r="AP2226"/>
    </row>
    <row r="2227" spans="1:42" x14ac:dyDescent="0.3">
      <c r="A2227" t="s">
        <v>1895</v>
      </c>
      <c r="B2227" t="s">
        <v>1894</v>
      </c>
      <c r="C2227">
        <v>89</v>
      </c>
      <c r="D2227" s="8">
        <v>302</v>
      </c>
      <c r="E2227">
        <v>1200</v>
      </c>
      <c r="G2227" t="s">
        <v>31</v>
      </c>
      <c r="H2227">
        <v>-1.2</v>
      </c>
      <c r="I2227" s="4">
        <v>1</v>
      </c>
      <c r="J2227">
        <v>0.25</v>
      </c>
      <c r="K2227">
        <v>1</v>
      </c>
      <c r="L2227" t="s">
        <v>140</v>
      </c>
      <c r="M2227" t="s">
        <v>28</v>
      </c>
      <c r="N2227" s="3">
        <v>1</v>
      </c>
      <c r="O2227" s="3">
        <v>0</v>
      </c>
      <c r="P2227">
        <v>22.5</v>
      </c>
      <c r="Q2227">
        <v>6.5</v>
      </c>
      <c r="R2227" t="s">
        <v>102</v>
      </c>
      <c r="S2227">
        <v>0</v>
      </c>
      <c r="T2227" s="6">
        <f>10^-(14-Q2227)</f>
        <v>3.1622776601683699E-8</v>
      </c>
      <c r="U2227" s="6">
        <v>0</v>
      </c>
      <c r="V2227" s="6">
        <v>0</v>
      </c>
      <c r="W2227" s="6">
        <v>0</v>
      </c>
      <c r="X2227" s="6">
        <v>0</v>
      </c>
      <c r="Y2227" t="s">
        <v>28</v>
      </c>
      <c r="Z2227" s="5">
        <v>-10.6</v>
      </c>
      <c r="AA2227" s="6">
        <v>1.2867280990030135E-3</v>
      </c>
      <c r="AB2227" s="6">
        <v>0.31059999999999999</v>
      </c>
      <c r="AC2227" s="6">
        <v>7.8E-2</v>
      </c>
      <c r="AD2227">
        <v>0.3</v>
      </c>
      <c r="AE2227">
        <v>729.9</v>
      </c>
      <c r="AF2227">
        <v>1</v>
      </c>
      <c r="AH2227" s="9">
        <v>2.7</v>
      </c>
      <c r="AI2227" s="9">
        <v>0.4</v>
      </c>
      <c r="AL2227" s="9">
        <v>17.899999999999999</v>
      </c>
      <c r="AM2227" s="9">
        <v>8.1</v>
      </c>
      <c r="AN2227" s="9">
        <v>0.3</v>
      </c>
      <c r="AO2227" s="9" t="s">
        <v>987</v>
      </c>
      <c r="AP2227"/>
    </row>
    <row r="2228" spans="1:42" x14ac:dyDescent="0.3">
      <c r="A2228" t="s">
        <v>1904</v>
      </c>
      <c r="B2228" t="s">
        <v>1894</v>
      </c>
      <c r="C2228">
        <v>89</v>
      </c>
      <c r="D2228" s="8">
        <v>302</v>
      </c>
      <c r="E2228">
        <v>1200</v>
      </c>
      <c r="G2228" t="s">
        <v>31</v>
      </c>
      <c r="H2228">
        <v>-1.2</v>
      </c>
      <c r="I2228" s="4">
        <v>1</v>
      </c>
      <c r="J2228">
        <v>0.25</v>
      </c>
      <c r="K2228">
        <v>24</v>
      </c>
      <c r="L2228" t="s">
        <v>140</v>
      </c>
      <c r="M2228" t="s">
        <v>28</v>
      </c>
      <c r="N2228" s="3">
        <v>1</v>
      </c>
      <c r="O2228" s="3">
        <v>0</v>
      </c>
      <c r="P2228">
        <v>22.5</v>
      </c>
      <c r="Q2228">
        <v>6.5</v>
      </c>
      <c r="R2228" t="s">
        <v>102</v>
      </c>
      <c r="S2228">
        <v>0</v>
      </c>
      <c r="T2228" s="6">
        <f>10^-(14-Q2228)</f>
        <v>3.1622776601683699E-8</v>
      </c>
      <c r="U2228" s="6">
        <v>0</v>
      </c>
      <c r="V2228" s="6">
        <v>0</v>
      </c>
      <c r="W2228" s="6">
        <v>0</v>
      </c>
      <c r="X2228" s="6">
        <v>0</v>
      </c>
      <c r="Y2228" t="s">
        <v>28</v>
      </c>
      <c r="Z2228" s="5">
        <v>-112</v>
      </c>
      <c r="AA2228" s="6">
        <v>4.5332420718721548E-4</v>
      </c>
      <c r="AB2228" s="6">
        <v>0.2452</v>
      </c>
      <c r="AC2228" s="6">
        <v>0.10829999999999999</v>
      </c>
      <c r="AD2228">
        <v>0.3</v>
      </c>
      <c r="AE2228">
        <v>626</v>
      </c>
      <c r="AF2228">
        <v>1</v>
      </c>
      <c r="AH2228" s="9">
        <v>2.7</v>
      </c>
      <c r="AI2228" s="9">
        <v>0.4</v>
      </c>
      <c r="AL2228" s="9">
        <v>17.899999999999999</v>
      </c>
      <c r="AM2228" s="9">
        <v>8.1</v>
      </c>
      <c r="AN2228" s="9">
        <v>0.3</v>
      </c>
      <c r="AO2228" s="9" t="s">
        <v>987</v>
      </c>
      <c r="AP2228"/>
    </row>
    <row r="2229" spans="1:42" x14ac:dyDescent="0.3">
      <c r="A2229" t="s">
        <v>1905</v>
      </c>
      <c r="B2229" t="s">
        <v>1894</v>
      </c>
      <c r="C2229">
        <v>89</v>
      </c>
      <c r="D2229" s="8">
        <v>302</v>
      </c>
      <c r="E2229">
        <v>1200</v>
      </c>
      <c r="G2229" t="s">
        <v>31</v>
      </c>
      <c r="H2229">
        <v>-1.2</v>
      </c>
      <c r="I2229" s="4">
        <v>1</v>
      </c>
      <c r="J2229">
        <v>0.25</v>
      </c>
      <c r="K2229">
        <v>24</v>
      </c>
      <c r="L2229" t="s">
        <v>140</v>
      </c>
      <c r="M2229" t="s">
        <v>28</v>
      </c>
      <c r="N2229" s="3">
        <v>1</v>
      </c>
      <c r="O2229" s="3">
        <v>0</v>
      </c>
      <c r="P2229">
        <v>22.5</v>
      </c>
      <c r="Q2229">
        <v>6.5</v>
      </c>
      <c r="R2229" t="s">
        <v>102</v>
      </c>
      <c r="S2229">
        <v>0</v>
      </c>
      <c r="T2229" s="6">
        <f>10^-(14-Q2229)</f>
        <v>3.1622776601683699E-8</v>
      </c>
      <c r="U2229" s="6">
        <v>0</v>
      </c>
      <c r="V2229" s="6">
        <v>0</v>
      </c>
      <c r="W2229" s="6">
        <v>0</v>
      </c>
      <c r="X2229" s="6">
        <v>0</v>
      </c>
      <c r="Y2229" t="s">
        <v>28</v>
      </c>
      <c r="Z2229" s="5">
        <v>-107</v>
      </c>
      <c r="AA2229" s="6">
        <v>3.2663097897768804E-4</v>
      </c>
      <c r="AB2229" s="6">
        <v>0.23760000000000001</v>
      </c>
      <c r="AC2229" s="6">
        <v>9.1999999999999998E-2</v>
      </c>
      <c r="AD2229">
        <v>0.3</v>
      </c>
      <c r="AE2229">
        <v>580.1</v>
      </c>
      <c r="AF2229">
        <v>1</v>
      </c>
      <c r="AH2229" s="9">
        <v>2.7</v>
      </c>
      <c r="AI2229" s="9">
        <v>0.4</v>
      </c>
      <c r="AL2229" s="9">
        <v>17.899999999999999</v>
      </c>
      <c r="AM2229" s="9">
        <v>8.1</v>
      </c>
      <c r="AN2229" s="9">
        <v>0.3</v>
      </c>
      <c r="AO2229" s="9" t="s">
        <v>987</v>
      </c>
      <c r="AP2229"/>
    </row>
    <row r="2230" spans="1:42" x14ac:dyDescent="0.3">
      <c r="A2230" t="s">
        <v>1930</v>
      </c>
      <c r="B2230" t="s">
        <v>1894</v>
      </c>
      <c r="C2230">
        <v>89</v>
      </c>
      <c r="D2230" s="8">
        <v>302</v>
      </c>
      <c r="E2230">
        <v>1200</v>
      </c>
      <c r="G2230" t="s">
        <v>29</v>
      </c>
      <c r="J2230">
        <v>48</v>
      </c>
      <c r="K2230">
        <v>1</v>
      </c>
      <c r="L2230" t="s">
        <v>140</v>
      </c>
      <c r="M2230" t="s">
        <v>28</v>
      </c>
      <c r="N2230" s="3">
        <v>1</v>
      </c>
      <c r="O2230" s="3">
        <v>0</v>
      </c>
      <c r="P2230">
        <v>22.5</v>
      </c>
      <c r="Q2230">
        <v>6.5</v>
      </c>
      <c r="R2230" t="s">
        <v>102</v>
      </c>
      <c r="S2230">
        <v>0</v>
      </c>
      <c r="T2230" s="6">
        <f>10^-(14-Q2230)</f>
        <v>3.1622776601683699E-8</v>
      </c>
      <c r="U2230" s="6">
        <v>0</v>
      </c>
      <c r="V2230" s="6">
        <v>0</v>
      </c>
      <c r="W2230" s="6">
        <v>0</v>
      </c>
      <c r="X2230" s="6">
        <v>0</v>
      </c>
      <c r="Y2230" t="s">
        <v>28</v>
      </c>
      <c r="Z2230" s="5">
        <v>-82</v>
      </c>
      <c r="AA2230" s="6"/>
      <c r="AB2230" s="6"/>
      <c r="AC2230" s="6">
        <v>5.0000000000000001E-4</v>
      </c>
      <c r="AD2230">
        <v>0.3</v>
      </c>
      <c r="AE2230">
        <v>342</v>
      </c>
      <c r="AF2230">
        <v>1</v>
      </c>
      <c r="AH2230" s="9">
        <v>2.7</v>
      </c>
      <c r="AI2230" s="9">
        <v>0.4</v>
      </c>
      <c r="AL2230" s="9">
        <v>17.899999999999999</v>
      </c>
      <c r="AM2230" s="9">
        <v>8.1</v>
      </c>
      <c r="AN2230" s="9">
        <v>0.3</v>
      </c>
      <c r="AP2230"/>
    </row>
    <row r="2231" spans="1:42" x14ac:dyDescent="0.3">
      <c r="A2231" t="s">
        <v>1931</v>
      </c>
      <c r="B2231" t="s">
        <v>1894</v>
      </c>
      <c r="C2231">
        <v>89</v>
      </c>
      <c r="D2231" s="8">
        <v>302</v>
      </c>
      <c r="E2231">
        <v>1200</v>
      </c>
      <c r="G2231" t="s">
        <v>29</v>
      </c>
      <c r="J2231">
        <v>48</v>
      </c>
      <c r="K2231">
        <v>1</v>
      </c>
      <c r="L2231" t="s">
        <v>140</v>
      </c>
      <c r="M2231" t="s">
        <v>28</v>
      </c>
      <c r="N2231" s="3">
        <v>1</v>
      </c>
      <c r="O2231" s="3">
        <v>0</v>
      </c>
      <c r="P2231">
        <v>22.5</v>
      </c>
      <c r="Q2231">
        <v>6.5</v>
      </c>
      <c r="R2231" t="s">
        <v>102</v>
      </c>
      <c r="S2231">
        <v>0</v>
      </c>
      <c r="T2231" s="6">
        <f>10^-(14-Q2231)</f>
        <v>3.1622776601683699E-8</v>
      </c>
      <c r="U2231" s="6">
        <v>0</v>
      </c>
      <c r="V2231" s="6">
        <v>0</v>
      </c>
      <c r="W2231" s="6">
        <v>0</v>
      </c>
      <c r="X2231" s="6">
        <v>0</v>
      </c>
      <c r="Y2231" t="s">
        <v>28</v>
      </c>
      <c r="Z2231" s="5">
        <v>-103</v>
      </c>
      <c r="AA2231" s="6"/>
      <c r="AB2231" s="6"/>
      <c r="AC2231" s="6">
        <v>1.1000000000000001E-3</v>
      </c>
      <c r="AD2231">
        <v>0.3</v>
      </c>
      <c r="AE2231">
        <v>389</v>
      </c>
      <c r="AF2231">
        <v>1</v>
      </c>
      <c r="AH2231" s="9">
        <v>2.7</v>
      </c>
      <c r="AI2231" s="9">
        <v>0.4</v>
      </c>
      <c r="AL2231" s="9">
        <v>17.899999999999999</v>
      </c>
      <c r="AM2231" s="9">
        <v>8.1</v>
      </c>
      <c r="AN2231" s="9">
        <v>0.3</v>
      </c>
      <c r="AP2231"/>
    </row>
    <row r="2232" spans="1:42" x14ac:dyDescent="0.3">
      <c r="A2232" t="s">
        <v>1932</v>
      </c>
      <c r="B2232" t="s">
        <v>1894</v>
      </c>
      <c r="C2232">
        <v>89</v>
      </c>
      <c r="D2232" s="8">
        <v>302</v>
      </c>
      <c r="E2232">
        <v>1200</v>
      </c>
      <c r="G2232" t="s">
        <v>29</v>
      </c>
      <c r="J2232">
        <v>48</v>
      </c>
      <c r="K2232">
        <v>1</v>
      </c>
      <c r="L2232" t="s">
        <v>140</v>
      </c>
      <c r="M2232" t="s">
        <v>28</v>
      </c>
      <c r="N2232" s="3">
        <v>1</v>
      </c>
      <c r="O2232" s="3">
        <v>0</v>
      </c>
      <c r="P2232">
        <v>22.5</v>
      </c>
      <c r="Q2232">
        <v>6.5</v>
      </c>
      <c r="R2232" t="s">
        <v>102</v>
      </c>
      <c r="S2232">
        <v>0</v>
      </c>
      <c r="T2232" s="6">
        <f>10^-(14-Q2232)</f>
        <v>3.1622776601683699E-8</v>
      </c>
      <c r="U2232" s="6">
        <v>0</v>
      </c>
      <c r="V2232" s="6">
        <v>0</v>
      </c>
      <c r="W2232" s="6">
        <v>0</v>
      </c>
      <c r="X2232" s="6">
        <v>0</v>
      </c>
      <c r="Y2232" t="s">
        <v>28</v>
      </c>
      <c r="Z2232" s="5">
        <v>-102</v>
      </c>
      <c r="AA2232" s="6"/>
      <c r="AB2232" s="6"/>
      <c r="AC2232" s="6">
        <v>1.5E-3</v>
      </c>
      <c r="AD2232">
        <v>0.3</v>
      </c>
      <c r="AE2232">
        <v>298</v>
      </c>
      <c r="AF2232">
        <v>1</v>
      </c>
      <c r="AH2232" s="9">
        <v>2.7</v>
      </c>
      <c r="AI2232" s="9">
        <v>0.4</v>
      </c>
      <c r="AL2232" s="9">
        <v>17.899999999999999</v>
      </c>
      <c r="AM2232" s="9">
        <v>8.1</v>
      </c>
      <c r="AN2232" s="9">
        <v>0.3</v>
      </c>
      <c r="AP2232"/>
    </row>
    <row r="2233" spans="1:42" x14ac:dyDescent="0.3">
      <c r="A2233" t="s">
        <v>1933</v>
      </c>
      <c r="B2233" t="s">
        <v>1894</v>
      </c>
      <c r="C2233">
        <v>89</v>
      </c>
      <c r="D2233" s="8">
        <v>1.4300999999999999</v>
      </c>
      <c r="E2233">
        <v>1200</v>
      </c>
      <c r="G2233" t="s">
        <v>29</v>
      </c>
      <c r="J2233">
        <v>48</v>
      </c>
      <c r="K2233">
        <v>1</v>
      </c>
      <c r="L2233" t="s">
        <v>140</v>
      </c>
      <c r="M2233" t="s">
        <v>28</v>
      </c>
      <c r="N2233" s="3">
        <v>1</v>
      </c>
      <c r="O2233" s="3">
        <v>0</v>
      </c>
      <c r="P2233">
        <v>22.5</v>
      </c>
      <c r="Q2233">
        <v>6.5</v>
      </c>
      <c r="R2233" t="s">
        <v>102</v>
      </c>
      <c r="S2233">
        <v>0</v>
      </c>
      <c r="T2233" s="6">
        <f>10^-(14-Q2233)</f>
        <v>3.1622776601683699E-8</v>
      </c>
      <c r="U2233" s="6">
        <v>0</v>
      </c>
      <c r="V2233" s="6">
        <v>0</v>
      </c>
      <c r="W2233" s="6">
        <v>0</v>
      </c>
      <c r="X2233" s="6">
        <v>0</v>
      </c>
      <c r="Y2233" t="s">
        <v>28</v>
      </c>
      <c r="Z2233" s="5">
        <v>-200</v>
      </c>
      <c r="AA2233" s="6"/>
      <c r="AB2233" s="6"/>
      <c r="AC2233" s="6">
        <v>6.9999999999999999E-4</v>
      </c>
      <c r="AD2233">
        <v>0.3</v>
      </c>
      <c r="AE2233">
        <v>463</v>
      </c>
      <c r="AF2233">
        <v>1</v>
      </c>
      <c r="AH2233" s="9">
        <v>2.7</v>
      </c>
      <c r="AI2233" s="9">
        <v>0.4</v>
      </c>
      <c r="AL2233" s="9">
        <v>17.899999999999999</v>
      </c>
      <c r="AM2233" s="9">
        <v>8.1</v>
      </c>
      <c r="AN2233" s="9">
        <v>0.3</v>
      </c>
      <c r="AP2233"/>
    </row>
    <row r="2234" spans="1:42" x14ac:dyDescent="0.3">
      <c r="A2234" t="s">
        <v>1934</v>
      </c>
      <c r="B2234" t="s">
        <v>1894</v>
      </c>
      <c r="C2234">
        <v>89</v>
      </c>
      <c r="D2234" s="8">
        <v>1.4300999999999999</v>
      </c>
      <c r="E2234">
        <v>1200</v>
      </c>
      <c r="G2234" t="s">
        <v>29</v>
      </c>
      <c r="J2234">
        <v>48</v>
      </c>
      <c r="K2234">
        <v>1</v>
      </c>
      <c r="L2234" t="s">
        <v>140</v>
      </c>
      <c r="M2234" t="s">
        <v>28</v>
      </c>
      <c r="N2234" s="3">
        <v>1</v>
      </c>
      <c r="O2234" s="3">
        <v>0</v>
      </c>
      <c r="P2234">
        <v>22.5</v>
      </c>
      <c r="Q2234">
        <v>6.5</v>
      </c>
      <c r="R2234" t="s">
        <v>102</v>
      </c>
      <c r="S2234">
        <v>0</v>
      </c>
      <c r="T2234" s="6">
        <f>10^-(14-Q2234)</f>
        <v>3.1622776601683699E-8</v>
      </c>
      <c r="U2234" s="6">
        <v>0</v>
      </c>
      <c r="V2234" s="6">
        <v>0</v>
      </c>
      <c r="W2234" s="6">
        <v>0</v>
      </c>
      <c r="X2234" s="6">
        <v>0</v>
      </c>
      <c r="Y2234" t="s">
        <v>28</v>
      </c>
      <c r="Z2234" s="5">
        <v>-188</v>
      </c>
      <c r="AA2234" s="6"/>
      <c r="AB2234" s="6"/>
      <c r="AC2234" s="6">
        <v>1.4E-3</v>
      </c>
      <c r="AD2234">
        <v>0.3</v>
      </c>
      <c r="AE2234">
        <v>459</v>
      </c>
      <c r="AF2234">
        <v>1</v>
      </c>
      <c r="AH2234" s="9">
        <v>2.7</v>
      </c>
      <c r="AI2234" s="9">
        <v>0.4</v>
      </c>
      <c r="AL2234" s="9">
        <v>17.899999999999999</v>
      </c>
      <c r="AM2234" s="9">
        <v>8.1</v>
      </c>
      <c r="AN2234" s="9">
        <v>0.3</v>
      </c>
      <c r="AP2234"/>
    </row>
    <row r="2235" spans="1:42" x14ac:dyDescent="0.3">
      <c r="A2235" t="s">
        <v>1935</v>
      </c>
      <c r="B2235" t="s">
        <v>1894</v>
      </c>
      <c r="C2235">
        <v>89</v>
      </c>
      <c r="D2235" s="8">
        <v>1.4300999999999999</v>
      </c>
      <c r="E2235">
        <v>1200</v>
      </c>
      <c r="G2235" t="s">
        <v>29</v>
      </c>
      <c r="J2235">
        <v>48</v>
      </c>
      <c r="K2235">
        <v>1</v>
      </c>
      <c r="L2235" t="s">
        <v>140</v>
      </c>
      <c r="M2235" t="s">
        <v>28</v>
      </c>
      <c r="N2235" s="3">
        <v>1</v>
      </c>
      <c r="O2235" s="3">
        <v>0</v>
      </c>
      <c r="P2235">
        <v>22.5</v>
      </c>
      <c r="Q2235">
        <v>6.5</v>
      </c>
      <c r="R2235" t="s">
        <v>102</v>
      </c>
      <c r="S2235">
        <v>0</v>
      </c>
      <c r="T2235" s="6">
        <f>10^-(14-Q2235)</f>
        <v>3.1622776601683699E-8</v>
      </c>
      <c r="U2235" s="6">
        <v>0</v>
      </c>
      <c r="V2235" s="6">
        <v>0</v>
      </c>
      <c r="W2235" s="6">
        <v>0</v>
      </c>
      <c r="X2235" s="6">
        <v>0</v>
      </c>
      <c r="Y2235" t="s">
        <v>28</v>
      </c>
      <c r="Z2235" s="5">
        <v>-192</v>
      </c>
      <c r="AA2235" s="6"/>
      <c r="AB2235" s="6"/>
      <c r="AC2235" s="6">
        <v>8.0000000000000004E-4</v>
      </c>
      <c r="AD2235">
        <v>0.3</v>
      </c>
      <c r="AE2235">
        <v>503</v>
      </c>
      <c r="AF2235">
        <v>1</v>
      </c>
      <c r="AH2235" s="9">
        <v>2.7</v>
      </c>
      <c r="AI2235" s="9">
        <v>0.4</v>
      </c>
      <c r="AL2235" s="9">
        <v>17.899999999999999</v>
      </c>
      <c r="AM2235" s="9">
        <v>8.1</v>
      </c>
      <c r="AN2235" s="9">
        <v>0.3</v>
      </c>
      <c r="AP2235"/>
    </row>
    <row r="2236" spans="1:42" x14ac:dyDescent="0.3">
      <c r="A2236" t="s">
        <v>1943</v>
      </c>
      <c r="B2236" t="s">
        <v>1894</v>
      </c>
      <c r="C2236">
        <v>89</v>
      </c>
      <c r="D2236" s="8">
        <v>302</v>
      </c>
      <c r="E2236">
        <v>1200</v>
      </c>
      <c r="G2236" t="s">
        <v>29</v>
      </c>
      <c r="J2236">
        <v>48</v>
      </c>
      <c r="K2236">
        <v>1</v>
      </c>
      <c r="L2236" t="s">
        <v>140</v>
      </c>
      <c r="M2236" t="s">
        <v>28</v>
      </c>
      <c r="N2236" s="3">
        <v>1</v>
      </c>
      <c r="O2236" s="3">
        <v>0</v>
      </c>
      <c r="P2236">
        <v>22.5</v>
      </c>
      <c r="Q2236">
        <v>6.5</v>
      </c>
      <c r="R2236" t="s">
        <v>102</v>
      </c>
      <c r="S2236">
        <v>0</v>
      </c>
      <c r="T2236" s="6">
        <f>10^-(14-Q2236)</f>
        <v>3.1622776601683699E-8</v>
      </c>
      <c r="U2236" s="6">
        <v>0</v>
      </c>
      <c r="V2236" s="6">
        <v>0</v>
      </c>
      <c r="W2236" s="6">
        <v>0</v>
      </c>
      <c r="X2236" s="6">
        <v>0</v>
      </c>
      <c r="Y2236" t="s">
        <v>28</v>
      </c>
      <c r="Z2236" s="5">
        <v>-81</v>
      </c>
      <c r="AA2236" s="6"/>
      <c r="AB2236" s="6"/>
      <c r="AC2236" s="6">
        <v>8.9999999999999998E-4</v>
      </c>
      <c r="AD2236">
        <v>0.3</v>
      </c>
      <c r="AE2236">
        <v>358</v>
      </c>
      <c r="AF2236">
        <v>1</v>
      </c>
      <c r="AH2236" s="9">
        <v>2.7</v>
      </c>
      <c r="AI2236" s="9">
        <v>0.4</v>
      </c>
      <c r="AL2236" s="9">
        <v>17.899999999999999</v>
      </c>
      <c r="AM2236" s="9">
        <v>8.1</v>
      </c>
      <c r="AN2236" s="9">
        <v>0.3</v>
      </c>
      <c r="AP2236"/>
    </row>
    <row r="2237" spans="1:42" x14ac:dyDescent="0.3">
      <c r="A2237" t="s">
        <v>1944</v>
      </c>
      <c r="B2237" t="s">
        <v>1894</v>
      </c>
      <c r="C2237">
        <v>89</v>
      </c>
      <c r="D2237" s="8">
        <v>302</v>
      </c>
      <c r="E2237">
        <v>1200</v>
      </c>
      <c r="G2237" t="s">
        <v>29</v>
      </c>
      <c r="J2237">
        <v>48</v>
      </c>
      <c r="K2237">
        <v>1</v>
      </c>
      <c r="L2237" t="s">
        <v>140</v>
      </c>
      <c r="M2237" t="s">
        <v>28</v>
      </c>
      <c r="N2237" s="3">
        <v>1</v>
      </c>
      <c r="O2237" s="3">
        <v>0</v>
      </c>
      <c r="P2237">
        <v>22.5</v>
      </c>
      <c r="Q2237">
        <v>6.5</v>
      </c>
      <c r="R2237" t="s">
        <v>102</v>
      </c>
      <c r="S2237">
        <v>0</v>
      </c>
      <c r="T2237" s="6">
        <f>10^-(14-Q2237)</f>
        <v>3.1622776601683699E-8</v>
      </c>
      <c r="U2237" s="6">
        <v>0</v>
      </c>
      <c r="V2237" s="6">
        <v>0</v>
      </c>
      <c r="W2237" s="6">
        <v>0</v>
      </c>
      <c r="X2237" s="6">
        <v>0</v>
      </c>
      <c r="Y2237" t="s">
        <v>28</v>
      </c>
      <c r="Z2237" s="5">
        <v>-93</v>
      </c>
      <c r="AA2237" s="6"/>
      <c r="AB2237" s="6"/>
      <c r="AC2237" s="6">
        <v>1.2999999999999999E-3</v>
      </c>
      <c r="AD2237">
        <v>0.3</v>
      </c>
      <c r="AE2237">
        <v>397</v>
      </c>
      <c r="AF2237">
        <v>1</v>
      </c>
      <c r="AH2237" s="9">
        <v>2.7</v>
      </c>
      <c r="AI2237" s="9">
        <v>0.4</v>
      </c>
      <c r="AL2237" s="9">
        <v>17.899999999999999</v>
      </c>
      <c r="AM2237" s="9">
        <v>8.1</v>
      </c>
      <c r="AN2237" s="9">
        <v>0.3</v>
      </c>
      <c r="AP2237"/>
    </row>
    <row r="2238" spans="1:42" x14ac:dyDescent="0.3">
      <c r="A2238" t="s">
        <v>1945</v>
      </c>
      <c r="B2238" t="s">
        <v>1894</v>
      </c>
      <c r="C2238">
        <v>89</v>
      </c>
      <c r="D2238" s="8">
        <v>302</v>
      </c>
      <c r="E2238">
        <v>1200</v>
      </c>
      <c r="G2238" t="s">
        <v>29</v>
      </c>
      <c r="J2238">
        <v>48</v>
      </c>
      <c r="K2238">
        <v>1</v>
      </c>
      <c r="L2238" t="s">
        <v>140</v>
      </c>
      <c r="M2238" t="s">
        <v>28</v>
      </c>
      <c r="N2238" s="3">
        <v>1</v>
      </c>
      <c r="O2238" s="3">
        <v>0</v>
      </c>
      <c r="P2238">
        <v>22.5</v>
      </c>
      <c r="Q2238">
        <v>6.5</v>
      </c>
      <c r="R2238" t="s">
        <v>102</v>
      </c>
      <c r="S2238">
        <v>0</v>
      </c>
      <c r="T2238" s="6">
        <f>10^-(14-Q2238)</f>
        <v>3.1622776601683699E-8</v>
      </c>
      <c r="U2238" s="6">
        <v>0</v>
      </c>
      <c r="V2238" s="6">
        <v>0</v>
      </c>
      <c r="W2238" s="6">
        <v>0</v>
      </c>
      <c r="X2238" s="6">
        <v>0</v>
      </c>
      <c r="Y2238" t="s">
        <v>28</v>
      </c>
      <c r="Z2238" s="5">
        <v>-80</v>
      </c>
      <c r="AA2238" s="6"/>
      <c r="AB2238" s="6"/>
      <c r="AC2238" s="6">
        <v>2.3E-3</v>
      </c>
      <c r="AD2238">
        <v>0.3</v>
      </c>
      <c r="AE2238">
        <v>390</v>
      </c>
      <c r="AF2238">
        <v>1</v>
      </c>
      <c r="AH2238" s="9">
        <v>2.7</v>
      </c>
      <c r="AI2238" s="9">
        <v>0.4</v>
      </c>
      <c r="AL2238" s="9">
        <v>17.899999999999999</v>
      </c>
      <c r="AM2238" s="9">
        <v>8.1</v>
      </c>
      <c r="AN2238" s="9">
        <v>0.3</v>
      </c>
      <c r="AP2238"/>
    </row>
    <row r="2239" spans="1:42" x14ac:dyDescent="0.3">
      <c r="A2239" t="s">
        <v>1952</v>
      </c>
      <c r="B2239" t="s">
        <v>1894</v>
      </c>
      <c r="C2239">
        <v>89</v>
      </c>
      <c r="D2239" s="8">
        <v>302</v>
      </c>
      <c r="E2239">
        <v>1200</v>
      </c>
      <c r="G2239" t="s">
        <v>29</v>
      </c>
      <c r="J2239">
        <v>48</v>
      </c>
      <c r="K2239">
        <v>1</v>
      </c>
      <c r="L2239" t="s">
        <v>140</v>
      </c>
      <c r="M2239" t="s">
        <v>28</v>
      </c>
      <c r="N2239" s="3">
        <v>1</v>
      </c>
      <c r="O2239" s="3">
        <v>0</v>
      </c>
      <c r="P2239">
        <v>22.5</v>
      </c>
      <c r="Q2239">
        <v>6.5</v>
      </c>
      <c r="R2239" t="s">
        <v>102</v>
      </c>
      <c r="S2239">
        <v>0</v>
      </c>
      <c r="T2239" s="6">
        <f>10^-(14-Q2239)</f>
        <v>3.1622776601683699E-8</v>
      </c>
      <c r="U2239" s="6">
        <v>0</v>
      </c>
      <c r="V2239" s="6">
        <v>0</v>
      </c>
      <c r="W2239" s="6">
        <v>0</v>
      </c>
      <c r="X2239" s="6">
        <v>0</v>
      </c>
      <c r="Y2239" t="s">
        <v>28</v>
      </c>
      <c r="Z2239" s="5">
        <v>-85</v>
      </c>
      <c r="AA2239" s="6"/>
      <c r="AB2239" s="6"/>
      <c r="AC2239" s="6">
        <v>1.1999999999999999E-3</v>
      </c>
      <c r="AD2239">
        <v>0.3</v>
      </c>
      <c r="AE2239">
        <v>351</v>
      </c>
      <c r="AF2239">
        <v>1</v>
      </c>
      <c r="AH2239" s="9">
        <v>2.7</v>
      </c>
      <c r="AI2239" s="9">
        <v>0.4</v>
      </c>
      <c r="AL2239" s="9">
        <v>17.899999999999999</v>
      </c>
      <c r="AM2239" s="9">
        <v>8.1</v>
      </c>
      <c r="AN2239" s="9">
        <v>0.3</v>
      </c>
      <c r="AP2239"/>
    </row>
    <row r="2240" spans="1:42" x14ac:dyDescent="0.3">
      <c r="A2240" t="s">
        <v>1953</v>
      </c>
      <c r="B2240" t="s">
        <v>1894</v>
      </c>
      <c r="C2240">
        <v>89</v>
      </c>
      <c r="D2240" s="8">
        <v>302</v>
      </c>
      <c r="E2240">
        <v>1200</v>
      </c>
      <c r="G2240" t="s">
        <v>29</v>
      </c>
      <c r="J2240">
        <v>48</v>
      </c>
      <c r="K2240">
        <v>1</v>
      </c>
      <c r="L2240" t="s">
        <v>140</v>
      </c>
      <c r="M2240" t="s">
        <v>28</v>
      </c>
      <c r="N2240" s="3">
        <v>1</v>
      </c>
      <c r="O2240" s="3">
        <v>0</v>
      </c>
      <c r="P2240">
        <v>22.5</v>
      </c>
      <c r="Q2240">
        <v>6.5</v>
      </c>
      <c r="R2240" t="s">
        <v>102</v>
      </c>
      <c r="S2240">
        <v>0</v>
      </c>
      <c r="T2240" s="6">
        <f>10^-(14-Q2240)</f>
        <v>3.1622776601683699E-8</v>
      </c>
      <c r="U2240" s="6">
        <v>0</v>
      </c>
      <c r="V2240" s="6">
        <v>0</v>
      </c>
      <c r="W2240" s="6">
        <v>0</v>
      </c>
      <c r="X2240" s="6">
        <v>0</v>
      </c>
      <c r="Y2240" t="s">
        <v>28</v>
      </c>
      <c r="Z2240" s="5">
        <v>-142</v>
      </c>
      <c r="AA2240" s="6"/>
      <c r="AB2240" s="6"/>
      <c r="AC2240" s="6">
        <v>6.9999999999999999E-4</v>
      </c>
      <c r="AD2240">
        <v>0.3</v>
      </c>
      <c r="AE2240">
        <v>539</v>
      </c>
      <c r="AF2240">
        <v>1</v>
      </c>
      <c r="AH2240" s="9">
        <v>2.7</v>
      </c>
      <c r="AI2240" s="9">
        <v>0.4</v>
      </c>
      <c r="AL2240" s="9">
        <v>17.899999999999999</v>
      </c>
      <c r="AM2240" s="9">
        <v>8.1</v>
      </c>
      <c r="AN2240" s="9">
        <v>0.3</v>
      </c>
      <c r="AP2240"/>
    </row>
    <row r="2241" spans="1:42" x14ac:dyDescent="0.3">
      <c r="A2241" t="s">
        <v>1954</v>
      </c>
      <c r="B2241" t="s">
        <v>1894</v>
      </c>
      <c r="C2241">
        <v>89</v>
      </c>
      <c r="D2241" s="8">
        <v>302</v>
      </c>
      <c r="E2241">
        <v>1200</v>
      </c>
      <c r="G2241" t="s">
        <v>29</v>
      </c>
      <c r="J2241">
        <v>48</v>
      </c>
      <c r="K2241">
        <v>1</v>
      </c>
      <c r="L2241" t="s">
        <v>140</v>
      </c>
      <c r="M2241" t="s">
        <v>28</v>
      </c>
      <c r="N2241" s="3">
        <v>1</v>
      </c>
      <c r="O2241" s="3">
        <v>0</v>
      </c>
      <c r="P2241">
        <v>22.5</v>
      </c>
      <c r="Q2241">
        <v>6.5</v>
      </c>
      <c r="R2241" t="s">
        <v>102</v>
      </c>
      <c r="S2241">
        <v>0</v>
      </c>
      <c r="T2241" s="6">
        <f>10^-(14-Q2241)</f>
        <v>3.1622776601683699E-8</v>
      </c>
      <c r="U2241" s="6">
        <v>0</v>
      </c>
      <c r="V2241" s="6">
        <v>0</v>
      </c>
      <c r="W2241" s="6">
        <v>0</v>
      </c>
      <c r="X2241" s="6">
        <v>0</v>
      </c>
      <c r="Y2241" t="s">
        <v>28</v>
      </c>
      <c r="Z2241" s="5">
        <v>-74</v>
      </c>
      <c r="AA2241" s="6"/>
      <c r="AB2241" s="6"/>
      <c r="AC2241" s="6">
        <v>5.9999999999999995E-4</v>
      </c>
      <c r="AD2241">
        <v>0.3</v>
      </c>
      <c r="AE2241">
        <v>532</v>
      </c>
      <c r="AF2241">
        <v>1</v>
      </c>
      <c r="AH2241" s="9">
        <v>2.7</v>
      </c>
      <c r="AI2241" s="9">
        <v>0.4</v>
      </c>
      <c r="AL2241" s="9">
        <v>17.899999999999999</v>
      </c>
      <c r="AM2241" s="9">
        <v>8.1</v>
      </c>
      <c r="AN2241" s="9">
        <v>0.3</v>
      </c>
      <c r="AP2241"/>
    </row>
    <row r="2242" spans="1:42" x14ac:dyDescent="0.3">
      <c r="A2242" t="s">
        <v>1960</v>
      </c>
      <c r="B2242" t="s">
        <v>1894</v>
      </c>
      <c r="C2242">
        <v>89</v>
      </c>
      <c r="D2242" s="8">
        <v>302</v>
      </c>
      <c r="E2242">
        <v>1200</v>
      </c>
      <c r="G2242" t="s">
        <v>29</v>
      </c>
      <c r="J2242">
        <v>48</v>
      </c>
      <c r="K2242">
        <v>1</v>
      </c>
      <c r="L2242" t="s">
        <v>140</v>
      </c>
      <c r="M2242" t="s">
        <v>28</v>
      </c>
      <c r="N2242" s="3">
        <v>1</v>
      </c>
      <c r="O2242" s="3">
        <v>0</v>
      </c>
      <c r="P2242">
        <v>22.5</v>
      </c>
      <c r="Q2242">
        <v>6.5</v>
      </c>
      <c r="R2242" t="s">
        <v>102</v>
      </c>
      <c r="S2242">
        <v>0</v>
      </c>
      <c r="T2242" s="6">
        <f>10^-(14-Q2242)</f>
        <v>3.1622776601683699E-8</v>
      </c>
      <c r="U2242" s="6">
        <v>0</v>
      </c>
      <c r="V2242" s="6">
        <v>0</v>
      </c>
      <c r="W2242" s="6">
        <v>0</v>
      </c>
      <c r="X2242" s="6">
        <v>0</v>
      </c>
      <c r="Y2242" t="s">
        <v>28</v>
      </c>
      <c r="Z2242" s="5">
        <v>-104</v>
      </c>
      <c r="AA2242" s="6"/>
      <c r="AB2242" s="6"/>
      <c r="AC2242" s="6"/>
      <c r="AD2242">
        <v>0.3</v>
      </c>
      <c r="AE2242">
        <v>347</v>
      </c>
      <c r="AF2242">
        <v>1</v>
      </c>
      <c r="AH2242" s="9">
        <v>2.7</v>
      </c>
      <c r="AI2242" s="9">
        <v>0.4</v>
      </c>
      <c r="AL2242" s="9">
        <v>17.899999999999999</v>
      </c>
      <c r="AM2242" s="9">
        <v>8.1</v>
      </c>
      <c r="AN2242" s="9">
        <v>0.3</v>
      </c>
      <c r="AP2242"/>
    </row>
    <row r="2243" spans="1:42" x14ac:dyDescent="0.3">
      <c r="A2243" t="s">
        <v>1961</v>
      </c>
      <c r="B2243" t="s">
        <v>1894</v>
      </c>
      <c r="C2243">
        <v>89</v>
      </c>
      <c r="D2243" s="8">
        <v>302</v>
      </c>
      <c r="E2243">
        <v>1200</v>
      </c>
      <c r="G2243" t="s">
        <v>29</v>
      </c>
      <c r="J2243">
        <v>48</v>
      </c>
      <c r="K2243">
        <v>1</v>
      </c>
      <c r="L2243" t="s">
        <v>140</v>
      </c>
      <c r="M2243" t="s">
        <v>28</v>
      </c>
      <c r="N2243" s="3">
        <v>1</v>
      </c>
      <c r="O2243" s="3">
        <v>0</v>
      </c>
      <c r="P2243">
        <v>22.5</v>
      </c>
      <c r="Q2243">
        <v>6.5</v>
      </c>
      <c r="R2243" t="s">
        <v>102</v>
      </c>
      <c r="S2243">
        <v>0</v>
      </c>
      <c r="T2243" s="6">
        <f>10^-(14-Q2243)</f>
        <v>3.1622776601683699E-8</v>
      </c>
      <c r="U2243" s="6">
        <v>0</v>
      </c>
      <c r="V2243" s="6">
        <v>0</v>
      </c>
      <c r="W2243" s="6">
        <v>0</v>
      </c>
      <c r="X2243" s="6">
        <v>0</v>
      </c>
      <c r="Y2243" t="s">
        <v>28</v>
      </c>
      <c r="Z2243" s="5">
        <v>-108</v>
      </c>
      <c r="AA2243" s="6"/>
      <c r="AB2243" s="6"/>
      <c r="AC2243" s="6"/>
      <c r="AD2243">
        <v>0.3</v>
      </c>
      <c r="AE2243">
        <v>340</v>
      </c>
      <c r="AF2243">
        <v>1</v>
      </c>
      <c r="AH2243" s="9">
        <v>2.7</v>
      </c>
      <c r="AI2243" s="9">
        <v>0.4</v>
      </c>
      <c r="AL2243" s="9">
        <v>17.899999999999999</v>
      </c>
      <c r="AM2243" s="9">
        <v>8.1</v>
      </c>
      <c r="AN2243" s="9">
        <v>0.3</v>
      </c>
      <c r="AP2243"/>
    </row>
    <row r="2244" spans="1:42" x14ac:dyDescent="0.3">
      <c r="A2244" t="s">
        <v>1962</v>
      </c>
      <c r="B2244" t="s">
        <v>1894</v>
      </c>
      <c r="C2244">
        <v>89</v>
      </c>
      <c r="D2244" s="8">
        <v>302</v>
      </c>
      <c r="E2244">
        <v>1200</v>
      </c>
      <c r="G2244" t="s">
        <v>29</v>
      </c>
      <c r="J2244">
        <v>48</v>
      </c>
      <c r="K2244">
        <v>1</v>
      </c>
      <c r="L2244" t="s">
        <v>140</v>
      </c>
      <c r="M2244" t="s">
        <v>28</v>
      </c>
      <c r="N2244" s="3">
        <v>1</v>
      </c>
      <c r="O2244" s="3">
        <v>0</v>
      </c>
      <c r="P2244">
        <v>22.5</v>
      </c>
      <c r="Q2244">
        <v>6.5</v>
      </c>
      <c r="R2244" t="s">
        <v>102</v>
      </c>
      <c r="S2244">
        <v>0</v>
      </c>
      <c r="T2244" s="6">
        <f>10^-(14-Q2244)</f>
        <v>3.1622776601683699E-8</v>
      </c>
      <c r="U2244" s="6">
        <v>0</v>
      </c>
      <c r="V2244" s="6">
        <v>0</v>
      </c>
      <c r="W2244" s="6">
        <v>0</v>
      </c>
      <c r="X2244" s="6">
        <v>0</v>
      </c>
      <c r="Y2244" t="s">
        <v>28</v>
      </c>
      <c r="Z2244" s="5">
        <v>-109</v>
      </c>
      <c r="AA2244" s="6"/>
      <c r="AB2244" s="6"/>
      <c r="AC2244" s="6"/>
      <c r="AD2244">
        <v>0.3</v>
      </c>
      <c r="AE2244">
        <v>340</v>
      </c>
      <c r="AF2244">
        <v>1</v>
      </c>
      <c r="AH2244" s="9">
        <v>2.7</v>
      </c>
      <c r="AI2244" s="9">
        <v>0.4</v>
      </c>
      <c r="AL2244" s="9">
        <v>17.899999999999999</v>
      </c>
      <c r="AM2244" s="9">
        <v>8.1</v>
      </c>
      <c r="AN2244" s="9">
        <v>0.3</v>
      </c>
      <c r="AP2244"/>
    </row>
    <row r="2245" spans="1:42" x14ac:dyDescent="0.3">
      <c r="A2245" t="s">
        <v>1963</v>
      </c>
      <c r="B2245" t="s">
        <v>1894</v>
      </c>
      <c r="C2245">
        <v>89</v>
      </c>
      <c r="D2245" s="8">
        <v>302</v>
      </c>
      <c r="E2245">
        <v>1200</v>
      </c>
      <c r="G2245" t="s">
        <v>29</v>
      </c>
      <c r="J2245">
        <v>48</v>
      </c>
      <c r="K2245">
        <v>1</v>
      </c>
      <c r="L2245" t="s">
        <v>140</v>
      </c>
      <c r="M2245" t="s">
        <v>28</v>
      </c>
      <c r="N2245" s="3">
        <v>1</v>
      </c>
      <c r="O2245" s="3">
        <v>0</v>
      </c>
      <c r="P2245">
        <v>22.5</v>
      </c>
      <c r="Q2245">
        <v>6.5</v>
      </c>
      <c r="R2245" t="s">
        <v>102</v>
      </c>
      <c r="S2245">
        <v>0</v>
      </c>
      <c r="T2245" s="6">
        <f>10^-(14-Q2245)</f>
        <v>3.1622776601683699E-8</v>
      </c>
      <c r="U2245" s="6">
        <v>0</v>
      </c>
      <c r="V2245" s="6">
        <v>0</v>
      </c>
      <c r="W2245" s="6">
        <v>0</v>
      </c>
      <c r="X2245" s="6">
        <v>0</v>
      </c>
      <c r="Y2245" t="s">
        <v>28</v>
      </c>
      <c r="Z2245" s="5">
        <v>-116</v>
      </c>
      <c r="AA2245" s="6"/>
      <c r="AB2245" s="6"/>
      <c r="AC2245" s="6"/>
      <c r="AD2245">
        <v>0.3</v>
      </c>
      <c r="AE2245">
        <v>352</v>
      </c>
      <c r="AF2245">
        <v>1</v>
      </c>
      <c r="AH2245" s="9">
        <v>2.7</v>
      </c>
      <c r="AI2245" s="9">
        <v>0.4</v>
      </c>
      <c r="AL2245" s="9">
        <v>17.899999999999999</v>
      </c>
      <c r="AM2245" s="9">
        <v>8.1</v>
      </c>
      <c r="AN2245" s="9">
        <v>0.3</v>
      </c>
      <c r="AP2245"/>
    </row>
    <row r="2246" spans="1:42" x14ac:dyDescent="0.3">
      <c r="A2246" t="s">
        <v>1900</v>
      </c>
      <c r="B2246" t="s">
        <v>1894</v>
      </c>
      <c r="C2246">
        <v>89</v>
      </c>
      <c r="D2246" s="8" t="s">
        <v>1632</v>
      </c>
      <c r="E2246">
        <v>1200</v>
      </c>
      <c r="G2246" t="s">
        <v>31</v>
      </c>
      <c r="H2246">
        <v>-1.2</v>
      </c>
      <c r="I2246" s="4">
        <v>1</v>
      </c>
      <c r="J2246">
        <v>0.25</v>
      </c>
      <c r="K2246">
        <v>1</v>
      </c>
      <c r="L2246" t="s">
        <v>140</v>
      </c>
      <c r="M2246" t="s">
        <v>28</v>
      </c>
      <c r="N2246" s="3">
        <v>1</v>
      </c>
      <c r="O2246" s="3">
        <v>0</v>
      </c>
      <c r="P2246">
        <v>22.5</v>
      </c>
      <c r="Q2246">
        <v>6.5</v>
      </c>
      <c r="R2246" t="s">
        <v>102</v>
      </c>
      <c r="S2246">
        <v>0</v>
      </c>
      <c r="T2246" s="6">
        <f>10^-(14-Q2246)</f>
        <v>3.1622776601683699E-8</v>
      </c>
      <c r="U2246" s="6">
        <v>0</v>
      </c>
      <c r="V2246" s="6">
        <v>0</v>
      </c>
      <c r="W2246" s="6">
        <v>0</v>
      </c>
      <c r="X2246" s="6">
        <v>0</v>
      </c>
      <c r="Y2246" t="s">
        <v>28</v>
      </c>
      <c r="Z2246" s="5">
        <v>-106</v>
      </c>
      <c r="AA2246" s="6">
        <v>1.8228913329865683E-3</v>
      </c>
      <c r="AB2246" s="6">
        <v>0.39379999999999998</v>
      </c>
      <c r="AC2246" s="6">
        <v>0.22370000000000001</v>
      </c>
      <c r="AD2246">
        <v>0.3</v>
      </c>
      <c r="AE2246">
        <v>674.5</v>
      </c>
      <c r="AF2246">
        <v>1</v>
      </c>
      <c r="AG2246" s="9">
        <v>7.0000000000000007E-2</v>
      </c>
      <c r="AL2246" s="9">
        <v>18</v>
      </c>
      <c r="AM2246" s="9">
        <v>9</v>
      </c>
      <c r="AN2246" s="9" t="s">
        <v>987</v>
      </c>
      <c r="AO2246" s="9" t="s">
        <v>987</v>
      </c>
      <c r="AP2246"/>
    </row>
    <row r="2247" spans="1:42" x14ac:dyDescent="0.3">
      <c r="A2247" t="s">
        <v>1901</v>
      </c>
      <c r="B2247" t="s">
        <v>1894</v>
      </c>
      <c r="C2247">
        <v>89</v>
      </c>
      <c r="D2247" s="8" t="s">
        <v>1632</v>
      </c>
      <c r="E2247">
        <v>1200</v>
      </c>
      <c r="G2247" t="s">
        <v>31</v>
      </c>
      <c r="H2247">
        <v>-1.2</v>
      </c>
      <c r="I2247" s="4">
        <v>1</v>
      </c>
      <c r="J2247">
        <v>0.25</v>
      </c>
      <c r="K2247">
        <v>1</v>
      </c>
      <c r="L2247" t="s">
        <v>140</v>
      </c>
      <c r="M2247" t="s">
        <v>28</v>
      </c>
      <c r="N2247" s="3">
        <v>1</v>
      </c>
      <c r="O2247" s="3">
        <v>0</v>
      </c>
      <c r="P2247">
        <v>22.5</v>
      </c>
      <c r="Q2247">
        <v>6.5</v>
      </c>
      <c r="R2247" t="s">
        <v>102</v>
      </c>
      <c r="S2247">
        <v>0</v>
      </c>
      <c r="T2247" s="6">
        <f>10^-(14-Q2247)</f>
        <v>3.1622776601683699E-8</v>
      </c>
      <c r="U2247" s="6">
        <v>0</v>
      </c>
      <c r="V2247" s="6">
        <v>0</v>
      </c>
      <c r="W2247" s="6">
        <v>0</v>
      </c>
      <c r="X2247" s="6">
        <v>0</v>
      </c>
      <c r="Y2247" t="s">
        <v>28</v>
      </c>
      <c r="Z2247" s="5">
        <v>-60.9</v>
      </c>
      <c r="AA2247" s="6">
        <v>1.1172559782820907E-3</v>
      </c>
      <c r="AB2247" s="6">
        <v>0.34189999999999998</v>
      </c>
      <c r="AC2247" s="6">
        <v>0.1201</v>
      </c>
      <c r="AD2247">
        <v>0.3</v>
      </c>
      <c r="AE2247">
        <v>899.4</v>
      </c>
      <c r="AF2247">
        <v>1</v>
      </c>
      <c r="AG2247" s="9">
        <v>7.0000000000000007E-2</v>
      </c>
      <c r="AL2247" s="9">
        <v>18</v>
      </c>
      <c r="AM2247" s="9">
        <v>9</v>
      </c>
      <c r="AN2247" s="9" t="s">
        <v>987</v>
      </c>
      <c r="AO2247" s="9" t="s">
        <v>987</v>
      </c>
      <c r="AP2247"/>
    </row>
    <row r="2248" spans="1:42" x14ac:dyDescent="0.3">
      <c r="A2248" t="s">
        <v>1902</v>
      </c>
      <c r="B2248" t="s">
        <v>1894</v>
      </c>
      <c r="C2248">
        <v>89</v>
      </c>
      <c r="D2248" s="8">
        <v>430</v>
      </c>
      <c r="E2248">
        <v>1200</v>
      </c>
      <c r="G2248" t="s">
        <v>31</v>
      </c>
      <c r="H2248">
        <v>-1.2</v>
      </c>
      <c r="I2248" s="4">
        <v>1</v>
      </c>
      <c r="J2248">
        <v>0.25</v>
      </c>
      <c r="K2248">
        <v>1</v>
      </c>
      <c r="L2248" t="s">
        <v>140</v>
      </c>
      <c r="M2248" t="s">
        <v>28</v>
      </c>
      <c r="N2248" s="3">
        <v>1</v>
      </c>
      <c r="O2248" s="3">
        <v>0</v>
      </c>
      <c r="P2248">
        <v>22.5</v>
      </c>
      <c r="Q2248">
        <v>6.5</v>
      </c>
      <c r="R2248" t="s">
        <v>102</v>
      </c>
      <c r="S2248">
        <v>0</v>
      </c>
      <c r="T2248" s="6">
        <f>10^-(14-Q2248)</f>
        <v>3.1622776601683699E-8</v>
      </c>
      <c r="U2248" s="6">
        <v>0</v>
      </c>
      <c r="V2248" s="6">
        <v>0</v>
      </c>
      <c r="W2248" s="6">
        <v>0</v>
      </c>
      <c r="X2248" s="6">
        <v>0</v>
      </c>
      <c r="Y2248" t="s">
        <v>28</v>
      </c>
      <c r="Z2248" s="5">
        <v>29.3</v>
      </c>
      <c r="AA2248" s="6">
        <v>2.0833429699141687E-3</v>
      </c>
      <c r="AB2248" s="6">
        <v>0.66569999999999996</v>
      </c>
      <c r="AC2248" s="6">
        <v>0.16120000000000001</v>
      </c>
      <c r="AD2248">
        <v>0.3</v>
      </c>
      <c r="AE2248">
        <v>134.5</v>
      </c>
      <c r="AF2248">
        <v>1</v>
      </c>
      <c r="AL2248" s="9">
        <v>18</v>
      </c>
      <c r="AM2248" s="9">
        <v>0</v>
      </c>
      <c r="AN2248" s="9" t="s">
        <v>987</v>
      </c>
      <c r="AO2248" s="9" t="s">
        <v>987</v>
      </c>
      <c r="AP2248"/>
    </row>
    <row r="2249" spans="1:42" x14ac:dyDescent="0.3">
      <c r="A2249" t="s">
        <v>1903</v>
      </c>
      <c r="B2249" t="s">
        <v>1894</v>
      </c>
      <c r="C2249">
        <v>89</v>
      </c>
      <c r="D2249" s="8">
        <v>430</v>
      </c>
      <c r="E2249">
        <v>1200</v>
      </c>
      <c r="G2249" t="s">
        <v>31</v>
      </c>
      <c r="H2249">
        <v>-1.2</v>
      </c>
      <c r="I2249" s="4">
        <v>1</v>
      </c>
      <c r="J2249">
        <v>0.25</v>
      </c>
      <c r="K2249">
        <v>1</v>
      </c>
      <c r="L2249" t="s">
        <v>140</v>
      </c>
      <c r="M2249" t="s">
        <v>28</v>
      </c>
      <c r="N2249" s="3">
        <v>1</v>
      </c>
      <c r="O2249" s="3">
        <v>0</v>
      </c>
      <c r="P2249">
        <v>22.5</v>
      </c>
      <c r="Q2249">
        <v>6.5</v>
      </c>
      <c r="R2249" t="s">
        <v>102</v>
      </c>
      <c r="S2249">
        <v>0</v>
      </c>
      <c r="T2249" s="6">
        <f>10^-(14-Q2249)</f>
        <v>3.1622776601683699E-8</v>
      </c>
      <c r="U2249" s="6">
        <v>0</v>
      </c>
      <c r="V2249" s="6">
        <v>0</v>
      </c>
      <c r="W2249" s="6">
        <v>0</v>
      </c>
      <c r="X2249" s="6">
        <v>0</v>
      </c>
      <c r="Y2249" t="s">
        <v>28</v>
      </c>
      <c r="Z2249" s="5">
        <v>-28.8</v>
      </c>
      <c r="AA2249" s="6">
        <v>1.0095940810443053E-3</v>
      </c>
      <c r="AB2249" s="6">
        <v>0.2026</v>
      </c>
      <c r="AC2249" s="6">
        <v>0.15290000000000001</v>
      </c>
      <c r="AD2249">
        <v>0.3</v>
      </c>
      <c r="AE2249">
        <v>145.1</v>
      </c>
      <c r="AF2249">
        <v>1</v>
      </c>
      <c r="AL2249" s="9">
        <v>18</v>
      </c>
      <c r="AM2249" s="9">
        <v>0</v>
      </c>
      <c r="AN2249" s="9" t="s">
        <v>987</v>
      </c>
      <c r="AO2249" s="9" t="s">
        <v>987</v>
      </c>
      <c r="AP2249"/>
    </row>
    <row r="2250" spans="1:42" x14ac:dyDescent="0.3">
      <c r="A2250" t="s">
        <v>1896</v>
      </c>
      <c r="B2250" t="s">
        <v>1894</v>
      </c>
      <c r="C2250">
        <v>89</v>
      </c>
      <c r="D2250" s="8" t="s">
        <v>984</v>
      </c>
      <c r="E2250">
        <v>1200</v>
      </c>
      <c r="G2250" t="s">
        <v>31</v>
      </c>
      <c r="H2250">
        <v>-1.2</v>
      </c>
      <c r="I2250" s="4">
        <v>1</v>
      </c>
      <c r="J2250">
        <v>0.25</v>
      </c>
      <c r="K2250">
        <v>1</v>
      </c>
      <c r="L2250" t="s">
        <v>140</v>
      </c>
      <c r="M2250" t="s">
        <v>28</v>
      </c>
      <c r="N2250" s="3">
        <v>1</v>
      </c>
      <c r="O2250" s="3">
        <v>0</v>
      </c>
      <c r="P2250">
        <v>22.5</v>
      </c>
      <c r="Q2250">
        <v>6.5</v>
      </c>
      <c r="R2250" t="s">
        <v>102</v>
      </c>
      <c r="S2250">
        <v>0</v>
      </c>
      <c r="T2250" s="6">
        <f>10^-(14-Q2250)</f>
        <v>3.1622776601683699E-8</v>
      </c>
      <c r="U2250" s="6">
        <v>0</v>
      </c>
      <c r="V2250" s="6">
        <v>0</v>
      </c>
      <c r="W2250" s="6">
        <v>0</v>
      </c>
      <c r="X2250" s="6">
        <v>0</v>
      </c>
      <c r="Y2250" t="s">
        <v>28</v>
      </c>
      <c r="Z2250" s="5">
        <v>-52.3</v>
      </c>
      <c r="AA2250" s="6">
        <v>1.5060303916152951E-3</v>
      </c>
      <c r="AB2250" s="6">
        <v>0.3206</v>
      </c>
      <c r="AC2250" s="6">
        <v>7.6799999999999993E-2</v>
      </c>
      <c r="AD2250">
        <v>0.3</v>
      </c>
      <c r="AE2250">
        <v>830.1</v>
      </c>
      <c r="AF2250">
        <v>1</v>
      </c>
      <c r="AP2250"/>
    </row>
    <row r="2251" spans="1:42" x14ac:dyDescent="0.3">
      <c r="A2251" t="s">
        <v>1897</v>
      </c>
      <c r="B2251" t="s">
        <v>1894</v>
      </c>
      <c r="C2251">
        <v>89</v>
      </c>
      <c r="D2251" s="8" t="s">
        <v>984</v>
      </c>
      <c r="E2251">
        <v>1200</v>
      </c>
      <c r="G2251" t="s">
        <v>31</v>
      </c>
      <c r="H2251">
        <v>-1.2</v>
      </c>
      <c r="I2251" s="4">
        <v>1</v>
      </c>
      <c r="J2251">
        <v>0.25</v>
      </c>
      <c r="K2251">
        <v>1</v>
      </c>
      <c r="L2251" t="s">
        <v>140</v>
      </c>
      <c r="M2251" t="s">
        <v>28</v>
      </c>
      <c r="N2251" s="3">
        <v>1</v>
      </c>
      <c r="O2251" s="3">
        <v>0</v>
      </c>
      <c r="P2251">
        <v>22.5</v>
      </c>
      <c r="Q2251">
        <v>6.5</v>
      </c>
      <c r="R2251" t="s">
        <v>102</v>
      </c>
      <c r="S2251">
        <v>0</v>
      </c>
      <c r="T2251" s="6">
        <f>10^-(14-Q2251)</f>
        <v>3.1622776601683699E-8</v>
      </c>
      <c r="U2251" s="6">
        <v>0</v>
      </c>
      <c r="V2251" s="6">
        <v>0</v>
      </c>
      <c r="W2251" s="6">
        <v>0</v>
      </c>
      <c r="X2251" s="6">
        <v>0</v>
      </c>
      <c r="Y2251" t="s">
        <v>28</v>
      </c>
      <c r="Z2251" s="5">
        <v>104</v>
      </c>
      <c r="AA2251" s="6">
        <v>4.7777515871933509E-4</v>
      </c>
      <c r="AB2251" s="6">
        <v>0.23699999999999999</v>
      </c>
      <c r="AC2251" s="6">
        <v>6.0699999999999997E-2</v>
      </c>
      <c r="AD2251">
        <v>0.3</v>
      </c>
      <c r="AE2251">
        <v>872.1</v>
      </c>
      <c r="AF2251">
        <v>1</v>
      </c>
      <c r="AP2251"/>
    </row>
    <row r="2252" spans="1:42" x14ac:dyDescent="0.3">
      <c r="A2252" t="s">
        <v>1898</v>
      </c>
      <c r="B2252" t="s">
        <v>1894</v>
      </c>
      <c r="C2252">
        <v>89</v>
      </c>
      <c r="D2252" s="8" t="s">
        <v>984</v>
      </c>
      <c r="E2252">
        <v>1200</v>
      </c>
      <c r="G2252" t="s">
        <v>31</v>
      </c>
      <c r="H2252">
        <v>-1.2</v>
      </c>
      <c r="I2252" s="4">
        <v>1</v>
      </c>
      <c r="J2252">
        <v>0.25</v>
      </c>
      <c r="K2252">
        <v>1</v>
      </c>
      <c r="L2252" t="s">
        <v>140</v>
      </c>
      <c r="M2252" t="s">
        <v>28</v>
      </c>
      <c r="N2252" s="3">
        <v>1</v>
      </c>
      <c r="O2252" s="3">
        <v>0</v>
      </c>
      <c r="P2252">
        <v>22.5</v>
      </c>
      <c r="Q2252">
        <v>6.5</v>
      </c>
      <c r="R2252" t="s">
        <v>102</v>
      </c>
      <c r="S2252">
        <v>0</v>
      </c>
      <c r="T2252" s="6">
        <f>10^-(14-Q2252)</f>
        <v>3.1622776601683699E-8</v>
      </c>
      <c r="U2252" s="6">
        <v>0</v>
      </c>
      <c r="V2252" s="6">
        <v>0</v>
      </c>
      <c r="W2252" s="6">
        <v>0</v>
      </c>
      <c r="X2252" s="6">
        <v>0</v>
      </c>
      <c r="Y2252" t="s">
        <v>28</v>
      </c>
      <c r="Z2252" s="5">
        <v>-123</v>
      </c>
      <c r="AA2252" s="6">
        <v>1.8198091621995608E-3</v>
      </c>
      <c r="AB2252" s="6">
        <v>0.36280000000000001</v>
      </c>
      <c r="AC2252" s="6">
        <v>0.17960000000000001</v>
      </c>
      <c r="AD2252">
        <v>0.3</v>
      </c>
      <c r="AE2252">
        <v>1000</v>
      </c>
      <c r="AF2252">
        <v>2</v>
      </c>
      <c r="AP2252"/>
    </row>
    <row r="2253" spans="1:42" x14ac:dyDescent="0.3">
      <c r="A2253" t="s">
        <v>1899</v>
      </c>
      <c r="B2253" t="s">
        <v>1894</v>
      </c>
      <c r="C2253">
        <v>89</v>
      </c>
      <c r="D2253" s="8" t="s">
        <v>984</v>
      </c>
      <c r="E2253">
        <v>1200</v>
      </c>
      <c r="G2253" t="s">
        <v>31</v>
      </c>
      <c r="H2253">
        <v>-1.2</v>
      </c>
      <c r="I2253" s="4">
        <v>1</v>
      </c>
      <c r="J2253">
        <v>0.25</v>
      </c>
      <c r="K2253">
        <v>1</v>
      </c>
      <c r="L2253" t="s">
        <v>140</v>
      </c>
      <c r="M2253" t="s">
        <v>28</v>
      </c>
      <c r="N2253" s="3">
        <v>1</v>
      </c>
      <c r="O2253" s="3">
        <v>0</v>
      </c>
      <c r="P2253">
        <v>22.5</v>
      </c>
      <c r="Q2253">
        <v>6.5</v>
      </c>
      <c r="R2253" t="s">
        <v>102</v>
      </c>
      <c r="S2253">
        <v>0</v>
      </c>
      <c r="T2253" s="6">
        <f>10^-(14-Q2253)</f>
        <v>3.1622776601683699E-8</v>
      </c>
      <c r="U2253" s="6">
        <v>0</v>
      </c>
      <c r="V2253" s="6">
        <v>0</v>
      </c>
      <c r="W2253" s="6">
        <v>0</v>
      </c>
      <c r="X2253" s="6">
        <v>0</v>
      </c>
      <c r="Y2253" t="s">
        <v>28</v>
      </c>
      <c r="Z2253" s="5">
        <v>20.9</v>
      </c>
      <c r="AA2253" s="6">
        <v>7.7571002057787056E-4</v>
      </c>
      <c r="AB2253" s="6">
        <v>0.2676</v>
      </c>
      <c r="AC2253" s="6">
        <v>9.2399999999999996E-2</v>
      </c>
      <c r="AD2253">
        <v>0.3</v>
      </c>
      <c r="AE2253">
        <v>999.3</v>
      </c>
      <c r="AF2253">
        <v>1</v>
      </c>
      <c r="AP2253"/>
    </row>
    <row r="2254" spans="1:42" x14ac:dyDescent="0.3">
      <c r="A2254" t="s">
        <v>1906</v>
      </c>
      <c r="B2254" t="s">
        <v>1894</v>
      </c>
      <c r="C2254">
        <v>89</v>
      </c>
      <c r="D2254" s="8" t="s">
        <v>984</v>
      </c>
      <c r="E2254">
        <v>1200</v>
      </c>
      <c r="G2254" t="s">
        <v>31</v>
      </c>
      <c r="H2254">
        <v>-1.2</v>
      </c>
      <c r="I2254" s="4">
        <v>1</v>
      </c>
      <c r="J2254">
        <v>0.25</v>
      </c>
      <c r="K2254">
        <v>24</v>
      </c>
      <c r="L2254" t="s">
        <v>140</v>
      </c>
      <c r="M2254" t="s">
        <v>28</v>
      </c>
      <c r="N2254" s="3">
        <v>1</v>
      </c>
      <c r="O2254" s="3">
        <v>0</v>
      </c>
      <c r="P2254">
        <v>22.5</v>
      </c>
      <c r="Q2254">
        <v>6.5</v>
      </c>
      <c r="R2254" t="s">
        <v>102</v>
      </c>
      <c r="S2254">
        <v>0</v>
      </c>
      <c r="T2254" s="6">
        <f>10^-(14-Q2254)</f>
        <v>3.1622776601683699E-8</v>
      </c>
      <c r="U2254" s="6">
        <v>0</v>
      </c>
      <c r="V2254" s="6">
        <v>0</v>
      </c>
      <c r="W2254" s="6">
        <v>0</v>
      </c>
      <c r="X2254" s="6">
        <v>0</v>
      </c>
      <c r="Y2254" t="s">
        <v>28</v>
      </c>
      <c r="Z2254" s="5">
        <v>-62</v>
      </c>
      <c r="AA2254" s="6">
        <v>3.2769144038250039E-4</v>
      </c>
      <c r="AB2254" s="6">
        <v>0.1986</v>
      </c>
      <c r="AC2254" s="6">
        <v>9.9599999999999994E-2</v>
      </c>
      <c r="AD2254">
        <v>0.3</v>
      </c>
      <c r="AE2254">
        <v>632.9</v>
      </c>
      <c r="AF2254">
        <v>1</v>
      </c>
      <c r="AP2254"/>
    </row>
    <row r="2255" spans="1:42" x14ac:dyDescent="0.3">
      <c r="A2255" t="s">
        <v>1907</v>
      </c>
      <c r="B2255" t="s">
        <v>1894</v>
      </c>
      <c r="C2255">
        <v>89</v>
      </c>
      <c r="D2255" s="8" t="s">
        <v>984</v>
      </c>
      <c r="E2255">
        <v>1200</v>
      </c>
      <c r="G2255" t="s">
        <v>31</v>
      </c>
      <c r="H2255">
        <v>-1.2</v>
      </c>
      <c r="I2255" s="4">
        <v>1</v>
      </c>
      <c r="J2255">
        <v>0.25</v>
      </c>
      <c r="K2255">
        <v>24</v>
      </c>
      <c r="L2255" t="s">
        <v>140</v>
      </c>
      <c r="M2255" t="s">
        <v>28</v>
      </c>
      <c r="N2255" s="3">
        <v>1</v>
      </c>
      <c r="O2255" s="3">
        <v>0</v>
      </c>
      <c r="P2255">
        <v>22.5</v>
      </c>
      <c r="Q2255">
        <v>6.5</v>
      </c>
      <c r="R2255" t="s">
        <v>102</v>
      </c>
      <c r="S2255">
        <v>0</v>
      </c>
      <c r="T2255" s="6">
        <f>10^-(14-Q2255)</f>
        <v>3.1622776601683699E-8</v>
      </c>
      <c r="U2255" s="6">
        <v>0</v>
      </c>
      <c r="V2255" s="6">
        <v>0</v>
      </c>
      <c r="W2255" s="6">
        <v>0</v>
      </c>
      <c r="X2255" s="6">
        <v>0</v>
      </c>
      <c r="Y2255" t="s">
        <v>28</v>
      </c>
      <c r="Z2255" s="5">
        <v>-55.1</v>
      </c>
      <c r="AA2255" s="6">
        <v>1.4489051008988532E-4</v>
      </c>
      <c r="AB2255" s="6">
        <v>0.2016</v>
      </c>
      <c r="AC2255" s="6">
        <v>7.5499999999999998E-2</v>
      </c>
      <c r="AD2255">
        <v>0.3</v>
      </c>
      <c r="AE2255">
        <v>396.1</v>
      </c>
      <c r="AF2255">
        <v>1</v>
      </c>
      <c r="AP2255"/>
    </row>
    <row r="2256" spans="1:42" x14ac:dyDescent="0.3">
      <c r="A2256" t="s">
        <v>1908</v>
      </c>
      <c r="B2256" t="s">
        <v>1894</v>
      </c>
      <c r="C2256">
        <v>89</v>
      </c>
      <c r="D2256" s="8" t="s">
        <v>984</v>
      </c>
      <c r="E2256">
        <v>1200</v>
      </c>
      <c r="G2256" t="s">
        <v>31</v>
      </c>
      <c r="H2256">
        <v>-1.2</v>
      </c>
      <c r="I2256" s="4">
        <v>1</v>
      </c>
      <c r="J2256">
        <v>0.25</v>
      </c>
      <c r="K2256">
        <v>24</v>
      </c>
      <c r="L2256" t="s">
        <v>140</v>
      </c>
      <c r="M2256" t="s">
        <v>28</v>
      </c>
      <c r="N2256" s="3">
        <v>1</v>
      </c>
      <c r="O2256" s="3">
        <v>0</v>
      </c>
      <c r="P2256">
        <v>22.5</v>
      </c>
      <c r="Q2256">
        <v>6.5</v>
      </c>
      <c r="R2256" t="s">
        <v>102</v>
      </c>
      <c r="S2256">
        <v>0</v>
      </c>
      <c r="T2256" s="6">
        <f>10^-(14-Q2256)</f>
        <v>3.1622776601683699E-8</v>
      </c>
      <c r="U2256" s="6">
        <v>0</v>
      </c>
      <c r="V2256" s="6">
        <v>0</v>
      </c>
      <c r="W2256" s="6">
        <v>0</v>
      </c>
      <c r="X2256" s="6">
        <v>0</v>
      </c>
      <c r="Y2256" t="s">
        <v>28</v>
      </c>
      <c r="Z2256" s="5">
        <v>-97.5</v>
      </c>
      <c r="AA2256" s="6">
        <v>1.8643617606547961E-4</v>
      </c>
      <c r="AB2256" s="6">
        <v>0.20019999999999999</v>
      </c>
      <c r="AC2256" s="6">
        <v>5.7299999999999997E-2</v>
      </c>
      <c r="AD2256">
        <v>0.3</v>
      </c>
      <c r="AE2256">
        <v>800</v>
      </c>
      <c r="AF2256">
        <v>2</v>
      </c>
      <c r="AP2256"/>
    </row>
    <row r="2257" spans="1:42" x14ac:dyDescent="0.3">
      <c r="A2257" t="s">
        <v>1909</v>
      </c>
      <c r="B2257" t="s">
        <v>1894</v>
      </c>
      <c r="C2257">
        <v>89</v>
      </c>
      <c r="D2257" s="8" t="s">
        <v>984</v>
      </c>
      <c r="E2257">
        <v>1200</v>
      </c>
      <c r="G2257" t="s">
        <v>31</v>
      </c>
      <c r="H2257">
        <v>-1.2</v>
      </c>
      <c r="I2257" s="4">
        <v>1</v>
      </c>
      <c r="J2257">
        <v>0.25</v>
      </c>
      <c r="K2257">
        <v>24</v>
      </c>
      <c r="L2257" t="s">
        <v>140</v>
      </c>
      <c r="M2257" t="s">
        <v>28</v>
      </c>
      <c r="N2257" s="3">
        <v>1</v>
      </c>
      <c r="O2257" s="3">
        <v>0</v>
      </c>
      <c r="P2257">
        <v>22.5</v>
      </c>
      <c r="Q2257">
        <v>6.5</v>
      </c>
      <c r="R2257" t="s">
        <v>102</v>
      </c>
      <c r="S2257">
        <v>0</v>
      </c>
      <c r="T2257" s="6">
        <f>10^-(14-Q2257)</f>
        <v>3.1622776601683699E-8</v>
      </c>
      <c r="U2257" s="6">
        <v>0</v>
      </c>
      <c r="V2257" s="6">
        <v>0</v>
      </c>
      <c r="W2257" s="6">
        <v>0</v>
      </c>
      <c r="X2257" s="6">
        <v>0</v>
      </c>
      <c r="Y2257" t="s">
        <v>28</v>
      </c>
      <c r="Z2257" s="5">
        <v>-65.099999999999994</v>
      </c>
      <c r="AA2257" s="6">
        <v>1.8099900480150313E-4</v>
      </c>
      <c r="AB2257" s="6">
        <v>0.20250000000000001</v>
      </c>
      <c r="AC2257" s="6">
        <v>8.9700000000000002E-2</v>
      </c>
      <c r="AD2257">
        <v>0.3</v>
      </c>
      <c r="AE2257">
        <v>800</v>
      </c>
      <c r="AF2257">
        <v>2</v>
      </c>
      <c r="AP2257"/>
    </row>
    <row r="2258" spans="1:42" x14ac:dyDescent="0.3">
      <c r="A2258" t="s">
        <v>1910</v>
      </c>
      <c r="B2258" t="s">
        <v>1894</v>
      </c>
      <c r="C2258">
        <v>89</v>
      </c>
      <c r="D2258" s="8" t="s">
        <v>984</v>
      </c>
      <c r="E2258">
        <v>1200</v>
      </c>
      <c r="G2258" t="s">
        <v>31</v>
      </c>
      <c r="H2258">
        <v>-1.2</v>
      </c>
      <c r="I2258" s="4">
        <v>1</v>
      </c>
      <c r="J2258">
        <v>0.25</v>
      </c>
      <c r="K2258">
        <v>24</v>
      </c>
      <c r="L2258" t="s">
        <v>140</v>
      </c>
      <c r="M2258" t="s">
        <v>28</v>
      </c>
      <c r="N2258" s="3">
        <v>1</v>
      </c>
      <c r="O2258" s="3">
        <v>0</v>
      </c>
      <c r="P2258">
        <v>22.5</v>
      </c>
      <c r="Q2258">
        <v>6.5</v>
      </c>
      <c r="R2258" t="s">
        <v>102</v>
      </c>
      <c r="S2258">
        <v>0</v>
      </c>
      <c r="T2258" s="6">
        <f>10^-(14-Q2258)</f>
        <v>3.1622776601683699E-8</v>
      </c>
      <c r="U2258" s="6">
        <v>0</v>
      </c>
      <c r="V2258" s="6">
        <v>0</v>
      </c>
      <c r="W2258" s="6">
        <v>0</v>
      </c>
      <c r="X2258" s="6">
        <v>0</v>
      </c>
      <c r="Y2258" t="s">
        <v>28</v>
      </c>
      <c r="Z2258" s="5">
        <v>-73</v>
      </c>
      <c r="AA2258" s="6">
        <v>2.7068024768687722E-4</v>
      </c>
      <c r="AB2258" s="6">
        <v>0.21729999999999999</v>
      </c>
      <c r="AC2258" s="6">
        <v>0.11210000000000001</v>
      </c>
      <c r="AD2258">
        <v>0.3</v>
      </c>
      <c r="AE2258">
        <v>800</v>
      </c>
      <c r="AF2258">
        <v>2</v>
      </c>
      <c r="AP2258"/>
    </row>
    <row r="2259" spans="1:42" x14ac:dyDescent="0.3">
      <c r="A2259" t="s">
        <v>1911</v>
      </c>
      <c r="B2259" t="s">
        <v>1894</v>
      </c>
      <c r="C2259">
        <v>89</v>
      </c>
      <c r="D2259" s="8" t="s">
        <v>1632</v>
      </c>
      <c r="E2259">
        <v>1200</v>
      </c>
      <c r="G2259" t="s">
        <v>31</v>
      </c>
      <c r="H2259">
        <v>-1.2</v>
      </c>
      <c r="I2259" s="4">
        <v>1</v>
      </c>
      <c r="J2259">
        <v>0.25</v>
      </c>
      <c r="K2259">
        <v>24</v>
      </c>
      <c r="L2259" t="s">
        <v>140</v>
      </c>
      <c r="M2259" t="s">
        <v>28</v>
      </c>
      <c r="N2259" s="3">
        <v>1</v>
      </c>
      <c r="O2259" s="3">
        <v>0</v>
      </c>
      <c r="P2259">
        <v>22.5</v>
      </c>
      <c r="Q2259">
        <v>6.5</v>
      </c>
      <c r="R2259" t="s">
        <v>102</v>
      </c>
      <c r="S2259">
        <v>0</v>
      </c>
      <c r="T2259" s="6">
        <f>10^-(14-Q2259)</f>
        <v>3.1622776601683699E-8</v>
      </c>
      <c r="U2259" s="6">
        <v>0</v>
      </c>
      <c r="V2259" s="6">
        <v>0</v>
      </c>
      <c r="W2259" s="6">
        <v>0</v>
      </c>
      <c r="X2259" s="6">
        <v>0</v>
      </c>
      <c r="Y2259" t="s">
        <v>28</v>
      </c>
      <c r="Z2259" s="5">
        <v>-79.8</v>
      </c>
      <c r="AA2259" s="6">
        <v>1.80002352056559E-4</v>
      </c>
      <c r="AB2259" s="6">
        <v>0.2261</v>
      </c>
      <c r="AC2259" s="6">
        <v>8.8900000000000007E-2</v>
      </c>
      <c r="AD2259">
        <v>0.3</v>
      </c>
      <c r="AE2259">
        <v>800</v>
      </c>
      <c r="AF2259">
        <v>2</v>
      </c>
      <c r="AP2259"/>
    </row>
    <row r="2260" spans="1:42" x14ac:dyDescent="0.3">
      <c r="A2260" t="s">
        <v>1912</v>
      </c>
      <c r="B2260" t="s">
        <v>1894</v>
      </c>
      <c r="C2260">
        <v>89</v>
      </c>
      <c r="D2260" s="8" t="s">
        <v>1632</v>
      </c>
      <c r="E2260">
        <v>1200</v>
      </c>
      <c r="G2260" t="s">
        <v>31</v>
      </c>
      <c r="H2260">
        <v>-1.2</v>
      </c>
      <c r="I2260" s="4">
        <v>1</v>
      </c>
      <c r="J2260">
        <v>0.25</v>
      </c>
      <c r="K2260">
        <v>24</v>
      </c>
      <c r="L2260" t="s">
        <v>140</v>
      </c>
      <c r="M2260" t="s">
        <v>28</v>
      </c>
      <c r="N2260" s="3">
        <v>1</v>
      </c>
      <c r="O2260" s="3">
        <v>0</v>
      </c>
      <c r="P2260">
        <v>22.5</v>
      </c>
      <c r="Q2260">
        <v>6.5</v>
      </c>
      <c r="R2260" t="s">
        <v>102</v>
      </c>
      <c r="S2260">
        <v>0</v>
      </c>
      <c r="T2260" s="6">
        <f>10^-(14-Q2260)</f>
        <v>3.1622776601683699E-8</v>
      </c>
      <c r="U2260" s="6">
        <v>0</v>
      </c>
      <c r="V2260" s="6">
        <v>0</v>
      </c>
      <c r="W2260" s="6">
        <v>0</v>
      </c>
      <c r="X2260" s="6">
        <v>0</v>
      </c>
      <c r="Y2260" t="s">
        <v>28</v>
      </c>
      <c r="Z2260" s="5">
        <v>-80.5</v>
      </c>
      <c r="AA2260" s="6">
        <v>1.4504726735592051E-4</v>
      </c>
      <c r="AB2260" s="6">
        <v>0.2311</v>
      </c>
      <c r="AC2260" s="6">
        <v>7.9500000000000001E-2</v>
      </c>
      <c r="AD2260">
        <v>0.3</v>
      </c>
      <c r="AE2260">
        <v>642.4</v>
      </c>
      <c r="AF2260">
        <v>1</v>
      </c>
      <c r="AP2260"/>
    </row>
    <row r="2261" spans="1:42" x14ac:dyDescent="0.3">
      <c r="A2261" t="s">
        <v>1913</v>
      </c>
      <c r="B2261" t="s">
        <v>1894</v>
      </c>
      <c r="C2261">
        <v>89</v>
      </c>
      <c r="D2261" s="8">
        <v>430</v>
      </c>
      <c r="E2261">
        <v>1200</v>
      </c>
      <c r="G2261" t="s">
        <v>31</v>
      </c>
      <c r="H2261">
        <v>-1.2</v>
      </c>
      <c r="I2261" s="4">
        <v>1</v>
      </c>
      <c r="J2261">
        <v>0.25</v>
      </c>
      <c r="K2261">
        <v>24</v>
      </c>
      <c r="L2261" t="s">
        <v>140</v>
      </c>
      <c r="M2261" t="s">
        <v>28</v>
      </c>
      <c r="N2261" s="3">
        <v>1</v>
      </c>
      <c r="O2261" s="3">
        <v>0</v>
      </c>
      <c r="P2261">
        <v>22.5</v>
      </c>
      <c r="Q2261">
        <v>6.5</v>
      </c>
      <c r="R2261" t="s">
        <v>102</v>
      </c>
      <c r="S2261">
        <v>0</v>
      </c>
      <c r="T2261" s="6">
        <f>10^-(14-Q2261)</f>
        <v>3.1622776601683699E-8</v>
      </c>
      <c r="U2261" s="6">
        <v>0</v>
      </c>
      <c r="V2261" s="6">
        <v>0</v>
      </c>
      <c r="W2261" s="6">
        <v>0</v>
      </c>
      <c r="X2261" s="6">
        <v>0</v>
      </c>
      <c r="Y2261" t="s">
        <v>28</v>
      </c>
      <c r="Z2261" s="5">
        <v>-49.3</v>
      </c>
      <c r="AA2261" s="6">
        <v>2.6506065338454174E-4</v>
      </c>
      <c r="AB2261" s="6">
        <v>0.23899999999999999</v>
      </c>
      <c r="AC2261" s="6">
        <v>8.3400000000000002E-2</v>
      </c>
      <c r="AD2261">
        <v>0.3</v>
      </c>
      <c r="AE2261">
        <v>765.6</v>
      </c>
      <c r="AF2261">
        <v>1</v>
      </c>
      <c r="AP2261"/>
    </row>
    <row r="2262" spans="1:42" x14ac:dyDescent="0.3">
      <c r="A2262" t="s">
        <v>1914</v>
      </c>
      <c r="B2262" t="s">
        <v>1894</v>
      </c>
      <c r="C2262">
        <v>89</v>
      </c>
      <c r="D2262" s="8">
        <v>430</v>
      </c>
      <c r="E2262">
        <v>1200</v>
      </c>
      <c r="G2262" t="s">
        <v>31</v>
      </c>
      <c r="H2262">
        <v>-1.2</v>
      </c>
      <c r="I2262" s="4">
        <v>1</v>
      </c>
      <c r="J2262">
        <v>0.25</v>
      </c>
      <c r="K2262">
        <v>24</v>
      </c>
      <c r="L2262" t="s">
        <v>140</v>
      </c>
      <c r="M2262" t="s">
        <v>28</v>
      </c>
      <c r="N2262" s="3">
        <v>1</v>
      </c>
      <c r="O2262" s="3">
        <v>0</v>
      </c>
      <c r="P2262">
        <v>22.5</v>
      </c>
      <c r="Q2262">
        <v>6.5</v>
      </c>
      <c r="R2262" t="s">
        <v>102</v>
      </c>
      <c r="S2262">
        <v>0</v>
      </c>
      <c r="T2262" s="6">
        <f>10^-(14-Q2262)</f>
        <v>3.1622776601683699E-8</v>
      </c>
      <c r="U2262" s="6">
        <v>0</v>
      </c>
      <c r="V2262" s="6">
        <v>0</v>
      </c>
      <c r="W2262" s="6">
        <v>0</v>
      </c>
      <c r="X2262" s="6">
        <v>0</v>
      </c>
      <c r="Y2262" t="s">
        <v>28</v>
      </c>
      <c r="Z2262" s="5">
        <v>-37.5</v>
      </c>
      <c r="AA2262" s="6">
        <v>1.9415270789313566E-4</v>
      </c>
      <c r="AB2262" s="6">
        <v>0.2273</v>
      </c>
      <c r="AC2262" s="6">
        <v>7.6799999999999993E-2</v>
      </c>
      <c r="AD2262">
        <v>0.3</v>
      </c>
      <c r="AE2262">
        <v>459.2</v>
      </c>
      <c r="AF2262">
        <v>1</v>
      </c>
      <c r="AP2262"/>
    </row>
    <row r="2263" spans="1:42" x14ac:dyDescent="0.3">
      <c r="A2263" t="s">
        <v>1915</v>
      </c>
      <c r="B2263" t="s">
        <v>1894</v>
      </c>
      <c r="C2263">
        <v>89</v>
      </c>
      <c r="D2263" s="8">
        <v>430</v>
      </c>
      <c r="E2263">
        <v>1200</v>
      </c>
      <c r="G2263" t="s">
        <v>31</v>
      </c>
      <c r="H2263">
        <v>-1.2</v>
      </c>
      <c r="I2263" s="4">
        <v>1</v>
      </c>
      <c r="J2263">
        <v>0.25</v>
      </c>
      <c r="K2263">
        <v>24</v>
      </c>
      <c r="L2263" t="s">
        <v>140</v>
      </c>
      <c r="M2263" t="s">
        <v>28</v>
      </c>
      <c r="N2263" s="3">
        <v>1</v>
      </c>
      <c r="O2263" s="3">
        <v>0</v>
      </c>
      <c r="P2263">
        <v>22.5</v>
      </c>
      <c r="Q2263">
        <v>6.5</v>
      </c>
      <c r="R2263" t="s">
        <v>102</v>
      </c>
      <c r="S2263">
        <v>0</v>
      </c>
      <c r="T2263" s="6">
        <f>10^-(14-Q2263)</f>
        <v>3.1622776601683699E-8</v>
      </c>
      <c r="U2263" s="6">
        <v>0</v>
      </c>
      <c r="V2263" s="6">
        <v>0</v>
      </c>
      <c r="W2263" s="6">
        <v>0</v>
      </c>
      <c r="X2263" s="6">
        <v>0</v>
      </c>
      <c r="Y2263" t="s">
        <v>28</v>
      </c>
      <c r="Z2263" s="5">
        <v>-100</v>
      </c>
      <c r="AA2263" s="6">
        <v>3.1113972409255088E-4</v>
      </c>
      <c r="AB2263" s="6">
        <v>0.21829999999999999</v>
      </c>
      <c r="AC2263" s="6">
        <v>0.10059999999999999</v>
      </c>
      <c r="AD2263">
        <v>0.3</v>
      </c>
      <c r="AE2263">
        <v>477.7</v>
      </c>
      <c r="AF2263">
        <v>1</v>
      </c>
      <c r="AP2263"/>
    </row>
    <row r="2264" spans="1:42" x14ac:dyDescent="0.3">
      <c r="A2264" t="s">
        <v>1916</v>
      </c>
      <c r="B2264" t="s">
        <v>1894</v>
      </c>
      <c r="C2264">
        <v>89</v>
      </c>
      <c r="D2264" s="8">
        <v>302</v>
      </c>
      <c r="E2264">
        <v>1200</v>
      </c>
      <c r="G2264" t="s">
        <v>29</v>
      </c>
      <c r="J2264">
        <v>48</v>
      </c>
      <c r="K2264">
        <v>1</v>
      </c>
      <c r="L2264" t="s">
        <v>140</v>
      </c>
      <c r="M2264" t="s">
        <v>28</v>
      </c>
      <c r="N2264" s="3">
        <v>1</v>
      </c>
      <c r="O2264" s="3">
        <v>0</v>
      </c>
      <c r="P2264">
        <v>22.5</v>
      </c>
      <c r="Q2264">
        <v>6.5</v>
      </c>
      <c r="R2264" t="s">
        <v>102</v>
      </c>
      <c r="S2264">
        <v>0</v>
      </c>
      <c r="T2264" s="6">
        <f>10^-(14-Q2264)</f>
        <v>3.1622776601683699E-8</v>
      </c>
      <c r="U2264" s="6">
        <v>0</v>
      </c>
      <c r="V2264" s="6">
        <v>0</v>
      </c>
      <c r="W2264" s="6">
        <v>0</v>
      </c>
      <c r="X2264" s="6">
        <v>0</v>
      </c>
      <c r="Y2264" t="s">
        <v>28</v>
      </c>
      <c r="Z2264" s="5">
        <v>-113</v>
      </c>
      <c r="AA2264" s="6">
        <v>8.9576071507517475E-4</v>
      </c>
      <c r="AB2264" s="6">
        <v>0.33169999999999999</v>
      </c>
      <c r="AC2264" s="6">
        <v>0.1009</v>
      </c>
      <c r="AD2264">
        <v>0.3</v>
      </c>
      <c r="AE2264">
        <v>398.8</v>
      </c>
      <c r="AF2264">
        <v>1</v>
      </c>
      <c r="AP2264"/>
    </row>
    <row r="2265" spans="1:42" x14ac:dyDescent="0.3">
      <c r="A2265" t="s">
        <v>1917</v>
      </c>
      <c r="B2265" t="s">
        <v>1894</v>
      </c>
      <c r="C2265">
        <v>89</v>
      </c>
      <c r="D2265" s="8">
        <v>302</v>
      </c>
      <c r="E2265">
        <v>1200</v>
      </c>
      <c r="G2265" t="s">
        <v>29</v>
      </c>
      <c r="J2265">
        <v>48</v>
      </c>
      <c r="K2265">
        <v>1</v>
      </c>
      <c r="L2265" t="s">
        <v>140</v>
      </c>
      <c r="M2265" t="s">
        <v>28</v>
      </c>
      <c r="N2265" s="3">
        <v>1</v>
      </c>
      <c r="O2265" s="3">
        <v>0</v>
      </c>
      <c r="P2265">
        <v>22.5</v>
      </c>
      <c r="Q2265">
        <v>6.5</v>
      </c>
      <c r="R2265" t="s">
        <v>102</v>
      </c>
      <c r="S2265">
        <v>0</v>
      </c>
      <c r="T2265" s="6">
        <f>10^-(14-Q2265)</f>
        <v>3.1622776601683699E-8</v>
      </c>
      <c r="U2265" s="6">
        <v>0</v>
      </c>
      <c r="V2265" s="6">
        <v>0</v>
      </c>
      <c r="W2265" s="6">
        <v>0</v>
      </c>
      <c r="X2265" s="6">
        <v>0</v>
      </c>
      <c r="Y2265" t="s">
        <v>28</v>
      </c>
      <c r="Z2265" s="5">
        <v>-74.5</v>
      </c>
      <c r="AA2265" s="6">
        <v>1.0689741130178881E-3</v>
      </c>
      <c r="AB2265" s="6">
        <v>0.37740000000000001</v>
      </c>
      <c r="AC2265" s="6">
        <v>0.1648</v>
      </c>
      <c r="AD2265">
        <v>0.3</v>
      </c>
      <c r="AE2265">
        <v>512.4</v>
      </c>
      <c r="AF2265">
        <v>1</v>
      </c>
      <c r="AP2265"/>
    </row>
    <row r="2266" spans="1:42" x14ac:dyDescent="0.3">
      <c r="A2266" t="s">
        <v>1918</v>
      </c>
      <c r="B2266" t="s">
        <v>1894</v>
      </c>
      <c r="C2266">
        <v>89</v>
      </c>
      <c r="D2266" s="8" t="s">
        <v>984</v>
      </c>
      <c r="E2266">
        <v>1200</v>
      </c>
      <c r="G2266" t="s">
        <v>29</v>
      </c>
      <c r="J2266">
        <v>48</v>
      </c>
      <c r="K2266">
        <v>1</v>
      </c>
      <c r="L2266" t="s">
        <v>140</v>
      </c>
      <c r="M2266" t="s">
        <v>28</v>
      </c>
      <c r="N2266" s="3">
        <v>1</v>
      </c>
      <c r="O2266" s="3">
        <v>0</v>
      </c>
      <c r="P2266">
        <v>22.5</v>
      </c>
      <c r="Q2266">
        <v>6.5</v>
      </c>
      <c r="R2266" t="s">
        <v>102</v>
      </c>
      <c r="S2266">
        <v>0</v>
      </c>
      <c r="T2266" s="6">
        <f>10^-(14-Q2266)</f>
        <v>3.1622776601683699E-8</v>
      </c>
      <c r="U2266" s="6">
        <v>0</v>
      </c>
      <c r="V2266" s="6">
        <v>0</v>
      </c>
      <c r="W2266" s="6">
        <v>0</v>
      </c>
      <c r="X2266" s="6">
        <v>0</v>
      </c>
      <c r="Y2266" t="s">
        <v>28</v>
      </c>
      <c r="Z2266" s="5">
        <v>-113</v>
      </c>
      <c r="AA2266" s="6">
        <v>4.5128979665989366E-4</v>
      </c>
      <c r="AB2266" s="6">
        <v>0.36530000000000001</v>
      </c>
      <c r="AC2266" s="6">
        <v>0.1017</v>
      </c>
      <c r="AD2266">
        <v>0.3</v>
      </c>
      <c r="AE2266">
        <v>468.4</v>
      </c>
      <c r="AF2266">
        <v>1</v>
      </c>
      <c r="AP2266"/>
    </row>
    <row r="2267" spans="1:42" x14ac:dyDescent="0.3">
      <c r="A2267" t="s">
        <v>1919</v>
      </c>
      <c r="B2267" t="s">
        <v>1894</v>
      </c>
      <c r="C2267">
        <v>89</v>
      </c>
      <c r="D2267" s="8" t="s">
        <v>984</v>
      </c>
      <c r="E2267">
        <v>1200</v>
      </c>
      <c r="G2267" t="s">
        <v>29</v>
      </c>
      <c r="J2267">
        <v>48</v>
      </c>
      <c r="K2267">
        <v>1</v>
      </c>
      <c r="L2267" t="s">
        <v>140</v>
      </c>
      <c r="M2267" t="s">
        <v>28</v>
      </c>
      <c r="N2267" s="3">
        <v>1</v>
      </c>
      <c r="O2267" s="3">
        <v>0</v>
      </c>
      <c r="P2267">
        <v>22.5</v>
      </c>
      <c r="Q2267">
        <v>6.5</v>
      </c>
      <c r="R2267" t="s">
        <v>102</v>
      </c>
      <c r="S2267">
        <v>0</v>
      </c>
      <c r="T2267" s="6">
        <f>10^-(14-Q2267)</f>
        <v>3.1622776601683699E-8</v>
      </c>
      <c r="U2267" s="6">
        <v>0</v>
      </c>
      <c r="V2267" s="6">
        <v>0</v>
      </c>
      <c r="W2267" s="6">
        <v>0</v>
      </c>
      <c r="X2267" s="6">
        <v>0</v>
      </c>
      <c r="Y2267" t="s">
        <v>28</v>
      </c>
      <c r="Z2267" s="5">
        <v>-6.76</v>
      </c>
      <c r="AA2267" s="6">
        <v>2.3161708781393851E-4</v>
      </c>
      <c r="AB2267" s="6">
        <v>0.27200000000000002</v>
      </c>
      <c r="AC2267" s="6">
        <v>9.0700000000000003E-2</v>
      </c>
      <c r="AD2267">
        <v>0.3</v>
      </c>
      <c r="AE2267">
        <v>425.4</v>
      </c>
      <c r="AF2267">
        <v>1</v>
      </c>
      <c r="AP2267"/>
    </row>
    <row r="2268" spans="1:42" x14ac:dyDescent="0.3">
      <c r="A2268" t="s">
        <v>1920</v>
      </c>
      <c r="B2268" t="s">
        <v>1894</v>
      </c>
      <c r="C2268">
        <v>89</v>
      </c>
      <c r="D2268" s="8" t="s">
        <v>984</v>
      </c>
      <c r="E2268">
        <v>1200</v>
      </c>
      <c r="G2268" t="s">
        <v>29</v>
      </c>
      <c r="J2268">
        <v>48</v>
      </c>
      <c r="K2268">
        <v>1</v>
      </c>
      <c r="L2268" t="s">
        <v>140</v>
      </c>
      <c r="M2268" t="s">
        <v>28</v>
      </c>
      <c r="N2268" s="3">
        <v>1</v>
      </c>
      <c r="O2268" s="3">
        <v>0</v>
      </c>
      <c r="P2268">
        <v>22.5</v>
      </c>
      <c r="Q2268">
        <v>6.5</v>
      </c>
      <c r="R2268" t="s">
        <v>102</v>
      </c>
      <c r="S2268">
        <v>0</v>
      </c>
      <c r="T2268" s="6">
        <f>10^-(14-Q2268)</f>
        <v>3.1622776601683699E-8</v>
      </c>
      <c r="U2268" s="6">
        <v>0</v>
      </c>
      <c r="V2268" s="6">
        <v>0</v>
      </c>
      <c r="W2268" s="6">
        <v>0</v>
      </c>
      <c r="X2268" s="6">
        <v>0</v>
      </c>
      <c r="Y2268" t="s">
        <v>28</v>
      </c>
      <c r="Z2268" s="5">
        <v>-37.1</v>
      </c>
      <c r="AA2268" s="6">
        <v>3.6658026288912039E-4</v>
      </c>
      <c r="AB2268" s="6">
        <v>0.28070000000000001</v>
      </c>
      <c r="AC2268" s="6">
        <v>0.1082</v>
      </c>
      <c r="AD2268">
        <v>0.3</v>
      </c>
      <c r="AE2268">
        <v>556.20000000000005</v>
      </c>
      <c r="AF2268">
        <v>1</v>
      </c>
      <c r="AP2268"/>
    </row>
    <row r="2269" spans="1:42" x14ac:dyDescent="0.3">
      <c r="A2269" t="s">
        <v>1921</v>
      </c>
      <c r="B2269" t="s">
        <v>1894</v>
      </c>
      <c r="C2269">
        <v>89</v>
      </c>
      <c r="D2269" s="8" t="s">
        <v>984</v>
      </c>
      <c r="E2269">
        <v>1200</v>
      </c>
      <c r="G2269" t="s">
        <v>29</v>
      </c>
      <c r="J2269">
        <v>48</v>
      </c>
      <c r="K2269">
        <v>1</v>
      </c>
      <c r="L2269" t="s">
        <v>140</v>
      </c>
      <c r="M2269" t="s">
        <v>28</v>
      </c>
      <c r="N2269" s="3">
        <v>1</v>
      </c>
      <c r="O2269" s="3">
        <v>0</v>
      </c>
      <c r="P2269">
        <v>22.5</v>
      </c>
      <c r="Q2269">
        <v>6.5</v>
      </c>
      <c r="R2269" t="s">
        <v>102</v>
      </c>
      <c r="S2269">
        <v>0</v>
      </c>
      <c r="T2269" s="6">
        <f>10^-(14-Q2269)</f>
        <v>3.1622776601683699E-8</v>
      </c>
      <c r="U2269" s="6">
        <v>0</v>
      </c>
      <c r="V2269" s="6">
        <v>0</v>
      </c>
      <c r="W2269" s="6">
        <v>0</v>
      </c>
      <c r="X2269" s="6">
        <v>0</v>
      </c>
      <c r="Y2269" t="s">
        <v>28</v>
      </c>
      <c r="Z2269" s="5">
        <v>-48.8</v>
      </c>
      <c r="AA2269" s="6">
        <v>4.058567196272403E-4</v>
      </c>
      <c r="AB2269" s="6">
        <v>0.28089999999999998</v>
      </c>
      <c r="AC2269" s="6">
        <v>0.1263</v>
      </c>
      <c r="AD2269">
        <v>0.3</v>
      </c>
      <c r="AE2269">
        <v>703.8</v>
      </c>
      <c r="AF2269">
        <v>1</v>
      </c>
      <c r="AP2269"/>
    </row>
    <row r="2270" spans="1:42" x14ac:dyDescent="0.3">
      <c r="A2270" t="s">
        <v>1922</v>
      </c>
      <c r="B2270" t="s">
        <v>1894</v>
      </c>
      <c r="C2270">
        <v>89</v>
      </c>
      <c r="D2270" s="8" t="s">
        <v>1632</v>
      </c>
      <c r="E2270">
        <v>1200</v>
      </c>
      <c r="G2270" t="s">
        <v>29</v>
      </c>
      <c r="J2270">
        <v>48</v>
      </c>
      <c r="K2270">
        <v>1</v>
      </c>
      <c r="L2270" t="s">
        <v>140</v>
      </c>
      <c r="M2270" t="s">
        <v>28</v>
      </c>
      <c r="N2270" s="3">
        <v>1</v>
      </c>
      <c r="O2270" s="3">
        <v>0</v>
      </c>
      <c r="P2270">
        <v>22.5</v>
      </c>
      <c r="Q2270">
        <v>6.5</v>
      </c>
      <c r="R2270" t="s">
        <v>102</v>
      </c>
      <c r="S2270">
        <v>0</v>
      </c>
      <c r="T2270" s="6">
        <f>10^-(14-Q2270)</f>
        <v>3.1622776601683699E-8</v>
      </c>
      <c r="U2270" s="6">
        <v>0</v>
      </c>
      <c r="V2270" s="6">
        <v>0</v>
      </c>
      <c r="W2270" s="6">
        <v>0</v>
      </c>
      <c r="X2270" s="6">
        <v>0</v>
      </c>
      <c r="Y2270" t="s">
        <v>28</v>
      </c>
      <c r="Z2270" s="5">
        <v>-62.3</v>
      </c>
      <c r="AA2270" s="6">
        <v>6.9583486366691586E-4</v>
      </c>
      <c r="AB2270" s="6">
        <v>0.3468</v>
      </c>
      <c r="AC2270" s="6">
        <v>0.1452</v>
      </c>
      <c r="AD2270">
        <v>0.3</v>
      </c>
      <c r="AE2270">
        <v>660.6</v>
      </c>
      <c r="AF2270">
        <v>1</v>
      </c>
      <c r="AP2270"/>
    </row>
    <row r="2271" spans="1:42" x14ac:dyDescent="0.3">
      <c r="A2271" t="s">
        <v>1923</v>
      </c>
      <c r="B2271" t="s">
        <v>1894</v>
      </c>
      <c r="C2271">
        <v>89</v>
      </c>
      <c r="D2271" s="8" t="s">
        <v>1632</v>
      </c>
      <c r="E2271">
        <v>1200</v>
      </c>
      <c r="G2271" t="s">
        <v>29</v>
      </c>
      <c r="J2271">
        <v>48</v>
      </c>
      <c r="K2271">
        <v>1</v>
      </c>
      <c r="L2271" t="s">
        <v>140</v>
      </c>
      <c r="M2271" t="s">
        <v>28</v>
      </c>
      <c r="N2271" s="3">
        <v>1</v>
      </c>
      <c r="O2271" s="3">
        <v>0</v>
      </c>
      <c r="P2271">
        <v>22.5</v>
      </c>
      <c r="Q2271">
        <v>6.5</v>
      </c>
      <c r="R2271" t="s">
        <v>102</v>
      </c>
      <c r="S2271">
        <v>0</v>
      </c>
      <c r="T2271" s="6">
        <f>10^-(14-Q2271)</f>
        <v>3.1622776601683699E-8</v>
      </c>
      <c r="U2271" s="6">
        <v>0</v>
      </c>
      <c r="V2271" s="6">
        <v>0</v>
      </c>
      <c r="W2271" s="6">
        <v>0</v>
      </c>
      <c r="X2271" s="6">
        <v>0</v>
      </c>
      <c r="Y2271" t="s">
        <v>28</v>
      </c>
      <c r="Z2271" s="5">
        <v>-52.1</v>
      </c>
      <c r="AA2271" s="6">
        <v>6.1416410502056413E-4</v>
      </c>
      <c r="AB2271" s="6">
        <v>0.34670000000000001</v>
      </c>
      <c r="AC2271" s="6">
        <v>0.14460000000000001</v>
      </c>
      <c r="AD2271">
        <v>0.3</v>
      </c>
      <c r="AE2271">
        <v>691.7</v>
      </c>
      <c r="AF2271">
        <v>1</v>
      </c>
      <c r="AP2271"/>
    </row>
    <row r="2272" spans="1:42" x14ac:dyDescent="0.3">
      <c r="A2272" t="s">
        <v>1924</v>
      </c>
      <c r="B2272" t="s">
        <v>1894</v>
      </c>
      <c r="C2272">
        <v>89</v>
      </c>
      <c r="D2272" s="8">
        <v>430</v>
      </c>
      <c r="E2272">
        <v>1200</v>
      </c>
      <c r="G2272" t="s">
        <v>29</v>
      </c>
      <c r="J2272">
        <v>48</v>
      </c>
      <c r="K2272">
        <v>1</v>
      </c>
      <c r="L2272" t="s">
        <v>140</v>
      </c>
      <c r="M2272" t="s">
        <v>28</v>
      </c>
      <c r="N2272" s="3">
        <v>1</v>
      </c>
      <c r="O2272" s="3">
        <v>0</v>
      </c>
      <c r="P2272">
        <v>22.5</v>
      </c>
      <c r="Q2272">
        <v>6.5</v>
      </c>
      <c r="R2272" t="s">
        <v>102</v>
      </c>
      <c r="S2272">
        <v>0</v>
      </c>
      <c r="T2272" s="6">
        <f>10^-(14-Q2272)</f>
        <v>3.1622776601683699E-8</v>
      </c>
      <c r="U2272" s="6">
        <v>0</v>
      </c>
      <c r="V2272" s="6">
        <v>0</v>
      </c>
      <c r="W2272" s="6">
        <v>0</v>
      </c>
      <c r="X2272" s="6">
        <v>0</v>
      </c>
      <c r="Y2272" t="s">
        <v>28</v>
      </c>
      <c r="Z2272" s="5">
        <v>-33.4</v>
      </c>
      <c r="AA2272" s="6">
        <v>3.4103345212533389E-4</v>
      </c>
      <c r="AB2272" s="6">
        <v>0.24740000000000001</v>
      </c>
      <c r="AC2272" s="6">
        <v>8.3699999999999997E-2</v>
      </c>
      <c r="AD2272">
        <v>0.3</v>
      </c>
      <c r="AE2272">
        <v>210.8</v>
      </c>
      <c r="AF2272">
        <v>1</v>
      </c>
      <c r="AP2272"/>
    </row>
    <row r="2273" spans="1:42" x14ac:dyDescent="0.3">
      <c r="A2273" t="s">
        <v>1925</v>
      </c>
      <c r="B2273" t="s">
        <v>1894</v>
      </c>
      <c r="C2273">
        <v>89</v>
      </c>
      <c r="D2273" s="8">
        <v>430</v>
      </c>
      <c r="E2273">
        <v>1200</v>
      </c>
      <c r="G2273" t="s">
        <v>29</v>
      </c>
      <c r="J2273">
        <v>48</v>
      </c>
      <c r="K2273">
        <v>1</v>
      </c>
      <c r="L2273" t="s">
        <v>140</v>
      </c>
      <c r="M2273" t="s">
        <v>28</v>
      </c>
      <c r="N2273" s="3">
        <v>1</v>
      </c>
      <c r="O2273" s="3">
        <v>0</v>
      </c>
      <c r="P2273">
        <v>22.5</v>
      </c>
      <c r="Q2273">
        <v>6.5</v>
      </c>
      <c r="R2273" t="s">
        <v>102</v>
      </c>
      <c r="S2273">
        <v>0</v>
      </c>
      <c r="T2273" s="6">
        <f>10^-(14-Q2273)</f>
        <v>3.1622776601683699E-8</v>
      </c>
      <c r="U2273" s="6">
        <v>0</v>
      </c>
      <c r="V2273" s="6">
        <v>0</v>
      </c>
      <c r="W2273" s="6">
        <v>0</v>
      </c>
      <c r="X2273" s="6">
        <v>0</v>
      </c>
      <c r="Y2273" t="s">
        <v>28</v>
      </c>
      <c r="Z2273" s="5">
        <v>22.1</v>
      </c>
      <c r="AA2273" s="6">
        <v>1.9145145282679644E-4</v>
      </c>
      <c r="AB2273" s="6">
        <v>0.31900000000000001</v>
      </c>
      <c r="AC2273" s="6">
        <v>0.109</v>
      </c>
      <c r="AD2273">
        <v>0.3</v>
      </c>
      <c r="AE2273">
        <v>195.8</v>
      </c>
      <c r="AF2273">
        <v>1</v>
      </c>
      <c r="AP2273"/>
    </row>
    <row r="2274" spans="1:42" x14ac:dyDescent="0.3">
      <c r="A2274" t="s">
        <v>1936</v>
      </c>
      <c r="B2274" t="s">
        <v>1894</v>
      </c>
      <c r="C2274">
        <v>89</v>
      </c>
      <c r="D2274" s="8" t="s">
        <v>1633</v>
      </c>
      <c r="E2274">
        <v>1200</v>
      </c>
      <c r="G2274" t="s">
        <v>29</v>
      </c>
      <c r="J2274">
        <v>48</v>
      </c>
      <c r="K2274">
        <v>1</v>
      </c>
      <c r="L2274" t="s">
        <v>140</v>
      </c>
      <c r="M2274" t="s">
        <v>28</v>
      </c>
      <c r="N2274" s="3">
        <v>1</v>
      </c>
      <c r="O2274" s="3">
        <v>0</v>
      </c>
      <c r="P2274">
        <v>22.5</v>
      </c>
      <c r="Q2274">
        <v>6.5</v>
      </c>
      <c r="R2274" t="s">
        <v>102</v>
      </c>
      <c r="S2274">
        <v>0</v>
      </c>
      <c r="T2274" s="6">
        <f>10^-(14-Q2274)</f>
        <v>3.1622776601683699E-8</v>
      </c>
      <c r="U2274" s="6">
        <v>0</v>
      </c>
      <c r="V2274" s="6">
        <v>0</v>
      </c>
      <c r="W2274" s="6">
        <v>0</v>
      </c>
      <c r="X2274" s="6">
        <v>0</v>
      </c>
      <c r="Y2274" t="s">
        <v>28</v>
      </c>
      <c r="Z2274" s="5">
        <v>-177</v>
      </c>
      <c r="AA2274" s="6"/>
      <c r="AB2274" s="6"/>
      <c r="AC2274" s="6">
        <v>2.9999999999999997E-4</v>
      </c>
      <c r="AD2274">
        <v>0.3</v>
      </c>
      <c r="AE2274">
        <v>600</v>
      </c>
      <c r="AF2274">
        <v>1</v>
      </c>
      <c r="AP2274"/>
    </row>
    <row r="2275" spans="1:42" x14ac:dyDescent="0.3">
      <c r="A2275" t="s">
        <v>1937</v>
      </c>
      <c r="B2275" t="s">
        <v>1894</v>
      </c>
      <c r="C2275">
        <v>89</v>
      </c>
      <c r="D2275" s="8" t="s">
        <v>1633</v>
      </c>
      <c r="E2275">
        <v>1200</v>
      </c>
      <c r="G2275" t="s">
        <v>29</v>
      </c>
      <c r="J2275">
        <v>48</v>
      </c>
      <c r="K2275">
        <v>1</v>
      </c>
      <c r="L2275" t="s">
        <v>140</v>
      </c>
      <c r="M2275" t="s">
        <v>28</v>
      </c>
      <c r="N2275" s="3">
        <v>1</v>
      </c>
      <c r="O2275" s="3">
        <v>0</v>
      </c>
      <c r="P2275">
        <v>22.5</v>
      </c>
      <c r="Q2275">
        <v>6.5</v>
      </c>
      <c r="R2275" t="s">
        <v>102</v>
      </c>
      <c r="S2275">
        <v>0</v>
      </c>
      <c r="T2275" s="6">
        <f>10^-(14-Q2275)</f>
        <v>3.1622776601683699E-8</v>
      </c>
      <c r="U2275" s="6">
        <v>0</v>
      </c>
      <c r="V2275" s="6">
        <v>0</v>
      </c>
      <c r="W2275" s="6">
        <v>0</v>
      </c>
      <c r="X2275" s="6">
        <v>0</v>
      </c>
      <c r="Y2275" t="s">
        <v>28</v>
      </c>
      <c r="Z2275" s="5">
        <v>-127</v>
      </c>
      <c r="AA2275" s="6"/>
      <c r="AB2275" s="6"/>
      <c r="AC2275" s="6">
        <v>1E-3</v>
      </c>
      <c r="AD2275">
        <v>0.3</v>
      </c>
      <c r="AE2275">
        <v>401</v>
      </c>
      <c r="AF2275">
        <v>1</v>
      </c>
      <c r="AP2275"/>
    </row>
    <row r="2276" spans="1:42" x14ac:dyDescent="0.3">
      <c r="A2276" t="s">
        <v>1938</v>
      </c>
      <c r="B2276" t="s">
        <v>1894</v>
      </c>
      <c r="C2276">
        <v>89</v>
      </c>
      <c r="D2276" s="8" t="s">
        <v>1633</v>
      </c>
      <c r="E2276">
        <v>1200</v>
      </c>
      <c r="G2276" t="s">
        <v>29</v>
      </c>
      <c r="J2276">
        <v>48</v>
      </c>
      <c r="K2276">
        <v>1</v>
      </c>
      <c r="L2276" t="s">
        <v>140</v>
      </c>
      <c r="M2276" t="s">
        <v>28</v>
      </c>
      <c r="N2276" s="3">
        <v>1</v>
      </c>
      <c r="O2276" s="3">
        <v>0</v>
      </c>
      <c r="P2276">
        <v>22.5</v>
      </c>
      <c r="Q2276">
        <v>6.5</v>
      </c>
      <c r="R2276" t="s">
        <v>102</v>
      </c>
      <c r="S2276">
        <v>0</v>
      </c>
      <c r="T2276" s="6">
        <f>10^-(14-Q2276)</f>
        <v>3.1622776601683699E-8</v>
      </c>
      <c r="U2276" s="6">
        <v>0</v>
      </c>
      <c r="V2276" s="6">
        <v>0</v>
      </c>
      <c r="W2276" s="6">
        <v>0</v>
      </c>
      <c r="X2276" s="6">
        <v>0</v>
      </c>
      <c r="Y2276" t="s">
        <v>28</v>
      </c>
      <c r="Z2276" s="5">
        <v>-88</v>
      </c>
      <c r="AA2276" s="6"/>
      <c r="AB2276" s="6"/>
      <c r="AC2276" s="6">
        <v>1E-3</v>
      </c>
      <c r="AD2276">
        <v>0.3</v>
      </c>
      <c r="AE2276">
        <v>330</v>
      </c>
      <c r="AF2276">
        <v>1</v>
      </c>
      <c r="AP2276"/>
    </row>
    <row r="2277" spans="1:42" x14ac:dyDescent="0.3">
      <c r="A2277" t="s">
        <v>1946</v>
      </c>
      <c r="B2277" t="s">
        <v>1894</v>
      </c>
      <c r="C2277">
        <v>89</v>
      </c>
      <c r="D2277" s="8">
        <v>1.4300999999999999</v>
      </c>
      <c r="E2277">
        <v>1200</v>
      </c>
      <c r="G2277" t="s">
        <v>29</v>
      </c>
      <c r="J2277">
        <v>48</v>
      </c>
      <c r="K2277">
        <v>1</v>
      </c>
      <c r="L2277" t="s">
        <v>140</v>
      </c>
      <c r="M2277" t="s">
        <v>28</v>
      </c>
      <c r="N2277" s="3">
        <v>1</v>
      </c>
      <c r="O2277" s="3">
        <v>0</v>
      </c>
      <c r="P2277">
        <v>22.5</v>
      </c>
      <c r="Q2277">
        <v>6.5</v>
      </c>
      <c r="R2277" t="s">
        <v>102</v>
      </c>
      <c r="S2277">
        <v>0</v>
      </c>
      <c r="T2277" s="6">
        <f>10^-(14-Q2277)</f>
        <v>3.1622776601683699E-8</v>
      </c>
      <c r="U2277" s="6">
        <v>0</v>
      </c>
      <c r="V2277" s="6">
        <v>0</v>
      </c>
      <c r="W2277" s="6">
        <v>0</v>
      </c>
      <c r="X2277" s="6">
        <v>0</v>
      </c>
      <c r="Y2277" t="s">
        <v>28</v>
      </c>
      <c r="Z2277" s="5">
        <v>-104</v>
      </c>
      <c r="AA2277" s="6"/>
      <c r="AB2277" s="6"/>
      <c r="AC2277" s="6">
        <v>6.9999999999999999E-4</v>
      </c>
      <c r="AD2277">
        <v>0.3</v>
      </c>
      <c r="AE2277">
        <v>477</v>
      </c>
      <c r="AF2277">
        <v>1</v>
      </c>
      <c r="AP2277"/>
    </row>
    <row r="2278" spans="1:42" x14ac:dyDescent="0.3">
      <c r="A2278" t="s">
        <v>1947</v>
      </c>
      <c r="B2278" t="s">
        <v>1894</v>
      </c>
      <c r="C2278">
        <v>89</v>
      </c>
      <c r="D2278" s="8">
        <v>1.4300999999999999</v>
      </c>
      <c r="E2278">
        <v>1200</v>
      </c>
      <c r="G2278" t="s">
        <v>29</v>
      </c>
      <c r="J2278">
        <v>48</v>
      </c>
      <c r="K2278">
        <v>1</v>
      </c>
      <c r="L2278" t="s">
        <v>140</v>
      </c>
      <c r="M2278" t="s">
        <v>28</v>
      </c>
      <c r="N2278" s="3">
        <v>1</v>
      </c>
      <c r="O2278" s="3">
        <v>0</v>
      </c>
      <c r="P2278">
        <v>22.5</v>
      </c>
      <c r="Q2278">
        <v>6.5</v>
      </c>
      <c r="R2278" t="s">
        <v>102</v>
      </c>
      <c r="S2278">
        <v>0</v>
      </c>
      <c r="T2278" s="6">
        <f>10^-(14-Q2278)</f>
        <v>3.1622776601683699E-8</v>
      </c>
      <c r="U2278" s="6">
        <v>0</v>
      </c>
      <c r="V2278" s="6">
        <v>0</v>
      </c>
      <c r="W2278" s="6">
        <v>0</v>
      </c>
      <c r="X2278" s="6">
        <v>0</v>
      </c>
      <c r="Y2278" t="s">
        <v>28</v>
      </c>
      <c r="Z2278" s="5">
        <v>-197</v>
      </c>
      <c r="AA2278" s="6"/>
      <c r="AB2278" s="6"/>
      <c r="AC2278" s="6">
        <v>1.1999999999999999E-3</v>
      </c>
      <c r="AD2278">
        <v>0.3</v>
      </c>
      <c r="AE2278">
        <v>481</v>
      </c>
      <c r="AF2278">
        <v>1</v>
      </c>
      <c r="AP2278"/>
    </row>
    <row r="2279" spans="1:42" x14ac:dyDescent="0.3">
      <c r="A2279" t="s">
        <v>1948</v>
      </c>
      <c r="B2279" t="s">
        <v>1894</v>
      </c>
      <c r="C2279">
        <v>89</v>
      </c>
      <c r="D2279" s="8">
        <v>1.4300999999999999</v>
      </c>
      <c r="E2279">
        <v>1200</v>
      </c>
      <c r="G2279" t="s">
        <v>29</v>
      </c>
      <c r="J2279">
        <v>48</v>
      </c>
      <c r="K2279">
        <v>1</v>
      </c>
      <c r="L2279" t="s">
        <v>140</v>
      </c>
      <c r="M2279" t="s">
        <v>28</v>
      </c>
      <c r="N2279" s="3">
        <v>1</v>
      </c>
      <c r="O2279" s="3">
        <v>0</v>
      </c>
      <c r="P2279">
        <v>22.5</v>
      </c>
      <c r="Q2279">
        <v>6.5</v>
      </c>
      <c r="R2279" t="s">
        <v>102</v>
      </c>
      <c r="S2279">
        <v>0</v>
      </c>
      <c r="T2279" s="6">
        <f>10^-(14-Q2279)</f>
        <v>3.1622776601683699E-8</v>
      </c>
      <c r="U2279" s="6">
        <v>0</v>
      </c>
      <c r="V2279" s="6">
        <v>0</v>
      </c>
      <c r="W2279" s="6">
        <v>0</v>
      </c>
      <c r="X2279" s="6">
        <v>0</v>
      </c>
      <c r="Y2279" t="s">
        <v>28</v>
      </c>
      <c r="Z2279" s="5">
        <v>-192</v>
      </c>
      <c r="AA2279" s="6"/>
      <c r="AB2279" s="6"/>
      <c r="AC2279" s="6">
        <v>5.9999999999999995E-4</v>
      </c>
      <c r="AD2279">
        <v>0.3</v>
      </c>
      <c r="AE2279">
        <v>607</v>
      </c>
      <c r="AF2279">
        <v>1</v>
      </c>
      <c r="AP2279"/>
    </row>
    <row r="2280" spans="1:42" x14ac:dyDescent="0.3">
      <c r="A2280" t="s">
        <v>1949</v>
      </c>
      <c r="B2280" t="s">
        <v>1894</v>
      </c>
      <c r="C2280">
        <v>89</v>
      </c>
      <c r="D2280" s="8" t="s">
        <v>1633</v>
      </c>
      <c r="E2280">
        <v>1200</v>
      </c>
      <c r="G2280" t="s">
        <v>29</v>
      </c>
      <c r="J2280">
        <v>48</v>
      </c>
      <c r="K2280">
        <v>1</v>
      </c>
      <c r="L2280" t="s">
        <v>140</v>
      </c>
      <c r="M2280" t="s">
        <v>28</v>
      </c>
      <c r="N2280" s="3">
        <v>1</v>
      </c>
      <c r="O2280" s="3">
        <v>0</v>
      </c>
      <c r="P2280">
        <v>22.5</v>
      </c>
      <c r="Q2280">
        <v>6.5</v>
      </c>
      <c r="R2280" t="s">
        <v>102</v>
      </c>
      <c r="S2280">
        <v>0</v>
      </c>
      <c r="T2280" s="6">
        <f>10^-(14-Q2280)</f>
        <v>3.1622776601683699E-8</v>
      </c>
      <c r="U2280" s="6">
        <v>0</v>
      </c>
      <c r="V2280" s="6">
        <v>0</v>
      </c>
      <c r="W2280" s="6">
        <v>0</v>
      </c>
      <c r="X2280" s="6">
        <v>0</v>
      </c>
      <c r="Y2280" t="s">
        <v>28</v>
      </c>
      <c r="Z2280" s="5">
        <v>-107</v>
      </c>
      <c r="AA2280" s="6"/>
      <c r="AB2280" s="6"/>
      <c r="AC2280" s="6">
        <v>8.0000000000000004E-4</v>
      </c>
      <c r="AD2280">
        <v>0.3</v>
      </c>
      <c r="AE2280">
        <v>590</v>
      </c>
      <c r="AF2280">
        <v>1</v>
      </c>
      <c r="AP2280"/>
    </row>
    <row r="2281" spans="1:42" x14ac:dyDescent="0.3">
      <c r="A2281" t="s">
        <v>1950</v>
      </c>
      <c r="B2281" t="s">
        <v>1894</v>
      </c>
      <c r="C2281">
        <v>89</v>
      </c>
      <c r="D2281" s="8" t="s">
        <v>1633</v>
      </c>
      <c r="E2281">
        <v>1200</v>
      </c>
      <c r="G2281" t="s">
        <v>29</v>
      </c>
      <c r="J2281">
        <v>48</v>
      </c>
      <c r="K2281">
        <v>1</v>
      </c>
      <c r="L2281" t="s">
        <v>140</v>
      </c>
      <c r="M2281" t="s">
        <v>28</v>
      </c>
      <c r="N2281" s="3">
        <v>1</v>
      </c>
      <c r="O2281" s="3">
        <v>0</v>
      </c>
      <c r="P2281">
        <v>22.5</v>
      </c>
      <c r="Q2281">
        <v>6.5</v>
      </c>
      <c r="R2281" t="s">
        <v>102</v>
      </c>
      <c r="S2281">
        <v>0</v>
      </c>
      <c r="T2281" s="6">
        <f>10^-(14-Q2281)</f>
        <v>3.1622776601683699E-8</v>
      </c>
      <c r="U2281" s="6">
        <v>0</v>
      </c>
      <c r="V2281" s="6">
        <v>0</v>
      </c>
      <c r="W2281" s="6">
        <v>0</v>
      </c>
      <c r="X2281" s="6">
        <v>0</v>
      </c>
      <c r="Y2281" t="s">
        <v>28</v>
      </c>
      <c r="Z2281" s="5">
        <v>-107</v>
      </c>
      <c r="AA2281" s="6"/>
      <c r="AB2281" s="6"/>
      <c r="AC2281" s="6">
        <v>1.6000000000000001E-3</v>
      </c>
      <c r="AD2281">
        <v>0.3</v>
      </c>
      <c r="AE2281">
        <v>257</v>
      </c>
      <c r="AF2281">
        <v>1</v>
      </c>
      <c r="AP2281"/>
    </row>
    <row r="2282" spans="1:42" x14ac:dyDescent="0.3">
      <c r="A2282" t="s">
        <v>1955</v>
      </c>
      <c r="B2282" t="s">
        <v>1894</v>
      </c>
      <c r="C2282">
        <v>89</v>
      </c>
      <c r="D2282" s="8" t="s">
        <v>1633</v>
      </c>
      <c r="E2282">
        <v>1200</v>
      </c>
      <c r="G2282" t="s">
        <v>29</v>
      </c>
      <c r="J2282">
        <v>48</v>
      </c>
      <c r="K2282">
        <v>1</v>
      </c>
      <c r="L2282" t="s">
        <v>140</v>
      </c>
      <c r="M2282" t="s">
        <v>28</v>
      </c>
      <c r="N2282" s="3">
        <v>1</v>
      </c>
      <c r="O2282" s="3">
        <v>0</v>
      </c>
      <c r="P2282">
        <v>22.5</v>
      </c>
      <c r="Q2282">
        <v>6.5</v>
      </c>
      <c r="R2282" t="s">
        <v>102</v>
      </c>
      <c r="S2282">
        <v>0</v>
      </c>
      <c r="T2282" s="6">
        <f>10^-(14-Q2282)</f>
        <v>3.1622776601683699E-8</v>
      </c>
      <c r="U2282" s="6">
        <v>0</v>
      </c>
      <c r="V2282" s="6">
        <v>0</v>
      </c>
      <c r="W2282" s="6">
        <v>0</v>
      </c>
      <c r="X2282" s="6">
        <v>0</v>
      </c>
      <c r="Y2282" t="s">
        <v>28</v>
      </c>
      <c r="Z2282" s="5">
        <v>-81</v>
      </c>
      <c r="AA2282" s="6"/>
      <c r="AB2282" s="6"/>
      <c r="AC2282" s="6">
        <v>1.5E-3</v>
      </c>
      <c r="AD2282">
        <v>0.3</v>
      </c>
      <c r="AE2282">
        <v>398</v>
      </c>
      <c r="AF2282">
        <v>1</v>
      </c>
      <c r="AP2282"/>
    </row>
    <row r="2283" spans="1:42" x14ac:dyDescent="0.3">
      <c r="A2283" t="s">
        <v>1743</v>
      </c>
      <c r="B2283" t="s">
        <v>1736</v>
      </c>
      <c r="C2283">
        <v>83</v>
      </c>
      <c r="D2283" s="8">
        <v>1.4003000000000001</v>
      </c>
      <c r="E2283">
        <v>600</v>
      </c>
      <c r="G2283" t="s">
        <v>192</v>
      </c>
      <c r="H2283">
        <v>8.35</v>
      </c>
      <c r="I2283" s="4">
        <v>-1.3</v>
      </c>
      <c r="J2283" s="3">
        <v>0.05</v>
      </c>
      <c r="L2283" t="s">
        <v>172</v>
      </c>
      <c r="M2283" t="s">
        <v>171</v>
      </c>
      <c r="N2283" s="3">
        <v>1.3</v>
      </c>
      <c r="O2283" s="3">
        <v>0</v>
      </c>
      <c r="P2283">
        <v>35</v>
      </c>
      <c r="Q2283">
        <v>8.35</v>
      </c>
      <c r="R2283" t="s">
        <v>983</v>
      </c>
      <c r="S2283">
        <v>0.6</v>
      </c>
      <c r="T2283" s="6">
        <f>10^-(14-Q2283)</f>
        <v>2.2387211385683329E-6</v>
      </c>
      <c r="U2283" s="6">
        <v>0.2</v>
      </c>
      <c r="V2283" s="6">
        <v>0.15</v>
      </c>
      <c r="W2283" s="6">
        <v>0</v>
      </c>
      <c r="X2283" s="6">
        <v>0.15</v>
      </c>
      <c r="Y2283" t="s">
        <v>171</v>
      </c>
      <c r="AD2283">
        <v>0.16666666666666666</v>
      </c>
      <c r="AE2283">
        <v>326</v>
      </c>
      <c r="AF2283">
        <v>1</v>
      </c>
      <c r="AG2283" s="9">
        <v>0.02</v>
      </c>
      <c r="AH2283" s="9">
        <v>0.54</v>
      </c>
      <c r="AI2283" s="9">
        <v>0.68</v>
      </c>
      <c r="AJ2283" s="9">
        <v>0.02</v>
      </c>
      <c r="AK2283" s="9">
        <v>1E-3</v>
      </c>
      <c r="AL2283" s="9">
        <v>11.4</v>
      </c>
      <c r="AM2283" s="9">
        <v>0.49</v>
      </c>
      <c r="AN2283" s="9">
        <v>0.02</v>
      </c>
      <c r="AO2283" s="9">
        <v>1.4999999999999999E-2</v>
      </c>
      <c r="AP2283"/>
    </row>
    <row r="2284" spans="1:42" x14ac:dyDescent="0.3">
      <c r="A2284" t="s">
        <v>1758</v>
      </c>
      <c r="B2284" t="s">
        <v>1736</v>
      </c>
      <c r="C2284">
        <v>83</v>
      </c>
      <c r="D2284" s="8">
        <v>1.4003000000000001</v>
      </c>
      <c r="E2284">
        <v>600</v>
      </c>
      <c r="G2284" t="s">
        <v>192</v>
      </c>
      <c r="H2284">
        <v>8.35</v>
      </c>
      <c r="I2284" s="4">
        <v>-1.3</v>
      </c>
      <c r="J2284" s="3">
        <v>0.05</v>
      </c>
      <c r="L2284" t="s">
        <v>172</v>
      </c>
      <c r="M2284" t="s">
        <v>171</v>
      </c>
      <c r="N2284" s="3">
        <v>1.3</v>
      </c>
      <c r="O2284" s="3">
        <v>0</v>
      </c>
      <c r="P2284">
        <v>35</v>
      </c>
      <c r="Q2284">
        <v>8.35</v>
      </c>
      <c r="R2284" t="s">
        <v>983</v>
      </c>
      <c r="S2284">
        <v>0.6</v>
      </c>
      <c r="T2284" s="6">
        <f>10^-(14-Q2284)</f>
        <v>2.2387211385683329E-6</v>
      </c>
      <c r="U2284" s="6">
        <v>0.2</v>
      </c>
      <c r="V2284" s="6">
        <v>0.15</v>
      </c>
      <c r="W2284" s="6">
        <v>0</v>
      </c>
      <c r="X2284" s="6">
        <v>0.15</v>
      </c>
      <c r="Y2284" t="s">
        <v>171</v>
      </c>
      <c r="AD2284">
        <v>0.16666666666666666</v>
      </c>
      <c r="AE2284">
        <v>318</v>
      </c>
      <c r="AF2284">
        <v>1</v>
      </c>
      <c r="AG2284" s="9">
        <v>0.02</v>
      </c>
      <c r="AH2284" s="9">
        <v>0.54</v>
      </c>
      <c r="AI2284" s="9">
        <v>0.68</v>
      </c>
      <c r="AJ2284" s="9">
        <v>0.02</v>
      </c>
      <c r="AK2284" s="9">
        <v>1E-3</v>
      </c>
      <c r="AL2284" s="9">
        <v>11.4</v>
      </c>
      <c r="AM2284" s="9">
        <v>0.49</v>
      </c>
      <c r="AN2284" s="9">
        <v>0.02</v>
      </c>
      <c r="AO2284" s="9">
        <v>1.4999999999999999E-2</v>
      </c>
      <c r="AP2284"/>
    </row>
    <row r="2285" spans="1:42" x14ac:dyDescent="0.3">
      <c r="A2285" t="s">
        <v>1773</v>
      </c>
      <c r="B2285" t="s">
        <v>1736</v>
      </c>
      <c r="C2285">
        <v>83</v>
      </c>
      <c r="D2285" s="8">
        <v>1.4003000000000001</v>
      </c>
      <c r="F2285">
        <v>2.895</v>
      </c>
      <c r="G2285" t="s">
        <v>192</v>
      </c>
      <c r="H2285">
        <v>8.35</v>
      </c>
      <c r="I2285" s="4">
        <v>-1.3</v>
      </c>
      <c r="J2285" s="3">
        <v>0.05</v>
      </c>
      <c r="L2285" t="s">
        <v>172</v>
      </c>
      <c r="M2285" t="s">
        <v>171</v>
      </c>
      <c r="N2285" s="3">
        <v>1.3</v>
      </c>
      <c r="O2285" s="3">
        <v>0</v>
      </c>
      <c r="P2285">
        <v>35</v>
      </c>
      <c r="Q2285">
        <v>8.35</v>
      </c>
      <c r="R2285" t="s">
        <v>983</v>
      </c>
      <c r="S2285">
        <v>0.6</v>
      </c>
      <c r="T2285" s="6">
        <f>10^-(14-Q2285)</f>
        <v>2.2387211385683329E-6</v>
      </c>
      <c r="U2285" s="6">
        <v>0.2</v>
      </c>
      <c r="V2285" s="6">
        <v>0.15</v>
      </c>
      <c r="W2285" s="6">
        <v>0</v>
      </c>
      <c r="X2285" s="6">
        <v>0.15</v>
      </c>
      <c r="Y2285" t="s">
        <v>171</v>
      </c>
      <c r="Z2285" s="5">
        <v>-140</v>
      </c>
      <c r="AD2285">
        <v>0.16666666666666666</v>
      </c>
      <c r="AE2285">
        <v>515</v>
      </c>
      <c r="AF2285">
        <v>1</v>
      </c>
      <c r="AG2285" s="9">
        <v>0.02</v>
      </c>
      <c r="AH2285" s="9">
        <v>0.54</v>
      </c>
      <c r="AI2285" s="9">
        <v>0.68</v>
      </c>
      <c r="AJ2285" s="9">
        <v>0.02</v>
      </c>
      <c r="AK2285" s="9">
        <v>1E-3</v>
      </c>
      <c r="AL2285" s="9">
        <v>11.4</v>
      </c>
      <c r="AM2285" s="9">
        <v>0.49</v>
      </c>
      <c r="AN2285" s="9">
        <v>0.02</v>
      </c>
      <c r="AO2285" s="9">
        <v>1.4999999999999999E-2</v>
      </c>
      <c r="AP2285"/>
    </row>
    <row r="2286" spans="1:42" x14ac:dyDescent="0.3">
      <c r="A2286" t="s">
        <v>1788</v>
      </c>
      <c r="B2286" t="s">
        <v>1736</v>
      </c>
      <c r="C2286">
        <v>83</v>
      </c>
      <c r="D2286" s="8">
        <v>1.4003000000000001</v>
      </c>
      <c r="F2286">
        <v>2.895</v>
      </c>
      <c r="G2286" t="s">
        <v>192</v>
      </c>
      <c r="H2286">
        <v>8.35</v>
      </c>
      <c r="I2286" s="4">
        <v>-1.3</v>
      </c>
      <c r="J2286" s="3">
        <v>0.05</v>
      </c>
      <c r="L2286" t="s">
        <v>172</v>
      </c>
      <c r="M2286" t="s">
        <v>171</v>
      </c>
      <c r="N2286" s="3">
        <v>1.3</v>
      </c>
      <c r="O2286" s="3">
        <v>0</v>
      </c>
      <c r="P2286">
        <v>35</v>
      </c>
      <c r="Q2286">
        <v>8.35</v>
      </c>
      <c r="R2286" t="s">
        <v>983</v>
      </c>
      <c r="S2286">
        <v>0.6</v>
      </c>
      <c r="T2286" s="6">
        <f>10^-(14-Q2286)</f>
        <v>2.2387211385683329E-6</v>
      </c>
      <c r="U2286" s="6">
        <v>0.2</v>
      </c>
      <c r="V2286" s="6">
        <v>0.15</v>
      </c>
      <c r="W2286" s="6">
        <v>0</v>
      </c>
      <c r="X2286" s="6">
        <v>0.15</v>
      </c>
      <c r="Y2286" t="s">
        <v>171</v>
      </c>
      <c r="Z2286" s="5">
        <v>-140</v>
      </c>
      <c r="AD2286">
        <v>0.16666666666666666</v>
      </c>
      <c r="AE2286">
        <v>573</v>
      </c>
      <c r="AF2286">
        <v>1</v>
      </c>
      <c r="AG2286" s="9">
        <v>0.02</v>
      </c>
      <c r="AH2286" s="9">
        <v>0.54</v>
      </c>
      <c r="AI2286" s="9">
        <v>0.68</v>
      </c>
      <c r="AJ2286" s="9">
        <v>0.02</v>
      </c>
      <c r="AK2286" s="9">
        <v>1E-3</v>
      </c>
      <c r="AL2286" s="9">
        <v>11.4</v>
      </c>
      <c r="AM2286" s="9">
        <v>0.49</v>
      </c>
      <c r="AN2286" s="9">
        <v>0.02</v>
      </c>
      <c r="AO2286" s="9">
        <v>1.4999999999999999E-2</v>
      </c>
      <c r="AP2286"/>
    </row>
    <row r="2287" spans="1:42" x14ac:dyDescent="0.3">
      <c r="A2287" t="s">
        <v>1803</v>
      </c>
      <c r="B2287" t="s">
        <v>1736</v>
      </c>
      <c r="C2287">
        <v>83</v>
      </c>
      <c r="D2287" s="8">
        <v>1.4003000000000001</v>
      </c>
      <c r="E2287">
        <v>600</v>
      </c>
      <c r="G2287" t="s">
        <v>192</v>
      </c>
      <c r="H2287">
        <v>8.35</v>
      </c>
      <c r="I2287" s="4">
        <v>-1.3</v>
      </c>
      <c r="J2287" s="3">
        <v>0.05</v>
      </c>
      <c r="L2287" t="s">
        <v>172</v>
      </c>
      <c r="M2287" t="s">
        <v>171</v>
      </c>
      <c r="N2287" s="3">
        <v>1.3</v>
      </c>
      <c r="O2287" s="3">
        <v>0</v>
      </c>
      <c r="P2287">
        <v>55</v>
      </c>
      <c r="Q2287">
        <v>8.35</v>
      </c>
      <c r="R2287" t="s">
        <v>983</v>
      </c>
      <c r="S2287">
        <v>0.6</v>
      </c>
      <c r="T2287" s="6">
        <f>10^-(14-Q2287)</f>
        <v>2.2387211385683329E-6</v>
      </c>
      <c r="U2287" s="6">
        <v>0.2</v>
      </c>
      <c r="V2287" s="6">
        <v>0.15</v>
      </c>
      <c r="W2287" s="6">
        <v>0</v>
      </c>
      <c r="X2287" s="6">
        <v>0.15</v>
      </c>
      <c r="Y2287" t="s">
        <v>171</v>
      </c>
      <c r="AD2287">
        <v>0.16666666666666666</v>
      </c>
      <c r="AE2287">
        <v>-24</v>
      </c>
      <c r="AF2287">
        <v>1</v>
      </c>
      <c r="AG2287" s="9">
        <v>0.02</v>
      </c>
      <c r="AH2287" s="9">
        <v>0.54</v>
      </c>
      <c r="AI2287" s="9">
        <v>0.68</v>
      </c>
      <c r="AJ2287" s="9">
        <v>0.02</v>
      </c>
      <c r="AK2287" s="9">
        <v>1E-3</v>
      </c>
      <c r="AL2287" s="9">
        <v>11.4</v>
      </c>
      <c r="AM2287" s="9">
        <v>0.49</v>
      </c>
      <c r="AN2287" s="9">
        <v>0.02</v>
      </c>
      <c r="AO2287" s="9">
        <v>1.4999999999999999E-2</v>
      </c>
      <c r="AP2287"/>
    </row>
    <row r="2288" spans="1:42" x14ac:dyDescent="0.3">
      <c r="A2288" t="s">
        <v>1818</v>
      </c>
      <c r="B2288" t="s">
        <v>1736</v>
      </c>
      <c r="C2288">
        <v>83</v>
      </c>
      <c r="D2288" s="8">
        <v>1.4003000000000001</v>
      </c>
      <c r="E2288">
        <v>600</v>
      </c>
      <c r="G2288" t="s">
        <v>192</v>
      </c>
      <c r="H2288">
        <v>8.35</v>
      </c>
      <c r="I2288" s="4">
        <v>-1.3</v>
      </c>
      <c r="J2288" s="3">
        <v>0.05</v>
      </c>
      <c r="L2288" t="s">
        <v>172</v>
      </c>
      <c r="M2288" t="s">
        <v>171</v>
      </c>
      <c r="N2288" s="3">
        <v>1.3</v>
      </c>
      <c r="O2288" s="3">
        <v>0</v>
      </c>
      <c r="P2288">
        <v>55</v>
      </c>
      <c r="Q2288">
        <v>8.35</v>
      </c>
      <c r="R2288" t="s">
        <v>983</v>
      </c>
      <c r="S2288">
        <v>0.6</v>
      </c>
      <c r="T2288" s="6">
        <f>10^-(14-Q2288)</f>
        <v>2.2387211385683329E-6</v>
      </c>
      <c r="U2288" s="6">
        <v>0.2</v>
      </c>
      <c r="V2288" s="6">
        <v>0.15</v>
      </c>
      <c r="W2288" s="6">
        <v>0</v>
      </c>
      <c r="X2288" s="6">
        <v>0.15</v>
      </c>
      <c r="Y2288" t="s">
        <v>171</v>
      </c>
      <c r="AD2288">
        <v>0.16666666666666666</v>
      </c>
      <c r="AE2288">
        <v>73</v>
      </c>
      <c r="AF2288">
        <v>1</v>
      </c>
      <c r="AG2288" s="9">
        <v>0.02</v>
      </c>
      <c r="AH2288" s="9">
        <v>0.54</v>
      </c>
      <c r="AI2288" s="9">
        <v>0.68</v>
      </c>
      <c r="AJ2288" s="9">
        <v>0.02</v>
      </c>
      <c r="AK2288" s="9">
        <v>1E-3</v>
      </c>
      <c r="AL2288" s="9">
        <v>11.4</v>
      </c>
      <c r="AM2288" s="9">
        <v>0.49</v>
      </c>
      <c r="AN2288" s="9">
        <v>0.02</v>
      </c>
      <c r="AO2288" s="9">
        <v>1.4999999999999999E-2</v>
      </c>
      <c r="AP2288"/>
    </row>
    <row r="2289" spans="1:42" x14ac:dyDescent="0.3">
      <c r="A2289" t="s">
        <v>1833</v>
      </c>
      <c r="B2289" t="s">
        <v>1736</v>
      </c>
      <c r="C2289">
        <v>83</v>
      </c>
      <c r="D2289" s="8">
        <v>1.4161999999999999</v>
      </c>
      <c r="F2289">
        <v>3.625</v>
      </c>
      <c r="G2289" t="s">
        <v>192</v>
      </c>
      <c r="H2289">
        <v>6.9</v>
      </c>
      <c r="I2289" s="4">
        <v>-1.3</v>
      </c>
      <c r="J2289" s="3">
        <v>0.05</v>
      </c>
      <c r="L2289" t="s">
        <v>172</v>
      </c>
      <c r="M2289" t="s">
        <v>171</v>
      </c>
      <c r="N2289" s="3">
        <v>1.6</v>
      </c>
      <c r="O2289" s="3">
        <v>0</v>
      </c>
      <c r="P2289">
        <v>35</v>
      </c>
      <c r="Q2289">
        <v>6.9</v>
      </c>
      <c r="R2289" t="s">
        <v>983</v>
      </c>
      <c r="S2289">
        <v>0.6</v>
      </c>
      <c r="T2289" s="6">
        <f>10^-(14-Q2289)</f>
        <v>7.943282347242818E-8</v>
      </c>
      <c r="U2289" s="6">
        <v>0.2</v>
      </c>
      <c r="V2289" s="6">
        <v>0.15</v>
      </c>
      <c r="W2289" s="6">
        <v>0</v>
      </c>
      <c r="X2289" s="6">
        <v>0.15</v>
      </c>
      <c r="Y2289" t="s">
        <v>171</v>
      </c>
      <c r="Z2289" s="5">
        <v>-170</v>
      </c>
      <c r="AD2289">
        <v>0.16666666666666666</v>
      </c>
      <c r="AE2289">
        <v>295</v>
      </c>
      <c r="AF2289">
        <v>1</v>
      </c>
      <c r="AG2289" s="9">
        <v>0.02</v>
      </c>
      <c r="AH2289" s="9">
        <v>0.54</v>
      </c>
      <c r="AI2289" s="9">
        <v>0.68</v>
      </c>
      <c r="AJ2289" s="9">
        <v>0.02</v>
      </c>
      <c r="AK2289" s="9">
        <v>1E-3</v>
      </c>
      <c r="AL2289" s="9">
        <v>11.4</v>
      </c>
      <c r="AM2289" s="9">
        <v>0.49</v>
      </c>
      <c r="AN2289" s="9">
        <v>0.02</v>
      </c>
      <c r="AO2289" s="9">
        <v>1.4999999999999999E-2</v>
      </c>
      <c r="AP2289"/>
    </row>
    <row r="2290" spans="1:42" x14ac:dyDescent="0.3">
      <c r="A2290" t="s">
        <v>1870</v>
      </c>
      <c r="B2290" t="s">
        <v>1736</v>
      </c>
      <c r="C2290">
        <v>83</v>
      </c>
      <c r="D2290" s="8">
        <v>1.4003000000000001</v>
      </c>
      <c r="F2290">
        <v>2.895</v>
      </c>
      <c r="G2290" t="s">
        <v>192</v>
      </c>
      <c r="H2290">
        <v>8.35</v>
      </c>
      <c r="I2290" s="4">
        <v>-1.3</v>
      </c>
      <c r="J2290" s="3">
        <v>0.05</v>
      </c>
      <c r="L2290" t="s">
        <v>172</v>
      </c>
      <c r="M2290" t="s">
        <v>171</v>
      </c>
      <c r="N2290" s="3">
        <v>1.3</v>
      </c>
      <c r="O2290" s="3">
        <v>0</v>
      </c>
      <c r="P2290">
        <v>55</v>
      </c>
      <c r="Q2290">
        <v>8.35</v>
      </c>
      <c r="R2290" t="s">
        <v>983</v>
      </c>
      <c r="S2290">
        <v>0.6</v>
      </c>
      <c r="T2290" s="6">
        <f>10^-(14-Q2290)</f>
        <v>2.2387211385683329E-6</v>
      </c>
      <c r="U2290" s="6">
        <v>0.2</v>
      </c>
      <c r="V2290" s="6">
        <v>0.15</v>
      </c>
      <c r="W2290" s="6">
        <v>0</v>
      </c>
      <c r="X2290" s="6">
        <v>0.15</v>
      </c>
      <c r="Y2290" t="s">
        <v>171</v>
      </c>
      <c r="Z2290" s="5">
        <v>-140</v>
      </c>
      <c r="AD2290">
        <v>0.16666666666666666</v>
      </c>
      <c r="AE2290">
        <v>486</v>
      </c>
      <c r="AF2290">
        <v>1</v>
      </c>
      <c r="AG2290" s="9">
        <v>0.02</v>
      </c>
      <c r="AH2290" s="9">
        <v>0.54</v>
      </c>
      <c r="AI2290" s="9">
        <v>0.68</v>
      </c>
      <c r="AJ2290" s="9">
        <v>0.02</v>
      </c>
      <c r="AK2290" s="9">
        <v>1E-3</v>
      </c>
      <c r="AL2290" s="9">
        <v>11.4</v>
      </c>
      <c r="AM2290" s="9">
        <v>0.49</v>
      </c>
      <c r="AN2290" s="9">
        <v>0.02</v>
      </c>
      <c r="AO2290" s="9">
        <v>1.4999999999999999E-2</v>
      </c>
      <c r="AP2290"/>
    </row>
    <row r="2291" spans="1:42" x14ac:dyDescent="0.3">
      <c r="A2291" t="s">
        <v>1885</v>
      </c>
      <c r="B2291" t="s">
        <v>1736</v>
      </c>
      <c r="C2291">
        <v>83</v>
      </c>
      <c r="D2291" s="8">
        <v>1.4003000000000001</v>
      </c>
      <c r="F2291">
        <v>2.895</v>
      </c>
      <c r="G2291" t="s">
        <v>192</v>
      </c>
      <c r="H2291">
        <v>8.35</v>
      </c>
      <c r="I2291" s="4">
        <v>-1.3</v>
      </c>
      <c r="J2291" s="3">
        <v>0.05</v>
      </c>
      <c r="L2291" t="s">
        <v>172</v>
      </c>
      <c r="M2291" t="s">
        <v>171</v>
      </c>
      <c r="N2291" s="3">
        <v>1.3</v>
      </c>
      <c r="O2291" s="3">
        <v>0</v>
      </c>
      <c r="P2291">
        <v>55</v>
      </c>
      <c r="Q2291">
        <v>8.35</v>
      </c>
      <c r="R2291" t="s">
        <v>983</v>
      </c>
      <c r="S2291">
        <v>0.6</v>
      </c>
      <c r="T2291" s="6">
        <f>10^-(14-Q2291)</f>
        <v>2.2387211385683329E-6</v>
      </c>
      <c r="U2291" s="6">
        <v>0.2</v>
      </c>
      <c r="V2291" s="6">
        <v>0.15</v>
      </c>
      <c r="W2291" s="6">
        <v>0</v>
      </c>
      <c r="X2291" s="6">
        <v>0.15</v>
      </c>
      <c r="Y2291" t="s">
        <v>171</v>
      </c>
      <c r="Z2291" s="5">
        <v>-140</v>
      </c>
      <c r="AD2291">
        <v>0.16666666666666666</v>
      </c>
      <c r="AE2291">
        <v>498</v>
      </c>
      <c r="AF2291">
        <v>1</v>
      </c>
      <c r="AG2291" s="9">
        <v>0.02</v>
      </c>
      <c r="AH2291" s="9">
        <v>0.54</v>
      </c>
      <c r="AI2291" s="9">
        <v>0.68</v>
      </c>
      <c r="AJ2291" s="9">
        <v>0.02</v>
      </c>
      <c r="AK2291" s="9">
        <v>1E-3</v>
      </c>
      <c r="AL2291" s="9">
        <v>11.4</v>
      </c>
      <c r="AM2291" s="9">
        <v>0.49</v>
      </c>
      <c r="AN2291" s="9">
        <v>0.02</v>
      </c>
      <c r="AO2291" s="9">
        <v>1.4999999999999999E-2</v>
      </c>
      <c r="AP2291"/>
    </row>
    <row r="2292" spans="1:42" x14ac:dyDescent="0.3">
      <c r="A2292" t="s">
        <v>1742</v>
      </c>
      <c r="B2292" t="s">
        <v>1736</v>
      </c>
      <c r="C2292">
        <v>83</v>
      </c>
      <c r="D2292" s="8">
        <v>1.4003000000000001</v>
      </c>
      <c r="E2292">
        <v>600</v>
      </c>
      <c r="G2292" t="s">
        <v>192</v>
      </c>
      <c r="H2292">
        <v>8.35</v>
      </c>
      <c r="I2292" s="4">
        <v>-1.3</v>
      </c>
      <c r="J2292" s="3">
        <v>0.05</v>
      </c>
      <c r="L2292" t="s">
        <v>172</v>
      </c>
      <c r="M2292" t="s">
        <v>171</v>
      </c>
      <c r="N2292" s="3">
        <v>1.3</v>
      </c>
      <c r="O2292" s="3">
        <v>0</v>
      </c>
      <c r="P2292">
        <v>35</v>
      </c>
      <c r="Q2292">
        <v>8.35</v>
      </c>
      <c r="R2292" t="s">
        <v>983</v>
      </c>
      <c r="S2292">
        <v>0.6</v>
      </c>
      <c r="T2292" s="6">
        <f>10^-(14-Q2292)</f>
        <v>2.2387211385683329E-6</v>
      </c>
      <c r="U2292" s="6">
        <v>0.2</v>
      </c>
      <c r="V2292" s="6">
        <v>0.15</v>
      </c>
      <c r="W2292" s="6">
        <v>0</v>
      </c>
      <c r="X2292" s="6">
        <v>0.15</v>
      </c>
      <c r="Y2292" t="s">
        <v>171</v>
      </c>
      <c r="AD2292">
        <v>0.16666666666666666</v>
      </c>
      <c r="AE2292">
        <v>192</v>
      </c>
      <c r="AF2292">
        <v>1</v>
      </c>
      <c r="AG2292" s="9">
        <v>2.1000000000000001E-2</v>
      </c>
      <c r="AH2292" s="9">
        <v>0.55000000000000004</v>
      </c>
      <c r="AI2292" s="9">
        <v>0.68</v>
      </c>
      <c r="AJ2292" s="9">
        <v>2.1000000000000001E-2</v>
      </c>
      <c r="AK2292" s="9">
        <v>1E-3</v>
      </c>
      <c r="AL2292" s="9">
        <v>11.5</v>
      </c>
      <c r="AM2292" s="9">
        <v>0.5</v>
      </c>
      <c r="AN2292" s="9">
        <v>0.01</v>
      </c>
      <c r="AO2292" s="9">
        <v>1.2E-2</v>
      </c>
      <c r="AP2292"/>
    </row>
    <row r="2293" spans="1:42" x14ac:dyDescent="0.3">
      <c r="A2293" t="s">
        <v>1757</v>
      </c>
      <c r="B2293" t="s">
        <v>1736</v>
      </c>
      <c r="C2293">
        <v>83</v>
      </c>
      <c r="D2293" s="8">
        <v>1.4003000000000001</v>
      </c>
      <c r="E2293">
        <v>600</v>
      </c>
      <c r="F2293" s="7"/>
      <c r="G2293" t="s">
        <v>192</v>
      </c>
      <c r="H2293">
        <v>8.35</v>
      </c>
      <c r="I2293" s="4">
        <v>-1.3</v>
      </c>
      <c r="J2293" s="3">
        <v>0.05</v>
      </c>
      <c r="L2293" t="s">
        <v>172</v>
      </c>
      <c r="M2293" t="s">
        <v>171</v>
      </c>
      <c r="N2293" s="3">
        <v>1.3</v>
      </c>
      <c r="O2293" s="3">
        <v>0</v>
      </c>
      <c r="P2293">
        <v>35</v>
      </c>
      <c r="Q2293">
        <v>8.35</v>
      </c>
      <c r="R2293" t="s">
        <v>983</v>
      </c>
      <c r="S2293">
        <v>0.6</v>
      </c>
      <c r="T2293" s="6">
        <f>10^-(14-Q2293)</f>
        <v>2.2387211385683329E-6</v>
      </c>
      <c r="U2293" s="6">
        <v>0.2</v>
      </c>
      <c r="V2293" s="6">
        <v>0.15</v>
      </c>
      <c r="W2293" s="6">
        <v>0</v>
      </c>
      <c r="X2293" s="6">
        <v>0.15</v>
      </c>
      <c r="Y2293" t="s">
        <v>171</v>
      </c>
      <c r="AD2293">
        <v>0.16666666666666666</v>
      </c>
      <c r="AE2293">
        <v>235</v>
      </c>
      <c r="AF2293">
        <v>1</v>
      </c>
      <c r="AG2293" s="9">
        <v>2.1000000000000001E-2</v>
      </c>
      <c r="AH2293" s="9">
        <v>0.55000000000000004</v>
      </c>
      <c r="AI2293" s="9">
        <v>0.68</v>
      </c>
      <c r="AJ2293" s="9">
        <v>2.1000000000000001E-2</v>
      </c>
      <c r="AK2293" s="9">
        <v>1E-3</v>
      </c>
      <c r="AL2293" s="9">
        <v>11.5</v>
      </c>
      <c r="AM2293" s="9">
        <v>0.5</v>
      </c>
      <c r="AN2293" s="9">
        <v>0.01</v>
      </c>
      <c r="AO2293" s="9">
        <v>1.2E-2</v>
      </c>
      <c r="AP2293"/>
    </row>
    <row r="2294" spans="1:42" x14ac:dyDescent="0.3">
      <c r="A2294" t="s">
        <v>1772</v>
      </c>
      <c r="B2294" t="s">
        <v>1736</v>
      </c>
      <c r="C2294">
        <v>83</v>
      </c>
      <c r="D2294" s="8">
        <v>1.4003000000000001</v>
      </c>
      <c r="F2294">
        <v>2.895</v>
      </c>
      <c r="G2294" t="s">
        <v>192</v>
      </c>
      <c r="H2294">
        <v>8.35</v>
      </c>
      <c r="I2294" s="4">
        <v>-1.3</v>
      </c>
      <c r="J2294" s="3">
        <v>0.05</v>
      </c>
      <c r="L2294" t="s">
        <v>172</v>
      </c>
      <c r="M2294" t="s">
        <v>171</v>
      </c>
      <c r="N2294" s="3">
        <v>1.3</v>
      </c>
      <c r="O2294" s="3">
        <v>0</v>
      </c>
      <c r="P2294">
        <v>35</v>
      </c>
      <c r="Q2294">
        <v>8.35</v>
      </c>
      <c r="R2294" t="s">
        <v>983</v>
      </c>
      <c r="S2294">
        <v>0.6</v>
      </c>
      <c r="T2294" s="6">
        <f>10^-(14-Q2294)</f>
        <v>2.2387211385683329E-6</v>
      </c>
      <c r="U2294" s="6">
        <v>0.2</v>
      </c>
      <c r="V2294" s="6">
        <v>0.15</v>
      </c>
      <c r="W2294" s="6">
        <v>0</v>
      </c>
      <c r="X2294" s="6">
        <v>0.15</v>
      </c>
      <c r="Y2294" t="s">
        <v>171</v>
      </c>
      <c r="Z2294" s="5">
        <v>-140</v>
      </c>
      <c r="AD2294">
        <v>0.16666666666666666</v>
      </c>
      <c r="AE2294">
        <v>415</v>
      </c>
      <c r="AF2294">
        <v>1</v>
      </c>
      <c r="AG2294" s="9">
        <v>2.1000000000000001E-2</v>
      </c>
      <c r="AH2294" s="9">
        <v>0.55000000000000004</v>
      </c>
      <c r="AI2294" s="9">
        <v>0.68</v>
      </c>
      <c r="AJ2294" s="9">
        <v>2.1000000000000001E-2</v>
      </c>
      <c r="AK2294" s="9">
        <v>1E-3</v>
      </c>
      <c r="AL2294" s="9">
        <v>11.5</v>
      </c>
      <c r="AM2294" s="9">
        <v>0.5</v>
      </c>
      <c r="AN2294" s="9">
        <v>0.01</v>
      </c>
      <c r="AO2294" s="9">
        <v>1.2E-2</v>
      </c>
      <c r="AP2294"/>
    </row>
    <row r="2295" spans="1:42" x14ac:dyDescent="0.3">
      <c r="A2295" t="s">
        <v>1787</v>
      </c>
      <c r="B2295" t="s">
        <v>1736</v>
      </c>
      <c r="C2295">
        <v>83</v>
      </c>
      <c r="D2295" s="8">
        <v>1.4003000000000001</v>
      </c>
      <c r="F2295">
        <v>2.895</v>
      </c>
      <c r="G2295" t="s">
        <v>192</v>
      </c>
      <c r="H2295">
        <v>8.35</v>
      </c>
      <c r="I2295" s="4">
        <v>-1.3</v>
      </c>
      <c r="J2295" s="3">
        <v>0.05</v>
      </c>
      <c r="L2295" t="s">
        <v>172</v>
      </c>
      <c r="M2295" t="s">
        <v>171</v>
      </c>
      <c r="N2295" s="3">
        <v>1.3</v>
      </c>
      <c r="O2295" s="3">
        <v>0</v>
      </c>
      <c r="P2295">
        <v>35</v>
      </c>
      <c r="Q2295">
        <v>8.35</v>
      </c>
      <c r="R2295" t="s">
        <v>983</v>
      </c>
      <c r="S2295">
        <v>0.6</v>
      </c>
      <c r="T2295" s="6">
        <f>10^-(14-Q2295)</f>
        <v>2.2387211385683329E-6</v>
      </c>
      <c r="U2295" s="6">
        <v>0.2</v>
      </c>
      <c r="V2295" s="6">
        <v>0.15</v>
      </c>
      <c r="W2295" s="6">
        <v>0</v>
      </c>
      <c r="X2295" s="6">
        <v>0.15</v>
      </c>
      <c r="Y2295" t="s">
        <v>171</v>
      </c>
      <c r="Z2295" s="5">
        <v>-140</v>
      </c>
      <c r="AD2295">
        <v>0.16666666666666666</v>
      </c>
      <c r="AE2295">
        <v>449</v>
      </c>
      <c r="AF2295">
        <v>1</v>
      </c>
      <c r="AG2295" s="9">
        <v>2.1000000000000001E-2</v>
      </c>
      <c r="AH2295" s="9">
        <v>0.55000000000000004</v>
      </c>
      <c r="AI2295" s="9">
        <v>0.68</v>
      </c>
      <c r="AJ2295" s="9">
        <v>2.1000000000000001E-2</v>
      </c>
      <c r="AK2295" s="9">
        <v>1E-3</v>
      </c>
      <c r="AL2295" s="9">
        <v>11.5</v>
      </c>
      <c r="AM2295" s="9">
        <v>0.5</v>
      </c>
      <c r="AN2295" s="9">
        <v>0.01</v>
      </c>
      <c r="AO2295" s="9">
        <v>1.2E-2</v>
      </c>
      <c r="AP2295"/>
    </row>
    <row r="2296" spans="1:42" x14ac:dyDescent="0.3">
      <c r="A2296" t="s">
        <v>1802</v>
      </c>
      <c r="B2296" t="s">
        <v>1736</v>
      </c>
      <c r="C2296">
        <v>83</v>
      </c>
      <c r="D2296" s="8">
        <v>1.4003000000000001</v>
      </c>
      <c r="E2296">
        <v>600</v>
      </c>
      <c r="G2296" t="s">
        <v>192</v>
      </c>
      <c r="H2296">
        <v>8.35</v>
      </c>
      <c r="I2296" s="4">
        <v>-1.3</v>
      </c>
      <c r="J2296" s="3">
        <v>0.05</v>
      </c>
      <c r="L2296" t="s">
        <v>172</v>
      </c>
      <c r="M2296" t="s">
        <v>171</v>
      </c>
      <c r="N2296" s="3">
        <v>1.3</v>
      </c>
      <c r="O2296" s="3">
        <v>0</v>
      </c>
      <c r="P2296">
        <v>55</v>
      </c>
      <c r="Q2296">
        <v>8.35</v>
      </c>
      <c r="R2296" t="s">
        <v>983</v>
      </c>
      <c r="S2296">
        <v>0.6</v>
      </c>
      <c r="T2296" s="6">
        <f>10^-(14-Q2296)</f>
        <v>2.2387211385683329E-6</v>
      </c>
      <c r="U2296" s="6">
        <v>0.2</v>
      </c>
      <c r="V2296" s="6">
        <v>0.15</v>
      </c>
      <c r="W2296" s="6">
        <v>0</v>
      </c>
      <c r="X2296" s="6">
        <v>0.15</v>
      </c>
      <c r="Y2296" t="s">
        <v>171</v>
      </c>
      <c r="AD2296">
        <v>0.16666666666666666</v>
      </c>
      <c r="AE2296">
        <v>-40</v>
      </c>
      <c r="AF2296">
        <v>1</v>
      </c>
      <c r="AG2296" s="9">
        <v>2.1000000000000001E-2</v>
      </c>
      <c r="AH2296" s="9">
        <v>0.55000000000000004</v>
      </c>
      <c r="AI2296" s="9">
        <v>0.68</v>
      </c>
      <c r="AJ2296" s="9">
        <v>2.1000000000000001E-2</v>
      </c>
      <c r="AK2296" s="9">
        <v>1E-3</v>
      </c>
      <c r="AL2296" s="9">
        <v>11.5</v>
      </c>
      <c r="AM2296" s="9">
        <v>0.5</v>
      </c>
      <c r="AN2296" s="9">
        <v>0.01</v>
      </c>
      <c r="AO2296" s="9">
        <v>1.2E-2</v>
      </c>
      <c r="AP2296"/>
    </row>
    <row r="2297" spans="1:42" x14ac:dyDescent="0.3">
      <c r="A2297" t="s">
        <v>1817</v>
      </c>
      <c r="B2297" t="s">
        <v>1736</v>
      </c>
      <c r="C2297">
        <v>83</v>
      </c>
      <c r="D2297" s="8">
        <v>1.4003000000000001</v>
      </c>
      <c r="E2297">
        <v>600</v>
      </c>
      <c r="G2297" t="s">
        <v>192</v>
      </c>
      <c r="H2297">
        <v>8.35</v>
      </c>
      <c r="I2297" s="4">
        <v>-1.3</v>
      </c>
      <c r="J2297" s="3">
        <v>0.05</v>
      </c>
      <c r="L2297" t="s">
        <v>172</v>
      </c>
      <c r="M2297" t="s">
        <v>171</v>
      </c>
      <c r="N2297" s="3">
        <v>1.3</v>
      </c>
      <c r="O2297" s="3">
        <v>0</v>
      </c>
      <c r="P2297">
        <v>55</v>
      </c>
      <c r="Q2297">
        <v>8.35</v>
      </c>
      <c r="R2297" t="s">
        <v>983</v>
      </c>
      <c r="S2297">
        <v>0.6</v>
      </c>
      <c r="T2297" s="6">
        <f>10^-(14-Q2297)</f>
        <v>2.2387211385683329E-6</v>
      </c>
      <c r="U2297" s="6">
        <v>0.2</v>
      </c>
      <c r="V2297" s="6">
        <v>0.15</v>
      </c>
      <c r="W2297" s="6">
        <v>0</v>
      </c>
      <c r="X2297" s="6">
        <v>0.15</v>
      </c>
      <c r="Y2297" t="s">
        <v>171</v>
      </c>
      <c r="AD2297">
        <v>0.16666666666666666</v>
      </c>
      <c r="AE2297">
        <v>-90</v>
      </c>
      <c r="AF2297">
        <v>1</v>
      </c>
      <c r="AG2297" s="9">
        <v>2.1000000000000001E-2</v>
      </c>
      <c r="AH2297" s="9">
        <v>0.55000000000000004</v>
      </c>
      <c r="AI2297" s="9">
        <v>0.68</v>
      </c>
      <c r="AJ2297" s="9">
        <v>2.1000000000000001E-2</v>
      </c>
      <c r="AK2297" s="9">
        <v>1E-3</v>
      </c>
      <c r="AL2297" s="9">
        <v>11.5</v>
      </c>
      <c r="AM2297" s="9">
        <v>0.5</v>
      </c>
      <c r="AN2297" s="9">
        <v>0.01</v>
      </c>
      <c r="AO2297" s="9">
        <v>1.2E-2</v>
      </c>
      <c r="AP2297"/>
    </row>
    <row r="2298" spans="1:42" x14ac:dyDescent="0.3">
      <c r="A2298" t="s">
        <v>1832</v>
      </c>
      <c r="B2298" t="s">
        <v>1736</v>
      </c>
      <c r="C2298">
        <v>83</v>
      </c>
      <c r="D2298" s="8">
        <v>1.4520999999999999</v>
      </c>
      <c r="F2298">
        <v>0.22</v>
      </c>
      <c r="G2298" t="s">
        <v>192</v>
      </c>
      <c r="H2298">
        <v>6.9</v>
      </c>
      <c r="I2298" s="4">
        <v>-1.3</v>
      </c>
      <c r="J2298" s="3">
        <v>0.05</v>
      </c>
      <c r="L2298" t="s">
        <v>172</v>
      </c>
      <c r="M2298" t="s">
        <v>171</v>
      </c>
      <c r="N2298" s="3">
        <v>1.6</v>
      </c>
      <c r="O2298" s="3">
        <v>0</v>
      </c>
      <c r="P2298">
        <v>35</v>
      </c>
      <c r="Q2298">
        <v>6.9</v>
      </c>
      <c r="R2298" t="s">
        <v>983</v>
      </c>
      <c r="S2298">
        <v>0.6</v>
      </c>
      <c r="T2298" s="6">
        <f>10^-(14-Q2298)</f>
        <v>7.943282347242818E-8</v>
      </c>
      <c r="U2298" s="6">
        <v>0.2</v>
      </c>
      <c r="V2298" s="6">
        <v>0.15</v>
      </c>
      <c r="W2298" s="6">
        <v>0</v>
      </c>
      <c r="X2298" s="6">
        <v>0.15</v>
      </c>
      <c r="Y2298" t="s">
        <v>171</v>
      </c>
      <c r="Z2298" s="5">
        <v>-210</v>
      </c>
      <c r="AD2298">
        <v>0.16666666666666666</v>
      </c>
      <c r="AE2298">
        <v>704</v>
      </c>
      <c r="AF2298">
        <v>2</v>
      </c>
      <c r="AG2298" s="9">
        <v>2.1000000000000001E-2</v>
      </c>
      <c r="AH2298" s="9">
        <v>0.55000000000000004</v>
      </c>
      <c r="AI2298" s="9">
        <v>0.68</v>
      </c>
      <c r="AJ2298" s="9">
        <v>2.1000000000000001E-2</v>
      </c>
      <c r="AK2298" s="9">
        <v>1E-3</v>
      </c>
      <c r="AL2298" s="9">
        <v>11.5</v>
      </c>
      <c r="AM2298" s="9">
        <v>0.5</v>
      </c>
      <c r="AN2298" s="9">
        <v>0.01</v>
      </c>
      <c r="AO2298" s="9">
        <v>1.2E-2</v>
      </c>
      <c r="AP2298"/>
    </row>
    <row r="2299" spans="1:42" x14ac:dyDescent="0.3">
      <c r="A2299" t="s">
        <v>1840</v>
      </c>
      <c r="B2299" t="s">
        <v>1736</v>
      </c>
      <c r="C2299">
        <v>83</v>
      </c>
      <c r="D2299" s="8">
        <v>1.4003000000000001</v>
      </c>
      <c r="F2299">
        <v>2.895</v>
      </c>
      <c r="G2299" t="s">
        <v>192</v>
      </c>
      <c r="H2299">
        <v>6.9</v>
      </c>
      <c r="I2299" s="4">
        <v>-1.3</v>
      </c>
      <c r="J2299" s="3">
        <v>0.05</v>
      </c>
      <c r="L2299" t="s">
        <v>172</v>
      </c>
      <c r="M2299" t="s">
        <v>171</v>
      </c>
      <c r="N2299" s="3">
        <v>1.6</v>
      </c>
      <c r="O2299" s="3">
        <v>0</v>
      </c>
      <c r="P2299">
        <v>55</v>
      </c>
      <c r="Q2299">
        <v>6.9</v>
      </c>
      <c r="R2299" t="s">
        <v>983</v>
      </c>
      <c r="S2299">
        <v>0.6</v>
      </c>
      <c r="T2299" s="6">
        <f>10^-(14-Q2299)</f>
        <v>7.943282347242818E-8</v>
      </c>
      <c r="U2299" s="6">
        <v>0.2</v>
      </c>
      <c r="V2299" s="6">
        <v>0.15</v>
      </c>
      <c r="W2299" s="6">
        <v>0</v>
      </c>
      <c r="X2299" s="6">
        <v>0.15</v>
      </c>
      <c r="Y2299" t="s">
        <v>171</v>
      </c>
      <c r="Z2299" s="5">
        <v>-310</v>
      </c>
      <c r="AD2299">
        <v>0.16666666666666666</v>
      </c>
      <c r="AE2299">
        <v>-313</v>
      </c>
      <c r="AF2299">
        <v>1</v>
      </c>
      <c r="AG2299" s="9">
        <v>2.1000000000000001E-2</v>
      </c>
      <c r="AH2299" s="9">
        <v>0.55000000000000004</v>
      </c>
      <c r="AI2299" s="9">
        <v>0.68</v>
      </c>
      <c r="AJ2299" s="9">
        <v>2.1000000000000001E-2</v>
      </c>
      <c r="AK2299" s="9">
        <v>1E-3</v>
      </c>
      <c r="AL2299" s="9">
        <v>11.5</v>
      </c>
      <c r="AM2299" s="9">
        <v>0.5</v>
      </c>
      <c r="AN2299" s="9">
        <v>0.01</v>
      </c>
      <c r="AO2299" s="9">
        <v>1.2E-2</v>
      </c>
      <c r="AP2299"/>
    </row>
    <row r="2300" spans="1:42" x14ac:dyDescent="0.3">
      <c r="A2300" t="s">
        <v>1851</v>
      </c>
      <c r="B2300" t="s">
        <v>1736</v>
      </c>
      <c r="C2300">
        <v>83</v>
      </c>
      <c r="D2300" s="8">
        <v>1.4003000000000001</v>
      </c>
      <c r="F2300">
        <v>2.895</v>
      </c>
      <c r="G2300" t="s">
        <v>192</v>
      </c>
      <c r="H2300">
        <v>6.9</v>
      </c>
      <c r="I2300" s="4">
        <v>-1.3</v>
      </c>
      <c r="J2300" s="3">
        <v>0.05</v>
      </c>
      <c r="L2300" t="s">
        <v>172</v>
      </c>
      <c r="M2300" t="s">
        <v>171</v>
      </c>
      <c r="N2300" s="3">
        <v>1.6</v>
      </c>
      <c r="O2300" s="3">
        <v>0</v>
      </c>
      <c r="P2300">
        <v>55</v>
      </c>
      <c r="Q2300">
        <v>6.9</v>
      </c>
      <c r="R2300" t="s">
        <v>983</v>
      </c>
      <c r="S2300">
        <v>0.6</v>
      </c>
      <c r="T2300" s="6">
        <f>10^-(14-Q2300)</f>
        <v>7.943282347242818E-8</v>
      </c>
      <c r="U2300" s="6">
        <v>0.2</v>
      </c>
      <c r="V2300" s="6">
        <v>0.15</v>
      </c>
      <c r="W2300" s="6">
        <v>0</v>
      </c>
      <c r="X2300" s="6">
        <v>0.15</v>
      </c>
      <c r="Y2300" t="s">
        <v>171</v>
      </c>
      <c r="Z2300" s="5">
        <v>-310</v>
      </c>
      <c r="AD2300">
        <v>0.16666666666666666</v>
      </c>
      <c r="AE2300">
        <v>-351</v>
      </c>
      <c r="AF2300">
        <v>1</v>
      </c>
      <c r="AG2300" s="9">
        <v>2.1000000000000001E-2</v>
      </c>
      <c r="AH2300" s="9">
        <v>0.55000000000000004</v>
      </c>
      <c r="AI2300" s="9">
        <v>0.68</v>
      </c>
      <c r="AJ2300" s="9">
        <v>2.1000000000000001E-2</v>
      </c>
      <c r="AK2300" s="9">
        <v>1E-3</v>
      </c>
      <c r="AL2300" s="9">
        <v>11.5</v>
      </c>
      <c r="AM2300" s="9">
        <v>0.5</v>
      </c>
      <c r="AN2300" s="9">
        <v>0.01</v>
      </c>
      <c r="AO2300" s="9">
        <v>1.2E-2</v>
      </c>
      <c r="AP2300"/>
    </row>
    <row r="2301" spans="1:42" x14ac:dyDescent="0.3">
      <c r="A2301" t="s">
        <v>1859</v>
      </c>
      <c r="B2301" t="s">
        <v>1736</v>
      </c>
      <c r="C2301">
        <v>83</v>
      </c>
      <c r="D2301" s="8">
        <v>1.4003000000000001</v>
      </c>
      <c r="F2301">
        <v>2.895</v>
      </c>
      <c r="G2301" t="s">
        <v>192</v>
      </c>
      <c r="H2301">
        <v>6.9</v>
      </c>
      <c r="I2301" s="4">
        <v>-1.3</v>
      </c>
      <c r="J2301" s="3">
        <v>0.05</v>
      </c>
      <c r="L2301" t="s">
        <v>172</v>
      </c>
      <c r="M2301" t="s">
        <v>171</v>
      </c>
      <c r="N2301" s="3">
        <v>1.6</v>
      </c>
      <c r="O2301" s="3">
        <v>0</v>
      </c>
      <c r="P2301">
        <v>55</v>
      </c>
      <c r="Q2301">
        <v>6.9</v>
      </c>
      <c r="R2301" t="s">
        <v>983</v>
      </c>
      <c r="S2301">
        <v>0.6</v>
      </c>
      <c r="T2301" s="6">
        <f>10^-(14-Q2301)</f>
        <v>7.943282347242818E-8</v>
      </c>
      <c r="U2301" s="6">
        <v>0.2</v>
      </c>
      <c r="V2301" s="6">
        <v>0.15</v>
      </c>
      <c r="W2301" s="6">
        <v>0</v>
      </c>
      <c r="X2301" s="6">
        <v>0.15</v>
      </c>
      <c r="Y2301" t="s">
        <v>171</v>
      </c>
      <c r="Z2301" s="5">
        <v>-310</v>
      </c>
      <c r="AD2301">
        <v>0.16666666666666666</v>
      </c>
      <c r="AE2301">
        <v>-13</v>
      </c>
      <c r="AF2301">
        <v>1</v>
      </c>
      <c r="AG2301" s="9">
        <v>2.1000000000000001E-2</v>
      </c>
      <c r="AH2301" s="9">
        <v>0.55000000000000004</v>
      </c>
      <c r="AI2301" s="9">
        <v>0.68</v>
      </c>
      <c r="AJ2301" s="9">
        <v>2.1000000000000001E-2</v>
      </c>
      <c r="AK2301" s="9">
        <v>1E-3</v>
      </c>
      <c r="AL2301" s="9">
        <v>11.5</v>
      </c>
      <c r="AM2301" s="9">
        <v>0.5</v>
      </c>
      <c r="AN2301" s="9">
        <v>0.01</v>
      </c>
      <c r="AO2301" s="9">
        <v>1.2E-2</v>
      </c>
      <c r="AP2301"/>
    </row>
    <row r="2302" spans="1:42" x14ac:dyDescent="0.3">
      <c r="A2302" t="s">
        <v>1869</v>
      </c>
      <c r="B2302" t="s">
        <v>1736</v>
      </c>
      <c r="C2302">
        <v>83</v>
      </c>
      <c r="D2302" s="8">
        <v>1.4003000000000001</v>
      </c>
      <c r="F2302">
        <v>2.895</v>
      </c>
      <c r="G2302" t="s">
        <v>192</v>
      </c>
      <c r="H2302">
        <v>8.35</v>
      </c>
      <c r="I2302" s="4">
        <v>-1.3</v>
      </c>
      <c r="J2302" s="3">
        <v>0.05</v>
      </c>
      <c r="L2302" t="s">
        <v>172</v>
      </c>
      <c r="M2302" t="s">
        <v>171</v>
      </c>
      <c r="N2302" s="3">
        <v>1.3</v>
      </c>
      <c r="O2302" s="3">
        <v>0</v>
      </c>
      <c r="P2302">
        <v>55</v>
      </c>
      <c r="Q2302">
        <v>8.35</v>
      </c>
      <c r="R2302" t="s">
        <v>983</v>
      </c>
      <c r="S2302">
        <v>0.6</v>
      </c>
      <c r="T2302" s="6">
        <f>10^-(14-Q2302)</f>
        <v>2.2387211385683329E-6</v>
      </c>
      <c r="U2302" s="6">
        <v>0.2</v>
      </c>
      <c r="V2302" s="6">
        <v>0.15</v>
      </c>
      <c r="W2302" s="6">
        <v>0</v>
      </c>
      <c r="X2302" s="6">
        <v>0.15</v>
      </c>
      <c r="Y2302" t="s">
        <v>171</v>
      </c>
      <c r="Z2302" s="5">
        <v>-140</v>
      </c>
      <c r="AD2302">
        <v>0.16666666666666666</v>
      </c>
      <c r="AE2302">
        <v>489</v>
      </c>
      <c r="AF2302">
        <v>1</v>
      </c>
      <c r="AG2302" s="9">
        <v>2.1000000000000001E-2</v>
      </c>
      <c r="AH2302" s="9">
        <v>0.55000000000000004</v>
      </c>
      <c r="AI2302" s="9">
        <v>0.68</v>
      </c>
      <c r="AJ2302" s="9">
        <v>2.1000000000000001E-2</v>
      </c>
      <c r="AK2302" s="9">
        <v>1E-3</v>
      </c>
      <c r="AL2302" s="9">
        <v>11.5</v>
      </c>
      <c r="AM2302" s="9">
        <v>0.5</v>
      </c>
      <c r="AN2302" s="9">
        <v>0.01</v>
      </c>
      <c r="AO2302" s="9">
        <v>1.2E-2</v>
      </c>
      <c r="AP2302"/>
    </row>
    <row r="2303" spans="1:42" x14ac:dyDescent="0.3">
      <c r="A2303" t="s">
        <v>1884</v>
      </c>
      <c r="B2303" t="s">
        <v>1736</v>
      </c>
      <c r="C2303">
        <v>83</v>
      </c>
      <c r="D2303" s="8">
        <v>1.4003000000000001</v>
      </c>
      <c r="F2303">
        <v>2.895</v>
      </c>
      <c r="G2303" t="s">
        <v>192</v>
      </c>
      <c r="H2303">
        <v>8.35</v>
      </c>
      <c r="I2303" s="4">
        <v>-1.3</v>
      </c>
      <c r="J2303" s="3">
        <v>0.05</v>
      </c>
      <c r="L2303" t="s">
        <v>172</v>
      </c>
      <c r="M2303" t="s">
        <v>171</v>
      </c>
      <c r="N2303" s="3">
        <v>1.3</v>
      </c>
      <c r="O2303" s="3">
        <v>0</v>
      </c>
      <c r="P2303">
        <v>55</v>
      </c>
      <c r="Q2303">
        <v>8.35</v>
      </c>
      <c r="R2303" t="s">
        <v>983</v>
      </c>
      <c r="S2303">
        <v>0.6</v>
      </c>
      <c r="T2303" s="6">
        <f>10^-(14-Q2303)</f>
        <v>2.2387211385683329E-6</v>
      </c>
      <c r="U2303" s="6">
        <v>0.2</v>
      </c>
      <c r="V2303" s="6">
        <v>0.15</v>
      </c>
      <c r="W2303" s="6">
        <v>0</v>
      </c>
      <c r="X2303" s="6">
        <v>0.15</v>
      </c>
      <c r="Y2303" t="s">
        <v>171</v>
      </c>
      <c r="Z2303" s="5">
        <v>-140</v>
      </c>
      <c r="AD2303">
        <v>0.16666666666666666</v>
      </c>
      <c r="AE2303">
        <v>492</v>
      </c>
      <c r="AF2303">
        <v>1</v>
      </c>
      <c r="AG2303" s="9">
        <v>2.1000000000000001E-2</v>
      </c>
      <c r="AH2303" s="9">
        <v>0.55000000000000004</v>
      </c>
      <c r="AI2303" s="9">
        <v>0.68</v>
      </c>
      <c r="AJ2303" s="9">
        <v>2.1000000000000001E-2</v>
      </c>
      <c r="AK2303" s="9">
        <v>1E-3</v>
      </c>
      <c r="AL2303" s="9">
        <v>11.5</v>
      </c>
      <c r="AM2303" s="9">
        <v>0.5</v>
      </c>
      <c r="AN2303" s="9">
        <v>0.01</v>
      </c>
      <c r="AO2303" s="9">
        <v>1.2E-2</v>
      </c>
      <c r="AP2303"/>
    </row>
    <row r="2304" spans="1:42" x14ac:dyDescent="0.3">
      <c r="A2304" t="s">
        <v>1735</v>
      </c>
      <c r="B2304" t="s">
        <v>1736</v>
      </c>
      <c r="C2304">
        <v>83</v>
      </c>
      <c r="D2304" s="8">
        <v>1.4403999999999999</v>
      </c>
      <c r="E2304">
        <v>600</v>
      </c>
      <c r="G2304" t="s">
        <v>192</v>
      </c>
      <c r="H2304">
        <v>8.35</v>
      </c>
      <c r="I2304" s="4">
        <v>-1.3</v>
      </c>
      <c r="J2304" s="3">
        <v>0.05</v>
      </c>
      <c r="L2304" t="s">
        <v>172</v>
      </c>
      <c r="M2304" t="s">
        <v>171</v>
      </c>
      <c r="N2304" s="3">
        <v>1.3</v>
      </c>
      <c r="O2304" s="3">
        <v>0</v>
      </c>
      <c r="P2304">
        <v>35</v>
      </c>
      <c r="Q2304">
        <v>8.35</v>
      </c>
      <c r="R2304" t="s">
        <v>983</v>
      </c>
      <c r="S2304">
        <v>0.6</v>
      </c>
      <c r="T2304" s="6">
        <f>10^-(14-Q2304)</f>
        <v>2.2387211385683329E-6</v>
      </c>
      <c r="U2304" s="6">
        <v>0.2</v>
      </c>
      <c r="V2304" s="6">
        <v>0.15</v>
      </c>
      <c r="W2304" s="6">
        <v>0</v>
      </c>
      <c r="X2304" s="6">
        <v>0.15</v>
      </c>
      <c r="Y2304" t="s">
        <v>171</v>
      </c>
      <c r="AD2304">
        <v>0.16666666666666666</v>
      </c>
      <c r="AE2304">
        <v>660</v>
      </c>
      <c r="AF2304">
        <v>2</v>
      </c>
      <c r="AG2304" s="9">
        <v>1.4999999999999999E-2</v>
      </c>
      <c r="AH2304" s="9">
        <v>1.29</v>
      </c>
      <c r="AI2304" s="9">
        <v>0.44</v>
      </c>
      <c r="AJ2304" s="9">
        <v>3.4000000000000002E-2</v>
      </c>
      <c r="AK2304" s="9">
        <v>2E-3</v>
      </c>
      <c r="AL2304" s="9">
        <v>16.7</v>
      </c>
      <c r="AM2304" s="9">
        <v>10.02</v>
      </c>
      <c r="AN2304" s="9">
        <v>2.02</v>
      </c>
      <c r="AO2304" s="9">
        <v>3.7999999999999999E-2</v>
      </c>
      <c r="AP2304"/>
    </row>
    <row r="2305" spans="1:42" x14ac:dyDescent="0.3">
      <c r="A2305" t="s">
        <v>1737</v>
      </c>
      <c r="B2305" t="s">
        <v>1736</v>
      </c>
      <c r="C2305">
        <v>83</v>
      </c>
      <c r="D2305" s="8">
        <v>1.4403999999999999</v>
      </c>
      <c r="E2305">
        <v>600</v>
      </c>
      <c r="G2305" t="s">
        <v>192</v>
      </c>
      <c r="H2305">
        <v>8.35</v>
      </c>
      <c r="I2305" s="4">
        <v>-1.3</v>
      </c>
      <c r="J2305" s="3">
        <v>0.05</v>
      </c>
      <c r="L2305" t="s">
        <v>172</v>
      </c>
      <c r="M2305" t="s">
        <v>171</v>
      </c>
      <c r="N2305" s="3">
        <v>1.3</v>
      </c>
      <c r="O2305" s="3">
        <v>0</v>
      </c>
      <c r="P2305">
        <v>35</v>
      </c>
      <c r="Q2305">
        <v>8.35</v>
      </c>
      <c r="R2305" t="s">
        <v>983</v>
      </c>
      <c r="S2305">
        <v>0.6</v>
      </c>
      <c r="T2305" s="6">
        <f>10^-(14-Q2305)</f>
        <v>2.2387211385683329E-6</v>
      </c>
      <c r="U2305" s="6">
        <v>0.2</v>
      </c>
      <c r="V2305" s="6">
        <v>0.15</v>
      </c>
      <c r="W2305" s="6">
        <v>0</v>
      </c>
      <c r="X2305" s="6">
        <v>0.15</v>
      </c>
      <c r="Y2305" t="s">
        <v>171</v>
      </c>
      <c r="AD2305">
        <v>0.16666666666666666</v>
      </c>
      <c r="AE2305">
        <v>639</v>
      </c>
      <c r="AF2305">
        <v>2</v>
      </c>
      <c r="AG2305" s="9">
        <v>1.4999999999999999E-2</v>
      </c>
      <c r="AH2305" s="9">
        <v>1.29</v>
      </c>
      <c r="AI2305" s="9">
        <v>0.44</v>
      </c>
      <c r="AJ2305" s="9">
        <v>3.4000000000000002E-2</v>
      </c>
      <c r="AK2305" s="9">
        <v>2E-3</v>
      </c>
      <c r="AL2305" s="9">
        <v>16.7</v>
      </c>
      <c r="AM2305" s="9">
        <v>10.02</v>
      </c>
      <c r="AN2305" s="9">
        <v>2.02</v>
      </c>
      <c r="AO2305" s="9">
        <v>3.7999999999999999E-2</v>
      </c>
      <c r="AP2305"/>
    </row>
    <row r="2306" spans="1:42" x14ac:dyDescent="0.3">
      <c r="A2306" t="s">
        <v>1751</v>
      </c>
      <c r="B2306" t="s">
        <v>1736</v>
      </c>
      <c r="C2306">
        <v>83</v>
      </c>
      <c r="D2306" s="8">
        <v>1.4403999999999999</v>
      </c>
      <c r="E2306">
        <v>600</v>
      </c>
      <c r="G2306" t="s">
        <v>192</v>
      </c>
      <c r="H2306">
        <v>8.35</v>
      </c>
      <c r="I2306" s="4">
        <v>-1.3</v>
      </c>
      <c r="J2306" s="3">
        <v>0.05</v>
      </c>
      <c r="L2306" t="s">
        <v>172</v>
      </c>
      <c r="M2306" t="s">
        <v>171</v>
      </c>
      <c r="N2306" s="3">
        <v>1.3</v>
      </c>
      <c r="O2306" s="3">
        <v>0</v>
      </c>
      <c r="P2306">
        <v>35</v>
      </c>
      <c r="Q2306">
        <v>8.35</v>
      </c>
      <c r="R2306" t="s">
        <v>983</v>
      </c>
      <c r="S2306">
        <v>0.6</v>
      </c>
      <c r="T2306" s="6">
        <f>10^-(14-Q2306)</f>
        <v>2.2387211385683329E-6</v>
      </c>
      <c r="U2306" s="6">
        <v>0.2</v>
      </c>
      <c r="V2306" s="6">
        <v>0.15</v>
      </c>
      <c r="W2306" s="6">
        <v>0</v>
      </c>
      <c r="X2306" s="6">
        <v>0.15</v>
      </c>
      <c r="Y2306" t="s">
        <v>171</v>
      </c>
      <c r="AD2306">
        <v>0.16666666666666666</v>
      </c>
      <c r="AE2306">
        <v>637</v>
      </c>
      <c r="AF2306">
        <v>2</v>
      </c>
      <c r="AG2306" s="9">
        <v>1.4999999999999999E-2</v>
      </c>
      <c r="AH2306" s="9">
        <v>1.29</v>
      </c>
      <c r="AI2306" s="9">
        <v>0.44</v>
      </c>
      <c r="AJ2306" s="9">
        <v>3.4000000000000002E-2</v>
      </c>
      <c r="AK2306" s="9">
        <v>2E-3</v>
      </c>
      <c r="AL2306" s="9">
        <v>16.7</v>
      </c>
      <c r="AM2306" s="9">
        <v>10.02</v>
      </c>
      <c r="AN2306" s="9">
        <v>2.02</v>
      </c>
      <c r="AO2306" s="9">
        <v>3.7999999999999999E-2</v>
      </c>
      <c r="AP2306"/>
    </row>
    <row r="2307" spans="1:42" x14ac:dyDescent="0.3">
      <c r="A2307" t="s">
        <v>1752</v>
      </c>
      <c r="B2307" t="s">
        <v>1736</v>
      </c>
      <c r="C2307">
        <v>83</v>
      </c>
      <c r="D2307" s="8">
        <v>1.4403999999999999</v>
      </c>
      <c r="E2307">
        <v>600</v>
      </c>
      <c r="G2307" t="s">
        <v>192</v>
      </c>
      <c r="H2307">
        <v>8.35</v>
      </c>
      <c r="I2307" s="4">
        <v>-1.3</v>
      </c>
      <c r="J2307" s="3">
        <v>0.05</v>
      </c>
      <c r="L2307" t="s">
        <v>172</v>
      </c>
      <c r="M2307" t="s">
        <v>171</v>
      </c>
      <c r="N2307" s="3">
        <v>1.3</v>
      </c>
      <c r="O2307" s="3">
        <v>0</v>
      </c>
      <c r="P2307">
        <v>35</v>
      </c>
      <c r="Q2307">
        <v>8.35</v>
      </c>
      <c r="R2307" t="s">
        <v>983</v>
      </c>
      <c r="S2307">
        <v>0.6</v>
      </c>
      <c r="T2307" s="6">
        <f>10^-(14-Q2307)</f>
        <v>2.2387211385683329E-6</v>
      </c>
      <c r="U2307" s="6">
        <v>0.2</v>
      </c>
      <c r="V2307" s="6">
        <v>0.15</v>
      </c>
      <c r="W2307" s="6">
        <v>0</v>
      </c>
      <c r="X2307" s="6">
        <v>0.15</v>
      </c>
      <c r="Y2307" t="s">
        <v>171</v>
      </c>
      <c r="AD2307">
        <v>0.16666666666666666</v>
      </c>
      <c r="AE2307">
        <v>634</v>
      </c>
      <c r="AF2307">
        <v>2</v>
      </c>
      <c r="AG2307" s="9">
        <v>1.4999999999999999E-2</v>
      </c>
      <c r="AH2307" s="9">
        <v>1.29</v>
      </c>
      <c r="AI2307" s="9">
        <v>0.44</v>
      </c>
      <c r="AJ2307" s="9">
        <v>3.4000000000000002E-2</v>
      </c>
      <c r="AK2307" s="9">
        <v>2E-3</v>
      </c>
      <c r="AL2307" s="9">
        <v>16.7</v>
      </c>
      <c r="AM2307" s="9">
        <v>10.02</v>
      </c>
      <c r="AN2307" s="9">
        <v>2.02</v>
      </c>
      <c r="AO2307" s="9">
        <v>3.7999999999999999E-2</v>
      </c>
      <c r="AP2307"/>
    </row>
    <row r="2308" spans="1:42" x14ac:dyDescent="0.3">
      <c r="A2308" t="s">
        <v>1766</v>
      </c>
      <c r="B2308" t="s">
        <v>1736</v>
      </c>
      <c r="C2308">
        <v>83</v>
      </c>
      <c r="D2308" s="8">
        <v>1.4403999999999999</v>
      </c>
      <c r="F2308">
        <v>0.14000000000000001</v>
      </c>
      <c r="G2308" t="s">
        <v>192</v>
      </c>
      <c r="H2308">
        <v>8.35</v>
      </c>
      <c r="I2308" s="4">
        <v>-1.3</v>
      </c>
      <c r="J2308" s="3">
        <v>0.05</v>
      </c>
      <c r="L2308" t="s">
        <v>172</v>
      </c>
      <c r="M2308" t="s">
        <v>171</v>
      </c>
      <c r="N2308" s="3">
        <v>1.3</v>
      </c>
      <c r="O2308" s="3">
        <v>0</v>
      </c>
      <c r="P2308">
        <v>35</v>
      </c>
      <c r="Q2308">
        <v>8.35</v>
      </c>
      <c r="R2308" t="s">
        <v>983</v>
      </c>
      <c r="S2308">
        <v>0.6</v>
      </c>
      <c r="T2308" s="6">
        <f>10^-(14-Q2308)</f>
        <v>2.2387211385683329E-6</v>
      </c>
      <c r="U2308" s="6">
        <v>0.2</v>
      </c>
      <c r="V2308" s="6">
        <v>0.15</v>
      </c>
      <c r="W2308" s="6">
        <v>0</v>
      </c>
      <c r="X2308" s="6">
        <v>0.15</v>
      </c>
      <c r="Y2308" t="s">
        <v>171</v>
      </c>
      <c r="Z2308" s="5">
        <v>-100</v>
      </c>
      <c r="AD2308">
        <v>0.16666666666666666</v>
      </c>
      <c r="AE2308">
        <v>647</v>
      </c>
      <c r="AF2308">
        <v>2</v>
      </c>
      <c r="AG2308" s="9">
        <v>1.4999999999999999E-2</v>
      </c>
      <c r="AH2308" s="9">
        <v>1.29</v>
      </c>
      <c r="AI2308" s="9">
        <v>0.44</v>
      </c>
      <c r="AJ2308" s="9">
        <v>3.4000000000000002E-2</v>
      </c>
      <c r="AK2308" s="9">
        <v>2E-3</v>
      </c>
      <c r="AL2308" s="9">
        <v>16.7</v>
      </c>
      <c r="AM2308" s="9">
        <v>10.02</v>
      </c>
      <c r="AN2308" s="9">
        <v>2.02</v>
      </c>
      <c r="AO2308" s="9">
        <v>3.7999999999999999E-2</v>
      </c>
      <c r="AP2308"/>
    </row>
    <row r="2309" spans="1:42" x14ac:dyDescent="0.3">
      <c r="A2309" t="s">
        <v>1767</v>
      </c>
      <c r="B2309" t="s">
        <v>1736</v>
      </c>
      <c r="C2309">
        <v>83</v>
      </c>
      <c r="D2309" s="8">
        <v>1.4403999999999999</v>
      </c>
      <c r="F2309">
        <v>0.14000000000000001</v>
      </c>
      <c r="G2309" t="s">
        <v>192</v>
      </c>
      <c r="H2309">
        <v>8.35</v>
      </c>
      <c r="I2309" s="4">
        <v>-1.3</v>
      </c>
      <c r="J2309" s="3">
        <v>0.05</v>
      </c>
      <c r="L2309" t="s">
        <v>172</v>
      </c>
      <c r="M2309" t="s">
        <v>171</v>
      </c>
      <c r="N2309" s="3">
        <v>1.3</v>
      </c>
      <c r="O2309" s="3">
        <v>0</v>
      </c>
      <c r="P2309">
        <v>35</v>
      </c>
      <c r="Q2309">
        <v>8.35</v>
      </c>
      <c r="R2309" t="s">
        <v>983</v>
      </c>
      <c r="S2309">
        <v>0.6</v>
      </c>
      <c r="T2309" s="6">
        <f>10^-(14-Q2309)</f>
        <v>2.2387211385683329E-6</v>
      </c>
      <c r="U2309" s="6">
        <v>0.2</v>
      </c>
      <c r="V2309" s="6">
        <v>0.15</v>
      </c>
      <c r="W2309" s="6">
        <v>0</v>
      </c>
      <c r="X2309" s="6">
        <v>0.15</v>
      </c>
      <c r="Y2309" t="s">
        <v>171</v>
      </c>
      <c r="Z2309" s="5">
        <v>-100</v>
      </c>
      <c r="AD2309">
        <v>0.16666666666666666</v>
      </c>
      <c r="AE2309">
        <v>672</v>
      </c>
      <c r="AF2309">
        <v>2</v>
      </c>
      <c r="AG2309" s="9">
        <v>1.4999999999999999E-2</v>
      </c>
      <c r="AH2309" s="9">
        <v>1.29</v>
      </c>
      <c r="AI2309" s="9">
        <v>0.44</v>
      </c>
      <c r="AJ2309" s="9">
        <v>3.4000000000000002E-2</v>
      </c>
      <c r="AK2309" s="9">
        <v>2E-3</v>
      </c>
      <c r="AL2309" s="9">
        <v>16.7</v>
      </c>
      <c r="AM2309" s="9">
        <v>10.02</v>
      </c>
      <c r="AN2309" s="9">
        <v>2.02</v>
      </c>
      <c r="AO2309" s="9">
        <v>3.7999999999999999E-2</v>
      </c>
      <c r="AP2309"/>
    </row>
    <row r="2310" spans="1:42" x14ac:dyDescent="0.3">
      <c r="A2310" t="s">
        <v>1781</v>
      </c>
      <c r="B2310" t="s">
        <v>1736</v>
      </c>
      <c r="C2310">
        <v>83</v>
      </c>
      <c r="D2310" s="8">
        <v>1.4403999999999999</v>
      </c>
      <c r="F2310">
        <v>0.14000000000000001</v>
      </c>
      <c r="G2310" t="s">
        <v>192</v>
      </c>
      <c r="H2310">
        <v>8.35</v>
      </c>
      <c r="I2310" s="4">
        <v>-1.3</v>
      </c>
      <c r="J2310" s="3">
        <v>0.05</v>
      </c>
      <c r="L2310" t="s">
        <v>172</v>
      </c>
      <c r="M2310" t="s">
        <v>171</v>
      </c>
      <c r="N2310" s="3">
        <v>1.3</v>
      </c>
      <c r="O2310" s="3">
        <v>0</v>
      </c>
      <c r="P2310">
        <v>35</v>
      </c>
      <c r="Q2310">
        <v>8.35</v>
      </c>
      <c r="R2310" t="s">
        <v>983</v>
      </c>
      <c r="S2310">
        <v>0.6</v>
      </c>
      <c r="T2310" s="6">
        <f>10^-(14-Q2310)</f>
        <v>2.2387211385683329E-6</v>
      </c>
      <c r="U2310" s="6">
        <v>0.2</v>
      </c>
      <c r="V2310" s="6">
        <v>0.15</v>
      </c>
      <c r="W2310" s="6">
        <v>0</v>
      </c>
      <c r="X2310" s="6">
        <v>0.15</v>
      </c>
      <c r="Y2310" t="s">
        <v>171</v>
      </c>
      <c r="Z2310" s="5">
        <v>-100</v>
      </c>
      <c r="AD2310">
        <v>0.16666666666666666</v>
      </c>
      <c r="AE2310">
        <v>652</v>
      </c>
      <c r="AF2310">
        <v>2</v>
      </c>
      <c r="AG2310" s="9">
        <v>1.4999999999999999E-2</v>
      </c>
      <c r="AH2310" s="9">
        <v>1.29</v>
      </c>
      <c r="AI2310" s="9">
        <v>0.44</v>
      </c>
      <c r="AJ2310" s="9">
        <v>3.4000000000000002E-2</v>
      </c>
      <c r="AK2310" s="9">
        <v>2E-3</v>
      </c>
      <c r="AL2310" s="9">
        <v>16.7</v>
      </c>
      <c r="AM2310" s="9">
        <v>10.02</v>
      </c>
      <c r="AN2310" s="9">
        <v>2.02</v>
      </c>
      <c r="AO2310" s="9">
        <v>3.7999999999999999E-2</v>
      </c>
      <c r="AP2310"/>
    </row>
    <row r="2311" spans="1:42" x14ac:dyDescent="0.3">
      <c r="A2311" t="s">
        <v>1782</v>
      </c>
      <c r="B2311" t="s">
        <v>1736</v>
      </c>
      <c r="C2311">
        <v>83</v>
      </c>
      <c r="D2311" s="8">
        <v>1.4403999999999999</v>
      </c>
      <c r="F2311">
        <v>0.14000000000000001</v>
      </c>
      <c r="G2311" t="s">
        <v>192</v>
      </c>
      <c r="H2311">
        <v>8.35</v>
      </c>
      <c r="I2311" s="4">
        <v>-1.3</v>
      </c>
      <c r="J2311" s="3">
        <v>0.05</v>
      </c>
      <c r="L2311" t="s">
        <v>172</v>
      </c>
      <c r="M2311" t="s">
        <v>171</v>
      </c>
      <c r="N2311" s="3">
        <v>1.3</v>
      </c>
      <c r="O2311" s="3">
        <v>0</v>
      </c>
      <c r="P2311">
        <v>35</v>
      </c>
      <c r="Q2311">
        <v>8.35</v>
      </c>
      <c r="R2311" t="s">
        <v>983</v>
      </c>
      <c r="S2311">
        <v>0.6</v>
      </c>
      <c r="T2311" s="6">
        <f>10^-(14-Q2311)</f>
        <v>2.2387211385683329E-6</v>
      </c>
      <c r="U2311" s="6">
        <v>0.2</v>
      </c>
      <c r="V2311" s="6">
        <v>0.15</v>
      </c>
      <c r="W2311" s="6">
        <v>0</v>
      </c>
      <c r="X2311" s="6">
        <v>0.15</v>
      </c>
      <c r="Y2311" t="s">
        <v>171</v>
      </c>
      <c r="Z2311" s="5">
        <v>-100</v>
      </c>
      <c r="AD2311">
        <v>0.16666666666666666</v>
      </c>
      <c r="AE2311">
        <v>668</v>
      </c>
      <c r="AF2311">
        <v>2</v>
      </c>
      <c r="AG2311" s="9">
        <v>1.4999999999999999E-2</v>
      </c>
      <c r="AH2311" s="9">
        <v>1.29</v>
      </c>
      <c r="AI2311" s="9">
        <v>0.44</v>
      </c>
      <c r="AJ2311" s="9">
        <v>3.4000000000000002E-2</v>
      </c>
      <c r="AK2311" s="9">
        <v>2E-3</v>
      </c>
      <c r="AL2311" s="9">
        <v>16.7</v>
      </c>
      <c r="AM2311" s="9">
        <v>10.02</v>
      </c>
      <c r="AN2311" s="9">
        <v>2.02</v>
      </c>
      <c r="AO2311" s="9">
        <v>3.7999999999999999E-2</v>
      </c>
      <c r="AP2311"/>
    </row>
    <row r="2312" spans="1:42" x14ac:dyDescent="0.3">
      <c r="A2312" t="s">
        <v>1796</v>
      </c>
      <c r="B2312" t="s">
        <v>1736</v>
      </c>
      <c r="C2312">
        <v>83</v>
      </c>
      <c r="D2312" s="8">
        <v>1.4403999999999999</v>
      </c>
      <c r="E2312">
        <v>600</v>
      </c>
      <c r="G2312" t="s">
        <v>192</v>
      </c>
      <c r="H2312">
        <v>8.35</v>
      </c>
      <c r="I2312" s="4">
        <v>-1.3</v>
      </c>
      <c r="J2312" s="3">
        <v>0.05</v>
      </c>
      <c r="L2312" t="s">
        <v>172</v>
      </c>
      <c r="M2312" t="s">
        <v>171</v>
      </c>
      <c r="N2312" s="3">
        <v>1.3</v>
      </c>
      <c r="O2312" s="3">
        <v>0</v>
      </c>
      <c r="P2312">
        <v>55</v>
      </c>
      <c r="Q2312">
        <v>8.35</v>
      </c>
      <c r="R2312" t="s">
        <v>983</v>
      </c>
      <c r="S2312">
        <v>0.6</v>
      </c>
      <c r="T2312" s="6">
        <f>10^-(14-Q2312)</f>
        <v>2.2387211385683329E-6</v>
      </c>
      <c r="U2312" s="6">
        <v>0.2</v>
      </c>
      <c r="V2312" s="6">
        <v>0.15</v>
      </c>
      <c r="W2312" s="6">
        <v>0</v>
      </c>
      <c r="X2312" s="6">
        <v>0.15</v>
      </c>
      <c r="Y2312" t="s">
        <v>171</v>
      </c>
      <c r="AD2312">
        <v>0.16666666666666666</v>
      </c>
      <c r="AE2312">
        <v>591</v>
      </c>
      <c r="AF2312">
        <v>1</v>
      </c>
      <c r="AG2312" s="9">
        <v>1.4999999999999999E-2</v>
      </c>
      <c r="AH2312" s="9">
        <v>1.29</v>
      </c>
      <c r="AI2312" s="9">
        <v>0.44</v>
      </c>
      <c r="AJ2312" s="9">
        <v>3.4000000000000002E-2</v>
      </c>
      <c r="AK2312" s="9">
        <v>2E-3</v>
      </c>
      <c r="AL2312" s="9">
        <v>16.7</v>
      </c>
      <c r="AM2312" s="9">
        <v>10.02</v>
      </c>
      <c r="AN2312" s="9">
        <v>2.02</v>
      </c>
      <c r="AO2312" s="9">
        <v>3.7999999999999999E-2</v>
      </c>
      <c r="AP2312"/>
    </row>
    <row r="2313" spans="1:42" x14ac:dyDescent="0.3">
      <c r="A2313" t="s">
        <v>1797</v>
      </c>
      <c r="B2313" t="s">
        <v>1736</v>
      </c>
      <c r="C2313">
        <v>83</v>
      </c>
      <c r="D2313" s="8">
        <v>1.4403999999999999</v>
      </c>
      <c r="E2313">
        <v>600</v>
      </c>
      <c r="G2313" t="s">
        <v>192</v>
      </c>
      <c r="H2313">
        <v>8.35</v>
      </c>
      <c r="I2313" s="4">
        <v>-1.3</v>
      </c>
      <c r="J2313" s="3">
        <v>0.05</v>
      </c>
      <c r="L2313" t="s">
        <v>172</v>
      </c>
      <c r="M2313" t="s">
        <v>171</v>
      </c>
      <c r="N2313" s="3">
        <v>1.3</v>
      </c>
      <c r="O2313" s="3">
        <v>0</v>
      </c>
      <c r="P2313">
        <v>55</v>
      </c>
      <c r="Q2313">
        <v>8.35</v>
      </c>
      <c r="R2313" t="s">
        <v>983</v>
      </c>
      <c r="S2313">
        <v>0.6</v>
      </c>
      <c r="T2313" s="6">
        <f>10^-(14-Q2313)</f>
        <v>2.2387211385683329E-6</v>
      </c>
      <c r="U2313" s="6">
        <v>0.2</v>
      </c>
      <c r="V2313" s="6">
        <v>0.15</v>
      </c>
      <c r="W2313" s="6">
        <v>0</v>
      </c>
      <c r="X2313" s="6">
        <v>0.15</v>
      </c>
      <c r="Y2313" t="s">
        <v>171</v>
      </c>
      <c r="AD2313">
        <v>0.16666666666666666</v>
      </c>
      <c r="AE2313">
        <v>524</v>
      </c>
      <c r="AF2313">
        <v>1</v>
      </c>
      <c r="AG2313" s="9">
        <v>1.4999999999999999E-2</v>
      </c>
      <c r="AH2313" s="9">
        <v>1.29</v>
      </c>
      <c r="AI2313" s="9">
        <v>0.44</v>
      </c>
      <c r="AJ2313" s="9">
        <v>3.4000000000000002E-2</v>
      </c>
      <c r="AK2313" s="9">
        <v>2E-3</v>
      </c>
      <c r="AL2313" s="9">
        <v>16.7</v>
      </c>
      <c r="AM2313" s="9">
        <v>10.02</v>
      </c>
      <c r="AN2313" s="9">
        <v>2.02</v>
      </c>
      <c r="AO2313" s="9">
        <v>3.7999999999999999E-2</v>
      </c>
      <c r="AP2313"/>
    </row>
    <row r="2314" spans="1:42" x14ac:dyDescent="0.3">
      <c r="A2314" t="s">
        <v>1811</v>
      </c>
      <c r="B2314" t="s">
        <v>1736</v>
      </c>
      <c r="C2314">
        <v>83</v>
      </c>
      <c r="D2314" s="8">
        <v>1.4403999999999999</v>
      </c>
      <c r="E2314">
        <v>600</v>
      </c>
      <c r="G2314" t="s">
        <v>192</v>
      </c>
      <c r="H2314">
        <v>8.35</v>
      </c>
      <c r="I2314" s="4">
        <v>-1.3</v>
      </c>
      <c r="J2314" s="3">
        <v>0.05</v>
      </c>
      <c r="L2314" t="s">
        <v>172</v>
      </c>
      <c r="M2314" t="s">
        <v>171</v>
      </c>
      <c r="N2314" s="3">
        <v>1.3</v>
      </c>
      <c r="O2314" s="3">
        <v>0</v>
      </c>
      <c r="P2314">
        <v>55</v>
      </c>
      <c r="Q2314">
        <v>8.35</v>
      </c>
      <c r="R2314" t="s">
        <v>983</v>
      </c>
      <c r="S2314">
        <v>0.6</v>
      </c>
      <c r="T2314" s="6">
        <f>10^-(14-Q2314)</f>
        <v>2.2387211385683329E-6</v>
      </c>
      <c r="U2314" s="6">
        <v>0.2</v>
      </c>
      <c r="V2314" s="6">
        <v>0.15</v>
      </c>
      <c r="W2314" s="6">
        <v>0</v>
      </c>
      <c r="X2314" s="6">
        <v>0.15</v>
      </c>
      <c r="Y2314" t="s">
        <v>171</v>
      </c>
      <c r="AD2314">
        <v>0.16666666666666666</v>
      </c>
      <c r="AE2314">
        <v>615</v>
      </c>
      <c r="AF2314">
        <v>2</v>
      </c>
      <c r="AG2314" s="9">
        <v>1.4999999999999999E-2</v>
      </c>
      <c r="AH2314" s="9">
        <v>1.29</v>
      </c>
      <c r="AI2314" s="9">
        <v>0.44</v>
      </c>
      <c r="AJ2314" s="9">
        <v>3.4000000000000002E-2</v>
      </c>
      <c r="AK2314" s="9">
        <v>2E-3</v>
      </c>
      <c r="AL2314" s="9">
        <v>16.7</v>
      </c>
      <c r="AM2314" s="9">
        <v>10.02</v>
      </c>
      <c r="AN2314" s="9">
        <v>2.02</v>
      </c>
      <c r="AO2314" s="9">
        <v>3.7999999999999999E-2</v>
      </c>
      <c r="AP2314"/>
    </row>
    <row r="2315" spans="1:42" x14ac:dyDescent="0.3">
      <c r="A2315" t="s">
        <v>1812</v>
      </c>
      <c r="B2315" t="s">
        <v>1736</v>
      </c>
      <c r="C2315">
        <v>83</v>
      </c>
      <c r="D2315" s="8">
        <v>1.4403999999999999</v>
      </c>
      <c r="E2315">
        <v>600</v>
      </c>
      <c r="G2315" t="s">
        <v>192</v>
      </c>
      <c r="H2315">
        <v>8.35</v>
      </c>
      <c r="I2315" s="4">
        <v>-1.3</v>
      </c>
      <c r="J2315" s="3">
        <v>0.05</v>
      </c>
      <c r="L2315" t="s">
        <v>172</v>
      </c>
      <c r="M2315" t="s">
        <v>171</v>
      </c>
      <c r="N2315" s="3">
        <v>1.3</v>
      </c>
      <c r="O2315" s="3">
        <v>0</v>
      </c>
      <c r="P2315">
        <v>55</v>
      </c>
      <c r="Q2315">
        <v>8.35</v>
      </c>
      <c r="R2315" t="s">
        <v>983</v>
      </c>
      <c r="S2315">
        <v>0.6</v>
      </c>
      <c r="T2315" s="6">
        <f>10^-(14-Q2315)</f>
        <v>2.2387211385683329E-6</v>
      </c>
      <c r="U2315" s="6">
        <v>0.2</v>
      </c>
      <c r="V2315" s="6">
        <v>0.15</v>
      </c>
      <c r="W2315" s="6">
        <v>0</v>
      </c>
      <c r="X2315" s="6">
        <v>0.15</v>
      </c>
      <c r="Y2315" t="s">
        <v>171</v>
      </c>
      <c r="AD2315">
        <v>0.16666666666666666</v>
      </c>
      <c r="AE2315">
        <v>557</v>
      </c>
      <c r="AF2315">
        <v>1</v>
      </c>
      <c r="AG2315" s="9">
        <v>1.4999999999999999E-2</v>
      </c>
      <c r="AH2315" s="9">
        <v>1.29</v>
      </c>
      <c r="AI2315" s="9">
        <v>0.44</v>
      </c>
      <c r="AJ2315" s="9">
        <v>3.4000000000000002E-2</v>
      </c>
      <c r="AK2315" s="9">
        <v>2E-3</v>
      </c>
      <c r="AL2315" s="9">
        <v>16.7</v>
      </c>
      <c r="AM2315" s="9">
        <v>10.02</v>
      </c>
      <c r="AN2315" s="9">
        <v>2.02</v>
      </c>
      <c r="AO2315" s="9">
        <v>3.7999999999999999E-2</v>
      </c>
      <c r="AP2315"/>
    </row>
    <row r="2316" spans="1:42" x14ac:dyDescent="0.3">
      <c r="A2316" t="s">
        <v>1826</v>
      </c>
      <c r="B2316" t="s">
        <v>1736</v>
      </c>
      <c r="C2316">
        <v>83</v>
      </c>
      <c r="D2316" s="8">
        <v>1.4403999999999999</v>
      </c>
      <c r="F2316">
        <v>0.14000000000000001</v>
      </c>
      <c r="G2316" t="s">
        <v>192</v>
      </c>
      <c r="H2316">
        <v>6.9</v>
      </c>
      <c r="I2316" s="4">
        <v>-1.3</v>
      </c>
      <c r="J2316" s="3">
        <v>0.05</v>
      </c>
      <c r="L2316" t="s">
        <v>172</v>
      </c>
      <c r="M2316" t="s">
        <v>171</v>
      </c>
      <c r="N2316" s="3">
        <v>1.6</v>
      </c>
      <c r="O2316" s="3">
        <v>0</v>
      </c>
      <c r="P2316">
        <v>35</v>
      </c>
      <c r="Q2316">
        <v>6.9</v>
      </c>
      <c r="R2316" t="s">
        <v>983</v>
      </c>
      <c r="S2316">
        <v>0.6</v>
      </c>
      <c r="T2316" s="6">
        <f>10^-(14-Q2316)</f>
        <v>7.943282347242818E-8</v>
      </c>
      <c r="U2316" s="6">
        <v>0.2</v>
      </c>
      <c r="V2316" s="6">
        <v>0.15</v>
      </c>
      <c r="W2316" s="6">
        <v>0</v>
      </c>
      <c r="X2316" s="6">
        <v>0.15</v>
      </c>
      <c r="Y2316" t="s">
        <v>171</v>
      </c>
      <c r="Z2316" s="5">
        <v>-175</v>
      </c>
      <c r="AD2316">
        <v>0.16666666666666666</v>
      </c>
      <c r="AE2316">
        <v>476</v>
      </c>
      <c r="AF2316">
        <v>1</v>
      </c>
      <c r="AG2316" s="9">
        <v>1.4999999999999999E-2</v>
      </c>
      <c r="AH2316" s="9">
        <v>1.29</v>
      </c>
      <c r="AI2316" s="9">
        <v>0.44</v>
      </c>
      <c r="AJ2316" s="9">
        <v>3.4000000000000002E-2</v>
      </c>
      <c r="AK2316" s="9">
        <v>2E-3</v>
      </c>
      <c r="AL2316" s="9">
        <v>16.7</v>
      </c>
      <c r="AM2316" s="9">
        <v>10.02</v>
      </c>
      <c r="AN2316" s="9">
        <v>2.02</v>
      </c>
      <c r="AO2316" s="9">
        <v>3.7999999999999999E-2</v>
      </c>
      <c r="AP2316"/>
    </row>
    <row r="2317" spans="1:42" x14ac:dyDescent="0.3">
      <c r="A2317" t="s">
        <v>1827</v>
      </c>
      <c r="B2317" t="s">
        <v>1736</v>
      </c>
      <c r="C2317">
        <v>83</v>
      </c>
      <c r="D2317" s="8">
        <v>1.4461999999999999</v>
      </c>
      <c r="F2317">
        <v>0.48499999999999999</v>
      </c>
      <c r="G2317" t="s">
        <v>192</v>
      </c>
      <c r="H2317">
        <v>6.9</v>
      </c>
      <c r="I2317" s="4">
        <v>-1.3</v>
      </c>
      <c r="J2317" s="3">
        <v>0.05</v>
      </c>
      <c r="L2317" t="s">
        <v>172</v>
      </c>
      <c r="M2317" t="s">
        <v>171</v>
      </c>
      <c r="N2317" s="3">
        <v>1.6</v>
      </c>
      <c r="O2317" s="3">
        <v>0</v>
      </c>
      <c r="P2317">
        <v>35</v>
      </c>
      <c r="Q2317">
        <v>6.9</v>
      </c>
      <c r="R2317" t="s">
        <v>983</v>
      </c>
      <c r="S2317">
        <v>0.6</v>
      </c>
      <c r="T2317" s="6">
        <f>10^-(14-Q2317)</f>
        <v>7.943282347242818E-8</v>
      </c>
      <c r="U2317" s="6">
        <v>0.2</v>
      </c>
      <c r="V2317" s="6">
        <v>0.15</v>
      </c>
      <c r="W2317" s="6">
        <v>0</v>
      </c>
      <c r="X2317" s="6">
        <v>0.15</v>
      </c>
      <c r="Y2317" t="s">
        <v>171</v>
      </c>
      <c r="Z2317" s="5">
        <v>-160</v>
      </c>
      <c r="AD2317">
        <v>0.16666666666666666</v>
      </c>
      <c r="AE2317">
        <v>690</v>
      </c>
      <c r="AF2317">
        <v>2</v>
      </c>
      <c r="AG2317" s="9">
        <v>1.4999999999999999E-2</v>
      </c>
      <c r="AH2317" s="9">
        <v>1.29</v>
      </c>
      <c r="AI2317" s="9">
        <v>0.44</v>
      </c>
      <c r="AJ2317" s="9">
        <v>3.4000000000000002E-2</v>
      </c>
      <c r="AK2317" s="9">
        <v>2E-3</v>
      </c>
      <c r="AL2317" s="9">
        <v>16.7</v>
      </c>
      <c r="AM2317" s="9">
        <v>10.02</v>
      </c>
      <c r="AN2317" s="9">
        <v>2.02</v>
      </c>
      <c r="AO2317" s="9">
        <v>3.7999999999999999E-2</v>
      </c>
      <c r="AP2317"/>
    </row>
    <row r="2318" spans="1:42" x14ac:dyDescent="0.3">
      <c r="A2318" t="s">
        <v>1837</v>
      </c>
      <c r="B2318" t="s">
        <v>1736</v>
      </c>
      <c r="C2318">
        <v>83</v>
      </c>
      <c r="D2318" s="8">
        <v>1.4403999999999999</v>
      </c>
      <c r="F2318">
        <v>0.14000000000000001</v>
      </c>
      <c r="G2318" t="s">
        <v>192</v>
      </c>
      <c r="H2318">
        <v>6.9</v>
      </c>
      <c r="I2318" s="4">
        <v>-1.3</v>
      </c>
      <c r="J2318" s="3">
        <v>0.05</v>
      </c>
      <c r="L2318" t="s">
        <v>172</v>
      </c>
      <c r="M2318" t="s">
        <v>171</v>
      </c>
      <c r="N2318" s="3">
        <v>1.6</v>
      </c>
      <c r="O2318" s="3">
        <v>0</v>
      </c>
      <c r="P2318">
        <v>55</v>
      </c>
      <c r="Q2318">
        <v>6.9</v>
      </c>
      <c r="R2318" t="s">
        <v>983</v>
      </c>
      <c r="S2318">
        <v>0.6</v>
      </c>
      <c r="T2318" s="6">
        <f>10^-(14-Q2318)</f>
        <v>7.943282347242818E-8</v>
      </c>
      <c r="U2318" s="6">
        <v>0.2</v>
      </c>
      <c r="V2318" s="6">
        <v>0.15</v>
      </c>
      <c r="W2318" s="6">
        <v>0</v>
      </c>
      <c r="X2318" s="6">
        <v>0.15</v>
      </c>
      <c r="Y2318" t="s">
        <v>171</v>
      </c>
      <c r="Z2318" s="5">
        <v>-110</v>
      </c>
      <c r="AD2318">
        <v>0.16666666666666666</v>
      </c>
      <c r="AE2318">
        <v>433</v>
      </c>
      <c r="AF2318">
        <v>1</v>
      </c>
      <c r="AG2318" s="9">
        <v>1.4999999999999999E-2</v>
      </c>
      <c r="AH2318" s="9">
        <v>1.29</v>
      </c>
      <c r="AI2318" s="9">
        <v>0.44</v>
      </c>
      <c r="AJ2318" s="9">
        <v>3.4000000000000002E-2</v>
      </c>
      <c r="AK2318" s="9">
        <v>2E-3</v>
      </c>
      <c r="AL2318" s="9">
        <v>16.7</v>
      </c>
      <c r="AM2318" s="9">
        <v>10.02</v>
      </c>
      <c r="AN2318" s="9">
        <v>2.02</v>
      </c>
      <c r="AO2318" s="9">
        <v>3.7999999999999999E-2</v>
      </c>
      <c r="AP2318"/>
    </row>
    <row r="2319" spans="1:42" x14ac:dyDescent="0.3">
      <c r="A2319" t="s">
        <v>1848</v>
      </c>
      <c r="B2319" t="s">
        <v>1736</v>
      </c>
      <c r="C2319">
        <v>83</v>
      </c>
      <c r="D2319" s="8">
        <v>1.4403999999999999</v>
      </c>
      <c r="F2319">
        <v>0.14000000000000001</v>
      </c>
      <c r="G2319" t="s">
        <v>192</v>
      </c>
      <c r="H2319">
        <v>6.9</v>
      </c>
      <c r="I2319" s="4">
        <v>-1.3</v>
      </c>
      <c r="J2319" s="3">
        <v>0.05</v>
      </c>
      <c r="L2319" t="s">
        <v>172</v>
      </c>
      <c r="M2319" t="s">
        <v>171</v>
      </c>
      <c r="N2319" s="3">
        <v>1.6</v>
      </c>
      <c r="O2319" s="3">
        <v>0</v>
      </c>
      <c r="P2319">
        <v>55</v>
      </c>
      <c r="Q2319">
        <v>6.9</v>
      </c>
      <c r="R2319" t="s">
        <v>983</v>
      </c>
      <c r="S2319">
        <v>0.6</v>
      </c>
      <c r="T2319" s="6">
        <f>10^-(14-Q2319)</f>
        <v>7.943282347242818E-8</v>
      </c>
      <c r="U2319" s="6">
        <v>0.2</v>
      </c>
      <c r="V2319" s="6">
        <v>0.15</v>
      </c>
      <c r="W2319" s="6">
        <v>0</v>
      </c>
      <c r="X2319" s="6">
        <v>0.15</v>
      </c>
      <c r="Y2319" t="s">
        <v>171</v>
      </c>
      <c r="Z2319" s="5">
        <v>-110</v>
      </c>
      <c r="AD2319">
        <v>0.16666666666666666</v>
      </c>
      <c r="AE2319">
        <v>393</v>
      </c>
      <c r="AF2319">
        <v>1</v>
      </c>
      <c r="AG2319" s="9">
        <v>1.4999999999999999E-2</v>
      </c>
      <c r="AH2319" s="9">
        <v>1.29</v>
      </c>
      <c r="AI2319" s="9">
        <v>0.44</v>
      </c>
      <c r="AJ2319" s="9">
        <v>3.4000000000000002E-2</v>
      </c>
      <c r="AK2319" s="9">
        <v>2E-3</v>
      </c>
      <c r="AL2319" s="9">
        <v>16.7</v>
      </c>
      <c r="AM2319" s="9">
        <v>10.02</v>
      </c>
      <c r="AN2319" s="9">
        <v>2.02</v>
      </c>
      <c r="AO2319" s="9">
        <v>3.7999999999999999E-2</v>
      </c>
      <c r="AP2319"/>
    </row>
    <row r="2320" spans="1:42" x14ac:dyDescent="0.3">
      <c r="A2320" t="s">
        <v>1863</v>
      </c>
      <c r="B2320" t="s">
        <v>1736</v>
      </c>
      <c r="C2320">
        <v>83</v>
      </c>
      <c r="D2320" s="8">
        <v>1.4403999999999999</v>
      </c>
      <c r="F2320">
        <v>0.14000000000000001</v>
      </c>
      <c r="G2320" t="s">
        <v>192</v>
      </c>
      <c r="H2320">
        <v>8.35</v>
      </c>
      <c r="I2320" s="4">
        <v>-1.3</v>
      </c>
      <c r="J2320" s="3">
        <v>0.05</v>
      </c>
      <c r="L2320" t="s">
        <v>172</v>
      </c>
      <c r="M2320" t="s">
        <v>171</v>
      </c>
      <c r="N2320" s="3">
        <v>1.3</v>
      </c>
      <c r="O2320" s="3">
        <v>0</v>
      </c>
      <c r="P2320">
        <v>55</v>
      </c>
      <c r="Q2320">
        <v>8.35</v>
      </c>
      <c r="R2320" t="s">
        <v>983</v>
      </c>
      <c r="S2320">
        <v>0.6</v>
      </c>
      <c r="T2320" s="6">
        <f>10^-(14-Q2320)</f>
        <v>2.2387211385683329E-6</v>
      </c>
      <c r="U2320" s="6">
        <v>0.2</v>
      </c>
      <c r="V2320" s="6">
        <v>0.15</v>
      </c>
      <c r="W2320" s="6">
        <v>0</v>
      </c>
      <c r="X2320" s="6">
        <v>0.15</v>
      </c>
      <c r="Y2320" t="s">
        <v>171</v>
      </c>
      <c r="Z2320" s="5">
        <v>-95</v>
      </c>
      <c r="AD2320">
        <v>0.16666666666666666</v>
      </c>
      <c r="AE2320">
        <v>439</v>
      </c>
      <c r="AF2320">
        <v>1</v>
      </c>
      <c r="AG2320" s="9">
        <v>1.4999999999999999E-2</v>
      </c>
      <c r="AH2320" s="9">
        <v>1.29</v>
      </c>
      <c r="AI2320" s="9">
        <v>0.44</v>
      </c>
      <c r="AJ2320" s="9">
        <v>3.4000000000000002E-2</v>
      </c>
      <c r="AK2320" s="9">
        <v>2E-3</v>
      </c>
      <c r="AL2320" s="9">
        <v>16.7</v>
      </c>
      <c r="AM2320" s="9">
        <v>10.02</v>
      </c>
      <c r="AN2320" s="9">
        <v>2.02</v>
      </c>
      <c r="AO2320" s="9">
        <v>3.7999999999999999E-2</v>
      </c>
      <c r="AP2320"/>
    </row>
    <row r="2321" spans="1:42" x14ac:dyDescent="0.3">
      <c r="A2321" t="s">
        <v>1864</v>
      </c>
      <c r="B2321" t="s">
        <v>1736</v>
      </c>
      <c r="C2321">
        <v>83</v>
      </c>
      <c r="D2321" s="8">
        <v>1.4403999999999999</v>
      </c>
      <c r="F2321">
        <v>0.14000000000000001</v>
      </c>
      <c r="G2321" t="s">
        <v>192</v>
      </c>
      <c r="H2321">
        <v>8.35</v>
      </c>
      <c r="I2321" s="4">
        <v>-1.3</v>
      </c>
      <c r="J2321" s="3">
        <v>0.05</v>
      </c>
      <c r="L2321" t="s">
        <v>172</v>
      </c>
      <c r="M2321" t="s">
        <v>171</v>
      </c>
      <c r="N2321" s="3">
        <v>1.3</v>
      </c>
      <c r="O2321" s="3">
        <v>0</v>
      </c>
      <c r="P2321">
        <v>55</v>
      </c>
      <c r="Q2321">
        <v>8.35</v>
      </c>
      <c r="R2321" t="s">
        <v>983</v>
      </c>
      <c r="S2321">
        <v>0.6</v>
      </c>
      <c r="T2321" s="6">
        <f>10^-(14-Q2321)</f>
        <v>2.2387211385683329E-6</v>
      </c>
      <c r="U2321" s="6">
        <v>0.2</v>
      </c>
      <c r="V2321" s="6">
        <v>0.15</v>
      </c>
      <c r="W2321" s="6">
        <v>0</v>
      </c>
      <c r="X2321" s="6">
        <v>0.15</v>
      </c>
      <c r="Y2321" t="s">
        <v>171</v>
      </c>
      <c r="Z2321" s="5">
        <v>-95</v>
      </c>
      <c r="AD2321">
        <v>0.16666666666666666</v>
      </c>
      <c r="AE2321">
        <v>636</v>
      </c>
      <c r="AF2321">
        <v>2</v>
      </c>
      <c r="AG2321" s="9">
        <v>1.4999999999999999E-2</v>
      </c>
      <c r="AH2321" s="9">
        <v>1.29</v>
      </c>
      <c r="AI2321" s="9">
        <v>0.44</v>
      </c>
      <c r="AJ2321" s="9">
        <v>3.4000000000000002E-2</v>
      </c>
      <c r="AK2321" s="9">
        <v>2E-3</v>
      </c>
      <c r="AL2321" s="9">
        <v>16.7</v>
      </c>
      <c r="AM2321" s="9">
        <v>10.02</v>
      </c>
      <c r="AN2321" s="9">
        <v>2.02</v>
      </c>
      <c r="AO2321" s="9">
        <v>3.7999999999999999E-2</v>
      </c>
      <c r="AP2321"/>
    </row>
    <row r="2322" spans="1:42" x14ac:dyDescent="0.3">
      <c r="A2322" t="s">
        <v>1878</v>
      </c>
      <c r="B2322" t="s">
        <v>1736</v>
      </c>
      <c r="C2322">
        <v>83</v>
      </c>
      <c r="D2322" s="8">
        <v>1.4403999999999999</v>
      </c>
      <c r="F2322">
        <v>0.14000000000000001</v>
      </c>
      <c r="G2322" t="s">
        <v>192</v>
      </c>
      <c r="H2322">
        <v>8.35</v>
      </c>
      <c r="I2322" s="4">
        <v>-1.3</v>
      </c>
      <c r="J2322" s="3">
        <v>0.05</v>
      </c>
      <c r="L2322" t="s">
        <v>172</v>
      </c>
      <c r="M2322" t="s">
        <v>171</v>
      </c>
      <c r="N2322" s="3">
        <v>1.3</v>
      </c>
      <c r="O2322" s="3">
        <v>0</v>
      </c>
      <c r="P2322">
        <v>55</v>
      </c>
      <c r="Q2322">
        <v>8.35</v>
      </c>
      <c r="R2322" t="s">
        <v>983</v>
      </c>
      <c r="S2322">
        <v>0.6</v>
      </c>
      <c r="T2322" s="6">
        <f>10^-(14-Q2322)</f>
        <v>2.2387211385683329E-6</v>
      </c>
      <c r="U2322" s="6">
        <v>0.2</v>
      </c>
      <c r="V2322" s="6">
        <v>0.15</v>
      </c>
      <c r="W2322" s="6">
        <v>0</v>
      </c>
      <c r="X2322" s="6">
        <v>0.15</v>
      </c>
      <c r="Y2322" t="s">
        <v>171</v>
      </c>
      <c r="Z2322" s="5">
        <v>-95</v>
      </c>
      <c r="AD2322">
        <v>0.16666666666666666</v>
      </c>
      <c r="AE2322">
        <v>620</v>
      </c>
      <c r="AF2322">
        <v>2</v>
      </c>
      <c r="AG2322" s="9">
        <v>1.4999999999999999E-2</v>
      </c>
      <c r="AH2322" s="9">
        <v>1.29</v>
      </c>
      <c r="AI2322" s="9">
        <v>0.44</v>
      </c>
      <c r="AJ2322" s="9">
        <v>3.4000000000000002E-2</v>
      </c>
      <c r="AK2322" s="9">
        <v>2E-3</v>
      </c>
      <c r="AL2322" s="9">
        <v>16.7</v>
      </c>
      <c r="AM2322" s="9">
        <v>10.02</v>
      </c>
      <c r="AN2322" s="9">
        <v>2.02</v>
      </c>
      <c r="AO2322" s="9">
        <v>3.7999999999999999E-2</v>
      </c>
      <c r="AP2322"/>
    </row>
    <row r="2323" spans="1:42" x14ac:dyDescent="0.3">
      <c r="A2323" t="s">
        <v>1879</v>
      </c>
      <c r="B2323" t="s">
        <v>1736</v>
      </c>
      <c r="C2323">
        <v>83</v>
      </c>
      <c r="D2323" s="8">
        <v>1.4403999999999999</v>
      </c>
      <c r="F2323">
        <v>0.14000000000000001</v>
      </c>
      <c r="G2323" t="s">
        <v>192</v>
      </c>
      <c r="H2323">
        <v>8.35</v>
      </c>
      <c r="I2323" s="4">
        <v>-1.3</v>
      </c>
      <c r="J2323" s="3">
        <v>0.05</v>
      </c>
      <c r="L2323" t="s">
        <v>172</v>
      </c>
      <c r="M2323" t="s">
        <v>171</v>
      </c>
      <c r="N2323" s="3">
        <v>1.3</v>
      </c>
      <c r="O2323" s="3">
        <v>0</v>
      </c>
      <c r="P2323">
        <v>55</v>
      </c>
      <c r="Q2323">
        <v>8.35</v>
      </c>
      <c r="R2323" t="s">
        <v>983</v>
      </c>
      <c r="S2323">
        <v>0.6</v>
      </c>
      <c r="T2323" s="6">
        <f>10^-(14-Q2323)</f>
        <v>2.2387211385683329E-6</v>
      </c>
      <c r="U2323" s="6">
        <v>0.2</v>
      </c>
      <c r="V2323" s="6">
        <v>0.15</v>
      </c>
      <c r="W2323" s="6">
        <v>0</v>
      </c>
      <c r="X2323" s="6">
        <v>0.15</v>
      </c>
      <c r="Y2323" t="s">
        <v>171</v>
      </c>
      <c r="Z2323" s="5">
        <v>-95</v>
      </c>
      <c r="AD2323">
        <v>0.16666666666666666</v>
      </c>
      <c r="AE2323">
        <v>454</v>
      </c>
      <c r="AF2323">
        <v>1</v>
      </c>
      <c r="AG2323" s="9">
        <v>1.4999999999999999E-2</v>
      </c>
      <c r="AH2323" s="9">
        <v>1.29</v>
      </c>
      <c r="AI2323" s="9">
        <v>0.44</v>
      </c>
      <c r="AJ2323" s="9">
        <v>3.4000000000000002E-2</v>
      </c>
      <c r="AK2323" s="9">
        <v>2E-3</v>
      </c>
      <c r="AL2323" s="9">
        <v>16.7</v>
      </c>
      <c r="AM2323" s="9">
        <v>10.02</v>
      </c>
      <c r="AN2323" s="9">
        <v>2.02</v>
      </c>
      <c r="AO2323" s="9">
        <v>3.7999999999999999E-2</v>
      </c>
      <c r="AP2323"/>
    </row>
    <row r="2324" spans="1:42" x14ac:dyDescent="0.3">
      <c r="A2324" t="s">
        <v>1750</v>
      </c>
      <c r="B2324" t="s">
        <v>1736</v>
      </c>
      <c r="C2324">
        <v>83</v>
      </c>
      <c r="D2324" s="8">
        <v>1.4318</v>
      </c>
      <c r="E2324">
        <v>600</v>
      </c>
      <c r="G2324" t="s">
        <v>192</v>
      </c>
      <c r="H2324">
        <v>8.35</v>
      </c>
      <c r="I2324" s="4">
        <v>-1.3</v>
      </c>
      <c r="J2324" s="3">
        <v>0.05</v>
      </c>
      <c r="L2324" t="s">
        <v>172</v>
      </c>
      <c r="M2324" t="s">
        <v>171</v>
      </c>
      <c r="N2324" s="3">
        <v>1.3</v>
      </c>
      <c r="O2324" s="3">
        <v>0</v>
      </c>
      <c r="P2324">
        <v>35</v>
      </c>
      <c r="Q2324">
        <v>8.35</v>
      </c>
      <c r="R2324" t="s">
        <v>983</v>
      </c>
      <c r="S2324">
        <v>0.6</v>
      </c>
      <c r="T2324" s="6">
        <f>10^-(14-Q2324)</f>
        <v>2.2387211385683329E-6</v>
      </c>
      <c r="U2324" s="6">
        <v>0.2</v>
      </c>
      <c r="V2324" s="6">
        <v>0.15</v>
      </c>
      <c r="W2324" s="6">
        <v>0</v>
      </c>
      <c r="X2324" s="6">
        <v>0.15</v>
      </c>
      <c r="Y2324" t="s">
        <v>171</v>
      </c>
      <c r="AD2324">
        <v>0.16666666666666666</v>
      </c>
      <c r="AE2324">
        <v>652</v>
      </c>
      <c r="AF2324">
        <v>2</v>
      </c>
      <c r="AG2324" s="9">
        <v>1.7999999999999999E-2</v>
      </c>
      <c r="AH2324" s="9">
        <v>1.27</v>
      </c>
      <c r="AI2324" s="9">
        <v>0.49</v>
      </c>
      <c r="AJ2324" s="9">
        <v>2.4E-2</v>
      </c>
      <c r="AK2324" s="9">
        <v>1E-3</v>
      </c>
      <c r="AL2324" s="9">
        <v>17.399999999999999</v>
      </c>
      <c r="AM2324" s="9">
        <v>6.52</v>
      </c>
      <c r="AN2324" s="9">
        <v>7.0000000000000007E-2</v>
      </c>
      <c r="AO2324" s="9">
        <v>0.14499999999999999</v>
      </c>
      <c r="AP2324"/>
    </row>
    <row r="2325" spans="1:42" x14ac:dyDescent="0.3">
      <c r="A2325" t="s">
        <v>1765</v>
      </c>
      <c r="B2325" t="s">
        <v>1736</v>
      </c>
      <c r="C2325">
        <v>83</v>
      </c>
      <c r="D2325" s="8">
        <v>1.4318</v>
      </c>
      <c r="E2325">
        <v>600</v>
      </c>
      <c r="G2325" t="s">
        <v>192</v>
      </c>
      <c r="H2325">
        <v>8.35</v>
      </c>
      <c r="I2325" s="4">
        <v>-1.3</v>
      </c>
      <c r="J2325" s="3">
        <v>0.05</v>
      </c>
      <c r="L2325" t="s">
        <v>172</v>
      </c>
      <c r="M2325" t="s">
        <v>171</v>
      </c>
      <c r="N2325" s="3">
        <v>1.3</v>
      </c>
      <c r="O2325" s="3">
        <v>0</v>
      </c>
      <c r="P2325">
        <v>35</v>
      </c>
      <c r="Q2325">
        <v>8.35</v>
      </c>
      <c r="R2325" t="s">
        <v>983</v>
      </c>
      <c r="S2325">
        <v>0.6</v>
      </c>
      <c r="T2325" s="6">
        <f>10^-(14-Q2325)</f>
        <v>2.2387211385683329E-6</v>
      </c>
      <c r="U2325" s="6">
        <v>0.2</v>
      </c>
      <c r="V2325" s="6">
        <v>0.15</v>
      </c>
      <c r="W2325" s="6">
        <v>0</v>
      </c>
      <c r="X2325" s="6">
        <v>0.15</v>
      </c>
      <c r="Y2325" t="s">
        <v>171</v>
      </c>
      <c r="AD2325">
        <v>0.16666666666666666</v>
      </c>
      <c r="AE2325">
        <v>652</v>
      </c>
      <c r="AF2325">
        <v>2</v>
      </c>
      <c r="AG2325" s="9">
        <v>1.7999999999999999E-2</v>
      </c>
      <c r="AH2325" s="9">
        <v>1.27</v>
      </c>
      <c r="AI2325" s="9">
        <v>0.49</v>
      </c>
      <c r="AJ2325" s="9">
        <v>2.4E-2</v>
      </c>
      <c r="AK2325" s="9">
        <v>1E-3</v>
      </c>
      <c r="AL2325" s="9">
        <v>17.399999999999999</v>
      </c>
      <c r="AM2325" s="9">
        <v>6.52</v>
      </c>
      <c r="AN2325" s="9">
        <v>7.0000000000000007E-2</v>
      </c>
      <c r="AO2325" s="9">
        <v>0.14499999999999999</v>
      </c>
      <c r="AP2325"/>
    </row>
    <row r="2326" spans="1:42" x14ac:dyDescent="0.3">
      <c r="A2326" t="s">
        <v>1780</v>
      </c>
      <c r="B2326" t="s">
        <v>1736</v>
      </c>
      <c r="C2326">
        <v>83</v>
      </c>
      <c r="D2326" s="8">
        <v>1.4318</v>
      </c>
      <c r="F2326">
        <v>0.28000000000000003</v>
      </c>
      <c r="G2326" t="s">
        <v>192</v>
      </c>
      <c r="H2326">
        <v>8.35</v>
      </c>
      <c r="I2326" s="4">
        <v>-1.3</v>
      </c>
      <c r="J2326" s="3">
        <v>0.05</v>
      </c>
      <c r="L2326" t="s">
        <v>172</v>
      </c>
      <c r="M2326" t="s">
        <v>171</v>
      </c>
      <c r="N2326" s="3">
        <v>1.3</v>
      </c>
      <c r="O2326" s="3">
        <v>0</v>
      </c>
      <c r="P2326">
        <v>35</v>
      </c>
      <c r="Q2326">
        <v>8.35</v>
      </c>
      <c r="R2326" t="s">
        <v>983</v>
      </c>
      <c r="S2326">
        <v>0.6</v>
      </c>
      <c r="T2326" s="6">
        <f>10^-(14-Q2326)</f>
        <v>2.2387211385683329E-6</v>
      </c>
      <c r="U2326" s="6">
        <v>0.2</v>
      </c>
      <c r="V2326" s="6">
        <v>0.15</v>
      </c>
      <c r="W2326" s="6">
        <v>0</v>
      </c>
      <c r="X2326" s="6">
        <v>0.15</v>
      </c>
      <c r="Y2326" t="s">
        <v>171</v>
      </c>
      <c r="Z2326" s="5">
        <v>-150</v>
      </c>
      <c r="AD2326">
        <v>0.16666666666666666</v>
      </c>
      <c r="AE2326">
        <v>643</v>
      </c>
      <c r="AF2326">
        <v>2</v>
      </c>
      <c r="AG2326" s="9">
        <v>1.7999999999999999E-2</v>
      </c>
      <c r="AH2326" s="9">
        <v>1.27</v>
      </c>
      <c r="AI2326" s="9">
        <v>0.49</v>
      </c>
      <c r="AJ2326" s="9">
        <v>2.4E-2</v>
      </c>
      <c r="AK2326" s="9">
        <v>1E-3</v>
      </c>
      <c r="AL2326" s="9">
        <v>17.399999999999999</v>
      </c>
      <c r="AM2326" s="9">
        <v>6.52</v>
      </c>
      <c r="AN2326" s="9">
        <v>7.0000000000000007E-2</v>
      </c>
      <c r="AO2326" s="9">
        <v>0.14499999999999999</v>
      </c>
      <c r="AP2326"/>
    </row>
    <row r="2327" spans="1:42" x14ac:dyDescent="0.3">
      <c r="A2327" t="s">
        <v>1795</v>
      </c>
      <c r="B2327" t="s">
        <v>1736</v>
      </c>
      <c r="C2327">
        <v>83</v>
      </c>
      <c r="D2327" s="8">
        <v>1.4318</v>
      </c>
      <c r="F2327">
        <v>0.28000000000000003</v>
      </c>
      <c r="G2327" t="s">
        <v>192</v>
      </c>
      <c r="H2327">
        <v>8.35</v>
      </c>
      <c r="I2327" s="4">
        <v>-1.3</v>
      </c>
      <c r="J2327" s="3">
        <v>0.05</v>
      </c>
      <c r="L2327" t="s">
        <v>172</v>
      </c>
      <c r="M2327" t="s">
        <v>171</v>
      </c>
      <c r="N2327" s="3">
        <v>1.3</v>
      </c>
      <c r="O2327" s="3">
        <v>0</v>
      </c>
      <c r="P2327">
        <v>35</v>
      </c>
      <c r="Q2327">
        <v>8.35</v>
      </c>
      <c r="R2327" t="s">
        <v>983</v>
      </c>
      <c r="S2327">
        <v>0.6</v>
      </c>
      <c r="T2327" s="6">
        <f>10^-(14-Q2327)</f>
        <v>2.2387211385683329E-6</v>
      </c>
      <c r="U2327" s="6">
        <v>0.2</v>
      </c>
      <c r="V2327" s="6">
        <v>0.15</v>
      </c>
      <c r="W2327" s="6">
        <v>0</v>
      </c>
      <c r="X2327" s="6">
        <v>0.15</v>
      </c>
      <c r="Y2327" t="s">
        <v>171</v>
      </c>
      <c r="Z2327" s="5">
        <v>-150</v>
      </c>
      <c r="AD2327">
        <v>0.16666666666666666</v>
      </c>
      <c r="AE2327">
        <v>653</v>
      </c>
      <c r="AF2327">
        <v>2</v>
      </c>
      <c r="AG2327" s="9">
        <v>1.7999999999999999E-2</v>
      </c>
      <c r="AH2327" s="9">
        <v>1.27</v>
      </c>
      <c r="AI2327" s="9">
        <v>0.49</v>
      </c>
      <c r="AJ2327" s="9">
        <v>2.4E-2</v>
      </c>
      <c r="AK2327" s="9">
        <v>1E-3</v>
      </c>
      <c r="AL2327" s="9">
        <v>17.399999999999999</v>
      </c>
      <c r="AM2327" s="9">
        <v>6.52</v>
      </c>
      <c r="AN2327" s="9">
        <v>7.0000000000000007E-2</v>
      </c>
      <c r="AO2327" s="9">
        <v>0.14499999999999999</v>
      </c>
      <c r="AP2327"/>
    </row>
    <row r="2328" spans="1:42" x14ac:dyDescent="0.3">
      <c r="A2328" t="s">
        <v>1810</v>
      </c>
      <c r="B2328" t="s">
        <v>1736</v>
      </c>
      <c r="C2328">
        <v>83</v>
      </c>
      <c r="D2328" s="8">
        <v>1.4318</v>
      </c>
      <c r="E2328">
        <v>600</v>
      </c>
      <c r="G2328" t="s">
        <v>192</v>
      </c>
      <c r="H2328">
        <v>8.35</v>
      </c>
      <c r="I2328" s="4">
        <v>-1.3</v>
      </c>
      <c r="J2328" s="3">
        <v>0.05</v>
      </c>
      <c r="L2328" t="s">
        <v>172</v>
      </c>
      <c r="M2328" t="s">
        <v>171</v>
      </c>
      <c r="N2328" s="3">
        <v>1.3</v>
      </c>
      <c r="O2328" s="3">
        <v>0</v>
      </c>
      <c r="P2328">
        <v>55</v>
      </c>
      <c r="Q2328">
        <v>8.35</v>
      </c>
      <c r="R2328" t="s">
        <v>983</v>
      </c>
      <c r="S2328">
        <v>0.6</v>
      </c>
      <c r="T2328" s="6">
        <f>10^-(14-Q2328)</f>
        <v>2.2387211385683329E-6</v>
      </c>
      <c r="U2328" s="6">
        <v>0.2</v>
      </c>
      <c r="V2328" s="6">
        <v>0.15</v>
      </c>
      <c r="W2328" s="6">
        <v>0</v>
      </c>
      <c r="X2328" s="6">
        <v>0.15</v>
      </c>
      <c r="Y2328" t="s">
        <v>171</v>
      </c>
      <c r="AD2328">
        <v>0.16666666666666666</v>
      </c>
      <c r="AE2328">
        <v>240</v>
      </c>
      <c r="AF2328">
        <v>1</v>
      </c>
      <c r="AG2328" s="9">
        <v>1.7999999999999999E-2</v>
      </c>
      <c r="AH2328" s="9">
        <v>1.27</v>
      </c>
      <c r="AI2328" s="9">
        <v>0.49</v>
      </c>
      <c r="AJ2328" s="9">
        <v>2.4E-2</v>
      </c>
      <c r="AK2328" s="9">
        <v>1E-3</v>
      </c>
      <c r="AL2328" s="9">
        <v>17.399999999999999</v>
      </c>
      <c r="AM2328" s="9">
        <v>6.52</v>
      </c>
      <c r="AN2328" s="9">
        <v>7.0000000000000007E-2</v>
      </c>
      <c r="AO2328" s="9">
        <v>0.14499999999999999</v>
      </c>
      <c r="AP2328"/>
    </row>
    <row r="2329" spans="1:42" x14ac:dyDescent="0.3">
      <c r="A2329" t="s">
        <v>1825</v>
      </c>
      <c r="B2329" t="s">
        <v>1736</v>
      </c>
      <c r="C2329">
        <v>83</v>
      </c>
      <c r="D2329" s="8">
        <v>1.4318</v>
      </c>
      <c r="E2329">
        <v>600</v>
      </c>
      <c r="G2329" t="s">
        <v>192</v>
      </c>
      <c r="H2329">
        <v>8.35</v>
      </c>
      <c r="I2329" s="4">
        <v>-1.3</v>
      </c>
      <c r="J2329" s="3">
        <v>0.05</v>
      </c>
      <c r="L2329" t="s">
        <v>172</v>
      </c>
      <c r="M2329" t="s">
        <v>171</v>
      </c>
      <c r="N2329" s="3">
        <v>1.3</v>
      </c>
      <c r="O2329" s="3">
        <v>0</v>
      </c>
      <c r="P2329">
        <v>55</v>
      </c>
      <c r="Q2329">
        <v>8.35</v>
      </c>
      <c r="R2329" t="s">
        <v>983</v>
      </c>
      <c r="S2329">
        <v>0.6</v>
      </c>
      <c r="T2329" s="6">
        <f>10^-(14-Q2329)</f>
        <v>2.2387211385683329E-6</v>
      </c>
      <c r="U2329" s="6">
        <v>0.2</v>
      </c>
      <c r="V2329" s="6">
        <v>0.15</v>
      </c>
      <c r="W2329" s="6">
        <v>0</v>
      </c>
      <c r="X2329" s="6">
        <v>0.15</v>
      </c>
      <c r="Y2329" t="s">
        <v>171</v>
      </c>
      <c r="AD2329">
        <v>0.16666666666666666</v>
      </c>
      <c r="AE2329">
        <v>144</v>
      </c>
      <c r="AF2329">
        <v>1</v>
      </c>
      <c r="AG2329" s="9">
        <v>1.7999999999999999E-2</v>
      </c>
      <c r="AH2329" s="9">
        <v>1.27</v>
      </c>
      <c r="AI2329" s="9">
        <v>0.49</v>
      </c>
      <c r="AJ2329" s="9">
        <v>2.4E-2</v>
      </c>
      <c r="AK2329" s="9">
        <v>1E-3</v>
      </c>
      <c r="AL2329" s="9">
        <v>17.399999999999999</v>
      </c>
      <c r="AM2329" s="9">
        <v>6.52</v>
      </c>
      <c r="AN2329" s="9">
        <v>7.0000000000000007E-2</v>
      </c>
      <c r="AO2329" s="9">
        <v>0.14499999999999999</v>
      </c>
      <c r="AP2329"/>
    </row>
    <row r="2330" spans="1:42" x14ac:dyDescent="0.3">
      <c r="A2330" t="s">
        <v>1836</v>
      </c>
      <c r="B2330" t="s">
        <v>1736</v>
      </c>
      <c r="C2330">
        <v>83</v>
      </c>
      <c r="D2330" s="8">
        <v>1.4318</v>
      </c>
      <c r="F2330">
        <v>0.28000000000000003</v>
      </c>
      <c r="G2330" t="s">
        <v>192</v>
      </c>
      <c r="H2330">
        <v>6.9</v>
      </c>
      <c r="I2330" s="4">
        <v>-1.3</v>
      </c>
      <c r="J2330" s="3">
        <v>0.05</v>
      </c>
      <c r="L2330" t="s">
        <v>172</v>
      </c>
      <c r="M2330" t="s">
        <v>171</v>
      </c>
      <c r="N2330" s="3">
        <v>1.6</v>
      </c>
      <c r="O2330" s="3">
        <v>0</v>
      </c>
      <c r="P2330">
        <v>35</v>
      </c>
      <c r="Q2330">
        <v>6.9</v>
      </c>
      <c r="R2330" t="s">
        <v>983</v>
      </c>
      <c r="S2330">
        <v>0.6</v>
      </c>
      <c r="T2330" s="6">
        <f>10^-(14-Q2330)</f>
        <v>7.943282347242818E-8</v>
      </c>
      <c r="U2330" s="6">
        <v>0.2</v>
      </c>
      <c r="V2330" s="6">
        <v>0.15</v>
      </c>
      <c r="W2330" s="6">
        <v>0</v>
      </c>
      <c r="X2330" s="6">
        <v>0.15</v>
      </c>
      <c r="Y2330" t="s">
        <v>171</v>
      </c>
      <c r="Z2330" s="5">
        <v>-130</v>
      </c>
      <c r="AD2330">
        <v>0.16666666666666666</v>
      </c>
      <c r="AE2330">
        <v>223</v>
      </c>
      <c r="AF2330">
        <v>1</v>
      </c>
      <c r="AG2330" s="9">
        <v>1.7999999999999999E-2</v>
      </c>
      <c r="AH2330" s="9">
        <v>1.27</v>
      </c>
      <c r="AI2330" s="9">
        <v>0.49</v>
      </c>
      <c r="AJ2330" s="9">
        <v>2.4E-2</v>
      </c>
      <c r="AK2330" s="9">
        <v>1E-3</v>
      </c>
      <c r="AL2330" s="9">
        <v>17.399999999999999</v>
      </c>
      <c r="AM2330" s="9">
        <v>6.52</v>
      </c>
      <c r="AN2330" s="9">
        <v>7.0000000000000007E-2</v>
      </c>
      <c r="AO2330" s="9">
        <v>0.14499999999999999</v>
      </c>
      <c r="AP2330"/>
    </row>
    <row r="2331" spans="1:42" x14ac:dyDescent="0.3">
      <c r="A2331" t="s">
        <v>1847</v>
      </c>
      <c r="B2331" t="s">
        <v>1736</v>
      </c>
      <c r="C2331">
        <v>83</v>
      </c>
      <c r="D2331" s="8">
        <v>1.4318</v>
      </c>
      <c r="F2331">
        <v>0.28000000000000003</v>
      </c>
      <c r="G2331" t="s">
        <v>192</v>
      </c>
      <c r="H2331">
        <v>6.9</v>
      </c>
      <c r="I2331" s="4">
        <v>-1.3</v>
      </c>
      <c r="J2331" s="3">
        <v>0.05</v>
      </c>
      <c r="L2331" t="s">
        <v>172</v>
      </c>
      <c r="M2331" t="s">
        <v>171</v>
      </c>
      <c r="N2331" s="3">
        <v>1.6</v>
      </c>
      <c r="O2331" s="3">
        <v>0</v>
      </c>
      <c r="P2331">
        <v>55</v>
      </c>
      <c r="Q2331">
        <v>6.9</v>
      </c>
      <c r="R2331" t="s">
        <v>983</v>
      </c>
      <c r="S2331">
        <v>0.6</v>
      </c>
      <c r="T2331" s="6">
        <f>10^-(14-Q2331)</f>
        <v>7.943282347242818E-8</v>
      </c>
      <c r="U2331" s="6">
        <v>0.2</v>
      </c>
      <c r="V2331" s="6">
        <v>0.15</v>
      </c>
      <c r="W2331" s="6">
        <v>0</v>
      </c>
      <c r="X2331" s="6">
        <v>0.15</v>
      </c>
      <c r="Y2331" t="s">
        <v>171</v>
      </c>
      <c r="Z2331" s="5">
        <v>-230</v>
      </c>
      <c r="AD2331">
        <v>0.16666666666666666</v>
      </c>
      <c r="AE2331">
        <v>-210</v>
      </c>
      <c r="AF2331">
        <v>1</v>
      </c>
      <c r="AG2331" s="9">
        <v>1.7999999999999999E-2</v>
      </c>
      <c r="AH2331" s="9">
        <v>1.27</v>
      </c>
      <c r="AI2331" s="9">
        <v>0.49</v>
      </c>
      <c r="AJ2331" s="9">
        <v>2.4E-2</v>
      </c>
      <c r="AK2331" s="9">
        <v>1E-3</v>
      </c>
      <c r="AL2331" s="9">
        <v>17.399999999999999</v>
      </c>
      <c r="AM2331" s="9">
        <v>6.52</v>
      </c>
      <c r="AN2331" s="9">
        <v>7.0000000000000007E-2</v>
      </c>
      <c r="AO2331" s="9">
        <v>0.14499999999999999</v>
      </c>
      <c r="AP2331"/>
    </row>
    <row r="2332" spans="1:42" x14ac:dyDescent="0.3">
      <c r="A2332" t="s">
        <v>1858</v>
      </c>
      <c r="B2332" t="s">
        <v>1736</v>
      </c>
      <c r="C2332">
        <v>83</v>
      </c>
      <c r="D2332" s="8">
        <v>1.4318</v>
      </c>
      <c r="F2332">
        <v>0.28000000000000003</v>
      </c>
      <c r="G2332" t="s">
        <v>192</v>
      </c>
      <c r="H2332">
        <v>6.9</v>
      </c>
      <c r="I2332" s="4">
        <v>-1.3</v>
      </c>
      <c r="J2332" s="3">
        <v>0.05</v>
      </c>
      <c r="L2332" t="s">
        <v>172</v>
      </c>
      <c r="M2332" t="s">
        <v>171</v>
      </c>
      <c r="N2332" s="3">
        <v>1.6</v>
      </c>
      <c r="O2332" s="3">
        <v>0</v>
      </c>
      <c r="P2332">
        <v>55</v>
      </c>
      <c r="Q2332">
        <v>6.9</v>
      </c>
      <c r="R2332" t="s">
        <v>983</v>
      </c>
      <c r="S2332">
        <v>0.6</v>
      </c>
      <c r="T2332" s="6">
        <f>10^-(14-Q2332)</f>
        <v>7.943282347242818E-8</v>
      </c>
      <c r="U2332" s="6">
        <v>0.2</v>
      </c>
      <c r="V2332" s="6">
        <v>0.15</v>
      </c>
      <c r="W2332" s="6">
        <v>0</v>
      </c>
      <c r="X2332" s="6">
        <v>0.15</v>
      </c>
      <c r="Y2332" t="s">
        <v>171</v>
      </c>
      <c r="Z2332" s="5">
        <v>-230</v>
      </c>
      <c r="AD2332">
        <v>0.16666666666666666</v>
      </c>
      <c r="AE2332">
        <v>-172</v>
      </c>
      <c r="AF2332">
        <v>1</v>
      </c>
      <c r="AG2332" s="9">
        <v>1.7999999999999999E-2</v>
      </c>
      <c r="AH2332" s="9">
        <v>1.27</v>
      </c>
      <c r="AI2332" s="9">
        <v>0.49</v>
      </c>
      <c r="AJ2332" s="9">
        <v>2.4E-2</v>
      </c>
      <c r="AK2332" s="9">
        <v>1E-3</v>
      </c>
      <c r="AL2332" s="9">
        <v>17.399999999999999</v>
      </c>
      <c r="AM2332" s="9">
        <v>6.52</v>
      </c>
      <c r="AN2332" s="9">
        <v>7.0000000000000007E-2</v>
      </c>
      <c r="AO2332" s="9">
        <v>0.14499999999999999</v>
      </c>
      <c r="AP2332"/>
    </row>
    <row r="2333" spans="1:42" x14ac:dyDescent="0.3">
      <c r="A2333" t="s">
        <v>1877</v>
      </c>
      <c r="B2333" t="s">
        <v>1736</v>
      </c>
      <c r="C2333">
        <v>83</v>
      </c>
      <c r="D2333" s="8">
        <v>1.4318</v>
      </c>
      <c r="F2333">
        <v>0.28000000000000003</v>
      </c>
      <c r="G2333" t="s">
        <v>192</v>
      </c>
      <c r="H2333">
        <v>8.35</v>
      </c>
      <c r="I2333" s="4">
        <v>-1.3</v>
      </c>
      <c r="J2333" s="3">
        <v>0.05</v>
      </c>
      <c r="L2333" t="s">
        <v>172</v>
      </c>
      <c r="M2333" t="s">
        <v>171</v>
      </c>
      <c r="N2333" s="3">
        <v>1.3</v>
      </c>
      <c r="O2333" s="3">
        <v>0</v>
      </c>
      <c r="P2333">
        <v>55</v>
      </c>
      <c r="Q2333">
        <v>8.35</v>
      </c>
      <c r="R2333" t="s">
        <v>983</v>
      </c>
      <c r="S2333">
        <v>0.6</v>
      </c>
      <c r="T2333" s="6">
        <f>10^-(14-Q2333)</f>
        <v>2.2387211385683329E-6</v>
      </c>
      <c r="U2333" s="6">
        <v>0.2</v>
      </c>
      <c r="V2333" s="6">
        <v>0.15</v>
      </c>
      <c r="W2333" s="6">
        <v>0</v>
      </c>
      <c r="X2333" s="6">
        <v>0.15</v>
      </c>
      <c r="Y2333" t="s">
        <v>171</v>
      </c>
      <c r="Z2333" s="5">
        <v>-100</v>
      </c>
      <c r="AD2333">
        <v>0.16666666666666666</v>
      </c>
      <c r="AE2333">
        <v>144</v>
      </c>
      <c r="AF2333">
        <v>1</v>
      </c>
      <c r="AG2333" s="9">
        <v>1.7999999999999999E-2</v>
      </c>
      <c r="AH2333" s="9">
        <v>1.27</v>
      </c>
      <c r="AI2333" s="9">
        <v>0.49</v>
      </c>
      <c r="AJ2333" s="9">
        <v>2.4E-2</v>
      </c>
      <c r="AK2333" s="9">
        <v>1E-3</v>
      </c>
      <c r="AL2333" s="9">
        <v>17.399999999999999</v>
      </c>
      <c r="AM2333" s="9">
        <v>6.52</v>
      </c>
      <c r="AN2333" s="9">
        <v>7.0000000000000007E-2</v>
      </c>
      <c r="AO2333" s="9">
        <v>0.14499999999999999</v>
      </c>
      <c r="AP2333"/>
    </row>
    <row r="2334" spans="1:42" x14ac:dyDescent="0.3">
      <c r="A2334" t="s">
        <v>1892</v>
      </c>
      <c r="B2334" t="s">
        <v>1736</v>
      </c>
      <c r="C2334">
        <v>83</v>
      </c>
      <c r="D2334" s="8">
        <v>1.4318</v>
      </c>
      <c r="F2334">
        <v>0.28000000000000003</v>
      </c>
      <c r="G2334" t="s">
        <v>192</v>
      </c>
      <c r="H2334">
        <v>8.35</v>
      </c>
      <c r="I2334" s="4">
        <v>-1.3</v>
      </c>
      <c r="J2334" s="3">
        <v>0.05</v>
      </c>
      <c r="L2334" t="s">
        <v>172</v>
      </c>
      <c r="M2334" t="s">
        <v>171</v>
      </c>
      <c r="N2334" s="3">
        <v>1.3</v>
      </c>
      <c r="O2334" s="3">
        <v>0</v>
      </c>
      <c r="P2334">
        <v>55</v>
      </c>
      <c r="Q2334">
        <v>8.35</v>
      </c>
      <c r="R2334" t="s">
        <v>983</v>
      </c>
      <c r="S2334">
        <v>0.6</v>
      </c>
      <c r="T2334" s="6">
        <f>10^-(14-Q2334)</f>
        <v>2.2387211385683329E-6</v>
      </c>
      <c r="U2334" s="6">
        <v>0.2</v>
      </c>
      <c r="V2334" s="6">
        <v>0.15</v>
      </c>
      <c r="W2334" s="6">
        <v>0</v>
      </c>
      <c r="X2334" s="6">
        <v>0.15</v>
      </c>
      <c r="Y2334" t="s">
        <v>171</v>
      </c>
      <c r="Z2334" s="5">
        <v>-100</v>
      </c>
      <c r="AD2334">
        <v>0.16666666666666666</v>
      </c>
      <c r="AE2334">
        <v>197</v>
      </c>
      <c r="AF2334">
        <v>1</v>
      </c>
      <c r="AG2334" s="9">
        <v>1.7999999999999999E-2</v>
      </c>
      <c r="AH2334" s="9">
        <v>1.27</v>
      </c>
      <c r="AI2334" s="9">
        <v>0.49</v>
      </c>
      <c r="AJ2334" s="9">
        <v>2.4E-2</v>
      </c>
      <c r="AK2334" s="9">
        <v>1E-3</v>
      </c>
      <c r="AL2334" s="9">
        <v>17.399999999999999</v>
      </c>
      <c r="AM2334" s="9">
        <v>6.52</v>
      </c>
      <c r="AN2334" s="9">
        <v>7.0000000000000007E-2</v>
      </c>
      <c r="AO2334" s="9">
        <v>0.14499999999999999</v>
      </c>
      <c r="AP2334"/>
    </row>
    <row r="2335" spans="1:42" x14ac:dyDescent="0.3">
      <c r="A2335" t="s">
        <v>1749</v>
      </c>
      <c r="B2335" t="s">
        <v>1736</v>
      </c>
      <c r="C2335">
        <v>83</v>
      </c>
      <c r="D2335" s="8">
        <v>1.4318</v>
      </c>
      <c r="E2335">
        <v>600</v>
      </c>
      <c r="G2335" t="s">
        <v>192</v>
      </c>
      <c r="H2335">
        <v>8.35</v>
      </c>
      <c r="I2335" s="4">
        <v>-1.3</v>
      </c>
      <c r="J2335" s="3">
        <v>0.05</v>
      </c>
      <c r="L2335" t="s">
        <v>172</v>
      </c>
      <c r="M2335" t="s">
        <v>171</v>
      </c>
      <c r="N2335" s="3">
        <v>1.3</v>
      </c>
      <c r="O2335" s="3">
        <v>0</v>
      </c>
      <c r="P2335">
        <v>35</v>
      </c>
      <c r="Q2335">
        <v>8.35</v>
      </c>
      <c r="R2335" t="s">
        <v>983</v>
      </c>
      <c r="S2335">
        <v>0.6</v>
      </c>
      <c r="T2335" s="6">
        <f>10^-(14-Q2335)</f>
        <v>2.2387211385683329E-6</v>
      </c>
      <c r="U2335" s="6">
        <v>0.2</v>
      </c>
      <c r="V2335" s="6">
        <v>0.15</v>
      </c>
      <c r="W2335" s="6">
        <v>0</v>
      </c>
      <c r="X2335" s="6">
        <v>0.15</v>
      </c>
      <c r="Y2335" t="s">
        <v>171</v>
      </c>
      <c r="AD2335">
        <v>0.16666666666666666</v>
      </c>
      <c r="AE2335">
        <v>664</v>
      </c>
      <c r="AF2335">
        <v>2</v>
      </c>
      <c r="AG2335" s="9">
        <v>2.4E-2</v>
      </c>
      <c r="AH2335" s="9">
        <v>1.26</v>
      </c>
      <c r="AI2335" s="9">
        <v>0.45</v>
      </c>
      <c r="AJ2335" s="9">
        <v>2.7E-2</v>
      </c>
      <c r="AK2335" s="9">
        <v>2E-3</v>
      </c>
      <c r="AL2335" s="9">
        <v>17.5</v>
      </c>
      <c r="AM2335" s="9">
        <v>6.61</v>
      </c>
      <c r="AN2335" s="9">
        <v>0.09</v>
      </c>
      <c r="AO2335" s="9">
        <v>0.14499999999999999</v>
      </c>
      <c r="AP2335"/>
    </row>
    <row r="2336" spans="1:42" x14ac:dyDescent="0.3">
      <c r="A2336" t="s">
        <v>1764</v>
      </c>
      <c r="B2336" t="s">
        <v>1736</v>
      </c>
      <c r="C2336">
        <v>83</v>
      </c>
      <c r="D2336" s="8">
        <v>1.4318</v>
      </c>
      <c r="E2336">
        <v>600</v>
      </c>
      <c r="G2336" t="s">
        <v>192</v>
      </c>
      <c r="H2336">
        <v>8.35</v>
      </c>
      <c r="I2336" s="4">
        <v>-1.3</v>
      </c>
      <c r="J2336" s="3">
        <v>0.05</v>
      </c>
      <c r="L2336" t="s">
        <v>172</v>
      </c>
      <c r="M2336" t="s">
        <v>171</v>
      </c>
      <c r="N2336" s="3">
        <v>1.3</v>
      </c>
      <c r="O2336" s="3">
        <v>0</v>
      </c>
      <c r="P2336">
        <v>35</v>
      </c>
      <c r="Q2336">
        <v>8.35</v>
      </c>
      <c r="R2336" t="s">
        <v>983</v>
      </c>
      <c r="S2336">
        <v>0.6</v>
      </c>
      <c r="T2336" s="6">
        <f>10^-(14-Q2336)</f>
        <v>2.2387211385683329E-6</v>
      </c>
      <c r="U2336" s="6">
        <v>0.2</v>
      </c>
      <c r="V2336" s="6">
        <v>0.15</v>
      </c>
      <c r="W2336" s="6">
        <v>0</v>
      </c>
      <c r="X2336" s="6">
        <v>0.15</v>
      </c>
      <c r="Y2336" t="s">
        <v>171</v>
      </c>
      <c r="AD2336">
        <v>0.16666666666666666</v>
      </c>
      <c r="AE2336">
        <v>649</v>
      </c>
      <c r="AF2336">
        <v>2</v>
      </c>
      <c r="AG2336" s="9">
        <v>2.4E-2</v>
      </c>
      <c r="AH2336" s="9">
        <v>1.26</v>
      </c>
      <c r="AI2336" s="9">
        <v>0.45</v>
      </c>
      <c r="AJ2336" s="9">
        <v>2.7E-2</v>
      </c>
      <c r="AK2336" s="9">
        <v>2E-3</v>
      </c>
      <c r="AL2336" s="9">
        <v>17.5</v>
      </c>
      <c r="AM2336" s="9">
        <v>6.61</v>
      </c>
      <c r="AN2336" s="9">
        <v>0.09</v>
      </c>
      <c r="AO2336" s="9">
        <v>0.14499999999999999</v>
      </c>
      <c r="AP2336"/>
    </row>
    <row r="2337" spans="1:42" x14ac:dyDescent="0.3">
      <c r="A2337" t="s">
        <v>1779</v>
      </c>
      <c r="B2337" t="s">
        <v>1736</v>
      </c>
      <c r="C2337">
        <v>83</v>
      </c>
      <c r="D2337" s="8">
        <v>1.4318</v>
      </c>
      <c r="F2337">
        <v>0.15000000000000002</v>
      </c>
      <c r="G2337" t="s">
        <v>192</v>
      </c>
      <c r="H2337">
        <v>8.35</v>
      </c>
      <c r="I2337" s="4">
        <v>-1.3</v>
      </c>
      <c r="J2337" s="3">
        <v>0.05</v>
      </c>
      <c r="L2337" t="s">
        <v>172</v>
      </c>
      <c r="M2337" t="s">
        <v>171</v>
      </c>
      <c r="N2337" s="3">
        <v>1.3</v>
      </c>
      <c r="O2337" s="3">
        <v>0</v>
      </c>
      <c r="P2337">
        <v>35</v>
      </c>
      <c r="Q2337">
        <v>8.35</v>
      </c>
      <c r="R2337" t="s">
        <v>983</v>
      </c>
      <c r="S2337">
        <v>0.6</v>
      </c>
      <c r="T2337" s="6">
        <f>10^-(14-Q2337)</f>
        <v>2.2387211385683329E-6</v>
      </c>
      <c r="U2337" s="6">
        <v>0.2</v>
      </c>
      <c r="V2337" s="6">
        <v>0.15</v>
      </c>
      <c r="W2337" s="6">
        <v>0</v>
      </c>
      <c r="X2337" s="6">
        <v>0.15</v>
      </c>
      <c r="Y2337" t="s">
        <v>171</v>
      </c>
      <c r="Z2337" s="5">
        <v>-170</v>
      </c>
      <c r="AD2337">
        <v>0.16666666666666666</v>
      </c>
      <c r="AE2337">
        <v>695</v>
      </c>
      <c r="AF2337">
        <v>2</v>
      </c>
      <c r="AG2337" s="9">
        <v>2.4E-2</v>
      </c>
      <c r="AH2337" s="9">
        <v>1.26</v>
      </c>
      <c r="AI2337" s="9">
        <v>0.45</v>
      </c>
      <c r="AJ2337" s="9">
        <v>2.7E-2</v>
      </c>
      <c r="AK2337" s="9">
        <v>2E-3</v>
      </c>
      <c r="AL2337" s="9">
        <v>17.5</v>
      </c>
      <c r="AM2337" s="9">
        <v>6.61</v>
      </c>
      <c r="AN2337" s="9">
        <v>0.09</v>
      </c>
      <c r="AO2337" s="9">
        <v>0.14499999999999999</v>
      </c>
      <c r="AP2337"/>
    </row>
    <row r="2338" spans="1:42" x14ac:dyDescent="0.3">
      <c r="A2338" t="s">
        <v>1794</v>
      </c>
      <c r="B2338" t="s">
        <v>1736</v>
      </c>
      <c r="C2338">
        <v>83</v>
      </c>
      <c r="D2338" s="8">
        <v>1.4318</v>
      </c>
      <c r="F2338">
        <v>0.15000000000000002</v>
      </c>
      <c r="G2338" t="s">
        <v>192</v>
      </c>
      <c r="H2338">
        <v>8.35</v>
      </c>
      <c r="I2338" s="4">
        <v>-1.3</v>
      </c>
      <c r="J2338" s="3">
        <v>0.05</v>
      </c>
      <c r="L2338" t="s">
        <v>172</v>
      </c>
      <c r="M2338" t="s">
        <v>171</v>
      </c>
      <c r="N2338" s="3">
        <v>1.3</v>
      </c>
      <c r="O2338" s="3">
        <v>0</v>
      </c>
      <c r="P2338">
        <v>35</v>
      </c>
      <c r="Q2338">
        <v>8.35</v>
      </c>
      <c r="R2338" t="s">
        <v>983</v>
      </c>
      <c r="S2338">
        <v>0.6</v>
      </c>
      <c r="T2338" s="6">
        <f>10^-(14-Q2338)</f>
        <v>2.2387211385683329E-6</v>
      </c>
      <c r="U2338" s="6">
        <v>0.2</v>
      </c>
      <c r="V2338" s="6">
        <v>0.15</v>
      </c>
      <c r="W2338" s="6">
        <v>0</v>
      </c>
      <c r="X2338" s="6">
        <v>0.15</v>
      </c>
      <c r="Y2338" t="s">
        <v>171</v>
      </c>
      <c r="Z2338" s="5">
        <v>-170</v>
      </c>
      <c r="AD2338">
        <v>0.16666666666666666</v>
      </c>
      <c r="AE2338">
        <v>669</v>
      </c>
      <c r="AF2338">
        <v>2</v>
      </c>
      <c r="AG2338" s="9">
        <v>2.4E-2</v>
      </c>
      <c r="AH2338" s="9">
        <v>1.26</v>
      </c>
      <c r="AI2338" s="9">
        <v>0.45</v>
      </c>
      <c r="AJ2338" s="9">
        <v>2.7E-2</v>
      </c>
      <c r="AK2338" s="9">
        <v>2E-3</v>
      </c>
      <c r="AL2338" s="9">
        <v>17.5</v>
      </c>
      <c r="AM2338" s="9">
        <v>6.61</v>
      </c>
      <c r="AN2338" s="9">
        <v>0.09</v>
      </c>
      <c r="AO2338" s="9">
        <v>0.14499999999999999</v>
      </c>
      <c r="AP2338"/>
    </row>
    <row r="2339" spans="1:42" x14ac:dyDescent="0.3">
      <c r="A2339" t="s">
        <v>1809</v>
      </c>
      <c r="B2339" t="s">
        <v>1736</v>
      </c>
      <c r="C2339">
        <v>83</v>
      </c>
      <c r="D2339" s="8">
        <v>1.4318</v>
      </c>
      <c r="E2339">
        <v>600</v>
      </c>
      <c r="G2339" t="s">
        <v>192</v>
      </c>
      <c r="H2339">
        <v>8.35</v>
      </c>
      <c r="I2339" s="4">
        <v>-1.3</v>
      </c>
      <c r="J2339" s="3">
        <v>0.05</v>
      </c>
      <c r="L2339" t="s">
        <v>172</v>
      </c>
      <c r="M2339" t="s">
        <v>171</v>
      </c>
      <c r="N2339" s="3">
        <v>1.3</v>
      </c>
      <c r="O2339" s="3">
        <v>0</v>
      </c>
      <c r="P2339">
        <v>55</v>
      </c>
      <c r="Q2339">
        <v>8.35</v>
      </c>
      <c r="R2339" t="s">
        <v>983</v>
      </c>
      <c r="S2339">
        <v>0.6</v>
      </c>
      <c r="T2339" s="6">
        <f>10^-(14-Q2339)</f>
        <v>2.2387211385683329E-6</v>
      </c>
      <c r="U2339" s="6">
        <v>0.2</v>
      </c>
      <c r="V2339" s="6">
        <v>0.15</v>
      </c>
      <c r="W2339" s="6">
        <v>0</v>
      </c>
      <c r="X2339" s="6">
        <v>0.15</v>
      </c>
      <c r="Y2339" t="s">
        <v>171</v>
      </c>
      <c r="AD2339">
        <v>0.16666666666666666</v>
      </c>
      <c r="AE2339">
        <v>524</v>
      </c>
      <c r="AF2339">
        <v>1</v>
      </c>
      <c r="AG2339" s="9">
        <v>2.4E-2</v>
      </c>
      <c r="AH2339" s="9">
        <v>1.26</v>
      </c>
      <c r="AI2339" s="9">
        <v>0.45</v>
      </c>
      <c r="AJ2339" s="9">
        <v>2.7E-2</v>
      </c>
      <c r="AK2339" s="9">
        <v>2E-3</v>
      </c>
      <c r="AL2339" s="9">
        <v>17.5</v>
      </c>
      <c r="AM2339" s="9">
        <v>6.61</v>
      </c>
      <c r="AN2339" s="9">
        <v>0.09</v>
      </c>
      <c r="AO2339" s="9">
        <v>0.14499999999999999</v>
      </c>
      <c r="AP2339"/>
    </row>
    <row r="2340" spans="1:42" x14ac:dyDescent="0.3">
      <c r="A2340" t="s">
        <v>1824</v>
      </c>
      <c r="B2340" t="s">
        <v>1736</v>
      </c>
      <c r="C2340">
        <v>83</v>
      </c>
      <c r="D2340" s="8">
        <v>1.4318</v>
      </c>
      <c r="E2340">
        <v>600</v>
      </c>
      <c r="G2340" t="s">
        <v>192</v>
      </c>
      <c r="H2340">
        <v>8.35</v>
      </c>
      <c r="I2340" s="4">
        <v>-1.3</v>
      </c>
      <c r="J2340" s="3">
        <v>0.05</v>
      </c>
      <c r="L2340" t="s">
        <v>172</v>
      </c>
      <c r="M2340" t="s">
        <v>171</v>
      </c>
      <c r="N2340" s="3">
        <v>1.3</v>
      </c>
      <c r="O2340" s="3">
        <v>0</v>
      </c>
      <c r="P2340">
        <v>55</v>
      </c>
      <c r="Q2340">
        <v>8.35</v>
      </c>
      <c r="R2340" t="s">
        <v>983</v>
      </c>
      <c r="S2340">
        <v>0.6</v>
      </c>
      <c r="T2340" s="6">
        <f>10^-(14-Q2340)</f>
        <v>2.2387211385683329E-6</v>
      </c>
      <c r="U2340" s="6">
        <v>0.2</v>
      </c>
      <c r="V2340" s="6">
        <v>0.15</v>
      </c>
      <c r="W2340" s="6">
        <v>0</v>
      </c>
      <c r="X2340" s="6">
        <v>0.15</v>
      </c>
      <c r="Y2340" t="s">
        <v>171</v>
      </c>
      <c r="AD2340">
        <v>0.16666666666666666</v>
      </c>
      <c r="AE2340">
        <v>462</v>
      </c>
      <c r="AF2340">
        <v>1</v>
      </c>
      <c r="AG2340" s="9">
        <v>2.4E-2</v>
      </c>
      <c r="AH2340" s="9">
        <v>1.26</v>
      </c>
      <c r="AI2340" s="9">
        <v>0.45</v>
      </c>
      <c r="AJ2340" s="9">
        <v>2.7E-2</v>
      </c>
      <c r="AK2340" s="9">
        <v>2E-3</v>
      </c>
      <c r="AL2340" s="9">
        <v>17.5</v>
      </c>
      <c r="AM2340" s="9">
        <v>6.61</v>
      </c>
      <c r="AN2340" s="9">
        <v>0.09</v>
      </c>
      <c r="AO2340" s="9">
        <v>0.14499999999999999</v>
      </c>
      <c r="AP2340"/>
    </row>
    <row r="2341" spans="1:42" x14ac:dyDescent="0.3">
      <c r="A2341" t="s">
        <v>1835</v>
      </c>
      <c r="B2341" t="s">
        <v>1736</v>
      </c>
      <c r="C2341">
        <v>83</v>
      </c>
      <c r="D2341" s="8">
        <v>1.4318</v>
      </c>
      <c r="F2341">
        <v>0.15000000000000002</v>
      </c>
      <c r="G2341" t="s">
        <v>192</v>
      </c>
      <c r="H2341">
        <v>6.9</v>
      </c>
      <c r="I2341" s="4">
        <v>-1.3</v>
      </c>
      <c r="J2341" s="3">
        <v>0.05</v>
      </c>
      <c r="L2341" t="s">
        <v>172</v>
      </c>
      <c r="M2341" t="s">
        <v>171</v>
      </c>
      <c r="N2341" s="3">
        <v>1.6</v>
      </c>
      <c r="O2341" s="3">
        <v>0</v>
      </c>
      <c r="P2341">
        <v>35</v>
      </c>
      <c r="Q2341">
        <v>6.9</v>
      </c>
      <c r="R2341" t="s">
        <v>983</v>
      </c>
      <c r="S2341">
        <v>0.6</v>
      </c>
      <c r="T2341" s="6">
        <f>10^-(14-Q2341)</f>
        <v>7.943282347242818E-8</v>
      </c>
      <c r="U2341" s="6">
        <v>0.2</v>
      </c>
      <c r="V2341" s="6">
        <v>0.15</v>
      </c>
      <c r="W2341" s="6">
        <v>0</v>
      </c>
      <c r="X2341" s="6">
        <v>0.15</v>
      </c>
      <c r="Y2341" t="s">
        <v>171</v>
      </c>
      <c r="Z2341" s="5">
        <v>-150</v>
      </c>
      <c r="AD2341">
        <v>0.16666666666666666</v>
      </c>
      <c r="AE2341">
        <v>710</v>
      </c>
      <c r="AF2341">
        <v>2</v>
      </c>
      <c r="AG2341" s="9">
        <v>2.4E-2</v>
      </c>
      <c r="AH2341" s="9">
        <v>1.26</v>
      </c>
      <c r="AI2341" s="9">
        <v>0.45</v>
      </c>
      <c r="AJ2341" s="9">
        <v>2.7E-2</v>
      </c>
      <c r="AK2341" s="9">
        <v>2E-3</v>
      </c>
      <c r="AL2341" s="9">
        <v>17.5</v>
      </c>
      <c r="AM2341" s="9">
        <v>6.61</v>
      </c>
      <c r="AN2341" s="9">
        <v>0.09</v>
      </c>
      <c r="AO2341" s="9">
        <v>0.14499999999999999</v>
      </c>
      <c r="AP2341"/>
    </row>
    <row r="2342" spans="1:42" x14ac:dyDescent="0.3">
      <c r="A2342" t="s">
        <v>1846</v>
      </c>
      <c r="B2342" t="s">
        <v>1736</v>
      </c>
      <c r="C2342">
        <v>83</v>
      </c>
      <c r="D2342" s="8">
        <v>1.4318</v>
      </c>
      <c r="F2342">
        <v>0.15000000000000002</v>
      </c>
      <c r="G2342" t="s">
        <v>192</v>
      </c>
      <c r="H2342">
        <v>6.9</v>
      </c>
      <c r="I2342" s="4">
        <v>-1.3</v>
      </c>
      <c r="J2342" s="3">
        <v>0.05</v>
      </c>
      <c r="L2342" t="s">
        <v>172</v>
      </c>
      <c r="M2342" t="s">
        <v>171</v>
      </c>
      <c r="N2342" s="3">
        <v>1.6</v>
      </c>
      <c r="O2342" s="3">
        <v>0</v>
      </c>
      <c r="P2342">
        <v>55</v>
      </c>
      <c r="Q2342">
        <v>6.9</v>
      </c>
      <c r="R2342" t="s">
        <v>983</v>
      </c>
      <c r="S2342">
        <v>0.6</v>
      </c>
      <c r="T2342" s="6">
        <f>10^-(14-Q2342)</f>
        <v>7.943282347242818E-8</v>
      </c>
      <c r="U2342" s="6">
        <v>0.2</v>
      </c>
      <c r="V2342" s="6">
        <v>0.15</v>
      </c>
      <c r="W2342" s="6">
        <v>0</v>
      </c>
      <c r="X2342" s="6">
        <v>0.15</v>
      </c>
      <c r="Y2342" t="s">
        <v>171</v>
      </c>
      <c r="Z2342" s="5">
        <v>-140</v>
      </c>
      <c r="AD2342">
        <v>0.16666666666666666</v>
      </c>
      <c r="AE2342">
        <v>689</v>
      </c>
      <c r="AF2342">
        <v>2</v>
      </c>
      <c r="AG2342" s="9">
        <v>2.4E-2</v>
      </c>
      <c r="AH2342" s="9">
        <v>1.26</v>
      </c>
      <c r="AI2342" s="9">
        <v>0.45</v>
      </c>
      <c r="AJ2342" s="9">
        <v>2.7E-2</v>
      </c>
      <c r="AK2342" s="9">
        <v>2E-3</v>
      </c>
      <c r="AL2342" s="9">
        <v>17.5</v>
      </c>
      <c r="AM2342" s="9">
        <v>6.61</v>
      </c>
      <c r="AN2342" s="9">
        <v>0.09</v>
      </c>
      <c r="AO2342" s="9">
        <v>0.14499999999999999</v>
      </c>
      <c r="AP2342"/>
    </row>
    <row r="2343" spans="1:42" x14ac:dyDescent="0.3">
      <c r="A2343" t="s">
        <v>1857</v>
      </c>
      <c r="B2343" t="s">
        <v>1736</v>
      </c>
      <c r="C2343">
        <v>83</v>
      </c>
      <c r="D2343" s="8">
        <v>1.4318</v>
      </c>
      <c r="F2343">
        <v>0.15000000000000002</v>
      </c>
      <c r="G2343" t="s">
        <v>192</v>
      </c>
      <c r="H2343">
        <v>6.9</v>
      </c>
      <c r="I2343" s="4">
        <v>-1.3</v>
      </c>
      <c r="J2343" s="3">
        <v>0.05</v>
      </c>
      <c r="L2343" t="s">
        <v>172</v>
      </c>
      <c r="M2343" t="s">
        <v>171</v>
      </c>
      <c r="N2343" s="3">
        <v>1.6</v>
      </c>
      <c r="O2343" s="3">
        <v>0</v>
      </c>
      <c r="P2343">
        <v>55</v>
      </c>
      <c r="Q2343">
        <v>6.9</v>
      </c>
      <c r="R2343" t="s">
        <v>983</v>
      </c>
      <c r="S2343">
        <v>0.6</v>
      </c>
      <c r="T2343" s="6">
        <f>10^-(14-Q2343)</f>
        <v>7.943282347242818E-8</v>
      </c>
      <c r="U2343" s="6">
        <v>0.2</v>
      </c>
      <c r="V2343" s="6">
        <v>0.15</v>
      </c>
      <c r="W2343" s="6">
        <v>0</v>
      </c>
      <c r="X2343" s="6">
        <v>0.15</v>
      </c>
      <c r="Y2343" t="s">
        <v>171</v>
      </c>
      <c r="Z2343" s="5">
        <v>-140</v>
      </c>
      <c r="AD2343">
        <v>0.16666666666666666</v>
      </c>
      <c r="AE2343">
        <v>679</v>
      </c>
      <c r="AF2343">
        <v>2</v>
      </c>
      <c r="AG2343" s="9">
        <v>2.4E-2</v>
      </c>
      <c r="AH2343" s="9">
        <v>1.26</v>
      </c>
      <c r="AI2343" s="9">
        <v>0.45</v>
      </c>
      <c r="AJ2343" s="9">
        <v>2.7E-2</v>
      </c>
      <c r="AK2343" s="9">
        <v>2E-3</v>
      </c>
      <c r="AL2343" s="9">
        <v>17.5</v>
      </c>
      <c r="AM2343" s="9">
        <v>6.61</v>
      </c>
      <c r="AN2343" s="9">
        <v>0.09</v>
      </c>
      <c r="AO2343" s="9">
        <v>0.14499999999999999</v>
      </c>
      <c r="AP2343"/>
    </row>
    <row r="2344" spans="1:42" x14ac:dyDescent="0.3">
      <c r="A2344" t="s">
        <v>1876</v>
      </c>
      <c r="B2344" t="s">
        <v>1736</v>
      </c>
      <c r="C2344">
        <v>83</v>
      </c>
      <c r="D2344" s="8">
        <v>1.4318</v>
      </c>
      <c r="F2344">
        <v>0.15000000000000002</v>
      </c>
      <c r="G2344" t="s">
        <v>192</v>
      </c>
      <c r="H2344">
        <v>8.35</v>
      </c>
      <c r="I2344" s="4">
        <v>-1.3</v>
      </c>
      <c r="J2344" s="3">
        <v>0.05</v>
      </c>
      <c r="L2344" t="s">
        <v>172</v>
      </c>
      <c r="M2344" t="s">
        <v>171</v>
      </c>
      <c r="N2344" s="3">
        <v>1.3</v>
      </c>
      <c r="O2344" s="3">
        <v>0</v>
      </c>
      <c r="P2344">
        <v>55</v>
      </c>
      <c r="Q2344">
        <v>8.35</v>
      </c>
      <c r="R2344" t="s">
        <v>983</v>
      </c>
      <c r="S2344">
        <v>0.6</v>
      </c>
      <c r="T2344" s="6">
        <f>10^-(14-Q2344)</f>
        <v>2.2387211385683329E-6</v>
      </c>
      <c r="U2344" s="6">
        <v>0.2</v>
      </c>
      <c r="V2344" s="6">
        <v>0.15</v>
      </c>
      <c r="W2344" s="6">
        <v>0</v>
      </c>
      <c r="X2344" s="6">
        <v>0.15</v>
      </c>
      <c r="Y2344" t="s">
        <v>171</v>
      </c>
      <c r="Z2344" s="5">
        <v>-150</v>
      </c>
      <c r="AD2344">
        <v>0.16666666666666666</v>
      </c>
      <c r="AE2344">
        <v>624</v>
      </c>
      <c r="AF2344">
        <v>2</v>
      </c>
      <c r="AG2344" s="9">
        <v>2.4E-2</v>
      </c>
      <c r="AH2344" s="9">
        <v>1.26</v>
      </c>
      <c r="AI2344" s="9">
        <v>0.45</v>
      </c>
      <c r="AJ2344" s="9">
        <v>2.7E-2</v>
      </c>
      <c r="AK2344" s="9">
        <v>2E-3</v>
      </c>
      <c r="AL2344" s="9">
        <v>17.5</v>
      </c>
      <c r="AM2344" s="9">
        <v>6.61</v>
      </c>
      <c r="AN2344" s="9">
        <v>0.09</v>
      </c>
      <c r="AO2344" s="9">
        <v>0.14499999999999999</v>
      </c>
      <c r="AP2344"/>
    </row>
    <row r="2345" spans="1:42" x14ac:dyDescent="0.3">
      <c r="A2345" t="s">
        <v>1891</v>
      </c>
      <c r="B2345" t="s">
        <v>1736</v>
      </c>
      <c r="C2345">
        <v>83</v>
      </c>
      <c r="D2345" s="8">
        <v>1.4318</v>
      </c>
      <c r="F2345">
        <v>0.15000000000000002</v>
      </c>
      <c r="G2345" t="s">
        <v>192</v>
      </c>
      <c r="H2345">
        <v>8.35</v>
      </c>
      <c r="I2345" s="4">
        <v>-1.3</v>
      </c>
      <c r="J2345" s="3">
        <v>0.05</v>
      </c>
      <c r="L2345" t="s">
        <v>172</v>
      </c>
      <c r="M2345" t="s">
        <v>171</v>
      </c>
      <c r="N2345" s="3">
        <v>1.3</v>
      </c>
      <c r="O2345" s="3">
        <v>0</v>
      </c>
      <c r="P2345">
        <v>55</v>
      </c>
      <c r="Q2345">
        <v>8.35</v>
      </c>
      <c r="R2345" t="s">
        <v>983</v>
      </c>
      <c r="S2345">
        <v>0.6</v>
      </c>
      <c r="T2345" s="6">
        <f>10^-(14-Q2345)</f>
        <v>2.2387211385683329E-6</v>
      </c>
      <c r="U2345" s="6">
        <v>0.2</v>
      </c>
      <c r="V2345" s="6">
        <v>0.15</v>
      </c>
      <c r="W2345" s="6">
        <v>0</v>
      </c>
      <c r="X2345" s="6">
        <v>0.15</v>
      </c>
      <c r="Y2345" t="s">
        <v>171</v>
      </c>
      <c r="Z2345" s="5">
        <v>-150</v>
      </c>
      <c r="AD2345">
        <v>0.16666666666666666</v>
      </c>
      <c r="AE2345">
        <v>622</v>
      </c>
      <c r="AF2345">
        <v>2</v>
      </c>
      <c r="AG2345" s="9">
        <v>2.4E-2</v>
      </c>
      <c r="AH2345" s="9">
        <v>1.26</v>
      </c>
      <c r="AI2345" s="9">
        <v>0.45</v>
      </c>
      <c r="AJ2345" s="9">
        <v>2.7E-2</v>
      </c>
      <c r="AK2345" s="9">
        <v>2E-3</v>
      </c>
      <c r="AL2345" s="9">
        <v>17.5</v>
      </c>
      <c r="AM2345" s="9">
        <v>6.61</v>
      </c>
      <c r="AN2345" s="9">
        <v>0.09</v>
      </c>
      <c r="AO2345" s="9">
        <v>0.14499999999999999</v>
      </c>
      <c r="AP2345"/>
    </row>
    <row r="2346" spans="1:42" x14ac:dyDescent="0.3">
      <c r="A2346" t="s">
        <v>1745</v>
      </c>
      <c r="B2346" t="s">
        <v>1736</v>
      </c>
      <c r="C2346">
        <v>83</v>
      </c>
      <c r="D2346" s="8">
        <v>1.4509000000000001</v>
      </c>
      <c r="E2346">
        <v>600</v>
      </c>
      <c r="G2346" t="s">
        <v>192</v>
      </c>
      <c r="H2346">
        <v>8.35</v>
      </c>
      <c r="I2346" s="4">
        <v>-1.3</v>
      </c>
      <c r="J2346" s="3">
        <v>0.05</v>
      </c>
      <c r="L2346" t="s">
        <v>172</v>
      </c>
      <c r="M2346" t="s">
        <v>171</v>
      </c>
      <c r="N2346" s="3">
        <v>1.3</v>
      </c>
      <c r="O2346" s="3">
        <v>0</v>
      </c>
      <c r="P2346">
        <v>35</v>
      </c>
      <c r="Q2346">
        <v>8.35</v>
      </c>
      <c r="R2346" t="s">
        <v>983</v>
      </c>
      <c r="S2346">
        <v>0.6</v>
      </c>
      <c r="T2346" s="6">
        <f>10^-(14-Q2346)</f>
        <v>2.2387211385683329E-6</v>
      </c>
      <c r="U2346" s="6">
        <v>0.2</v>
      </c>
      <c r="V2346" s="6">
        <v>0.15</v>
      </c>
      <c r="W2346" s="6">
        <v>0</v>
      </c>
      <c r="X2346" s="6">
        <v>0.15</v>
      </c>
      <c r="Y2346" t="s">
        <v>171</v>
      </c>
      <c r="AD2346">
        <v>0.16666666666666666</v>
      </c>
      <c r="AE2346">
        <v>652</v>
      </c>
      <c r="AF2346">
        <v>2</v>
      </c>
      <c r="AG2346" s="9">
        <v>1.7999999999999999E-2</v>
      </c>
      <c r="AH2346" s="9">
        <v>0.36</v>
      </c>
      <c r="AI2346" s="9">
        <v>0.48</v>
      </c>
      <c r="AJ2346" s="9">
        <v>2.9000000000000001E-2</v>
      </c>
      <c r="AK2346" s="9">
        <v>1E-3</v>
      </c>
      <c r="AL2346" s="9">
        <v>18</v>
      </c>
      <c r="AM2346" s="9">
        <v>0.28999999999999998</v>
      </c>
      <c r="AN2346" s="9">
        <v>0.03</v>
      </c>
      <c r="AO2346" s="9">
        <v>2.1000000000000001E-2</v>
      </c>
      <c r="AP2346"/>
    </row>
    <row r="2347" spans="1:42" x14ac:dyDescent="0.3">
      <c r="A2347" t="s">
        <v>1760</v>
      </c>
      <c r="B2347" t="s">
        <v>1736</v>
      </c>
      <c r="C2347">
        <v>83</v>
      </c>
      <c r="D2347" s="8">
        <v>1.4509000000000001</v>
      </c>
      <c r="E2347">
        <v>600</v>
      </c>
      <c r="G2347" t="s">
        <v>192</v>
      </c>
      <c r="H2347">
        <v>8.35</v>
      </c>
      <c r="I2347" s="4">
        <v>-1.3</v>
      </c>
      <c r="J2347" s="3">
        <v>0.05</v>
      </c>
      <c r="L2347" t="s">
        <v>172</v>
      </c>
      <c r="M2347" t="s">
        <v>171</v>
      </c>
      <c r="N2347" s="3">
        <v>1.3</v>
      </c>
      <c r="O2347" s="3">
        <v>0</v>
      </c>
      <c r="P2347">
        <v>35</v>
      </c>
      <c r="Q2347">
        <v>8.35</v>
      </c>
      <c r="R2347" t="s">
        <v>983</v>
      </c>
      <c r="S2347">
        <v>0.6</v>
      </c>
      <c r="T2347" s="6">
        <f>10^-(14-Q2347)</f>
        <v>2.2387211385683329E-6</v>
      </c>
      <c r="U2347" s="6">
        <v>0.2</v>
      </c>
      <c r="V2347" s="6">
        <v>0.15</v>
      </c>
      <c r="W2347" s="6">
        <v>0</v>
      </c>
      <c r="X2347" s="6">
        <v>0.15</v>
      </c>
      <c r="Y2347" t="s">
        <v>171</v>
      </c>
      <c r="AD2347">
        <v>0.16666666666666666</v>
      </c>
      <c r="AE2347">
        <v>651</v>
      </c>
      <c r="AF2347">
        <v>2</v>
      </c>
      <c r="AG2347" s="9">
        <v>1.7999999999999999E-2</v>
      </c>
      <c r="AH2347" s="9">
        <v>0.36</v>
      </c>
      <c r="AI2347" s="9">
        <v>0.48</v>
      </c>
      <c r="AJ2347" s="9">
        <v>2.9000000000000001E-2</v>
      </c>
      <c r="AK2347" s="9">
        <v>1E-3</v>
      </c>
      <c r="AL2347" s="9">
        <v>18</v>
      </c>
      <c r="AM2347" s="9">
        <v>0.28999999999999998</v>
      </c>
      <c r="AN2347" s="9">
        <v>0.03</v>
      </c>
      <c r="AO2347" s="9">
        <v>2.1000000000000001E-2</v>
      </c>
      <c r="AP2347"/>
    </row>
    <row r="2348" spans="1:42" x14ac:dyDescent="0.3">
      <c r="A2348" t="s">
        <v>1775</v>
      </c>
      <c r="B2348" t="s">
        <v>1736</v>
      </c>
      <c r="C2348">
        <v>83</v>
      </c>
      <c r="D2348" s="8">
        <v>1.4509000000000001</v>
      </c>
      <c r="F2348">
        <v>2.98</v>
      </c>
      <c r="G2348" t="s">
        <v>192</v>
      </c>
      <c r="H2348">
        <v>8.35</v>
      </c>
      <c r="I2348" s="4">
        <v>-1.3</v>
      </c>
      <c r="J2348" s="3">
        <v>0.05</v>
      </c>
      <c r="L2348" t="s">
        <v>172</v>
      </c>
      <c r="M2348" t="s">
        <v>171</v>
      </c>
      <c r="N2348" s="3">
        <v>1.3</v>
      </c>
      <c r="O2348" s="3">
        <v>0</v>
      </c>
      <c r="P2348">
        <v>35</v>
      </c>
      <c r="Q2348">
        <v>8.35</v>
      </c>
      <c r="R2348" t="s">
        <v>983</v>
      </c>
      <c r="S2348">
        <v>0.6</v>
      </c>
      <c r="T2348" s="6">
        <f>10^-(14-Q2348)</f>
        <v>2.2387211385683329E-6</v>
      </c>
      <c r="U2348" s="6">
        <v>0.2</v>
      </c>
      <c r="V2348" s="6">
        <v>0.15</v>
      </c>
      <c r="W2348" s="6">
        <v>0</v>
      </c>
      <c r="X2348" s="6">
        <v>0.15</v>
      </c>
      <c r="Y2348" t="s">
        <v>171</v>
      </c>
      <c r="Z2348" s="5">
        <v>-220</v>
      </c>
      <c r="AD2348">
        <v>0.16666666666666666</v>
      </c>
      <c r="AE2348">
        <v>673</v>
      </c>
      <c r="AF2348">
        <v>2</v>
      </c>
      <c r="AG2348" s="9">
        <v>1.7999999999999999E-2</v>
      </c>
      <c r="AH2348" s="9">
        <v>0.36</v>
      </c>
      <c r="AI2348" s="9">
        <v>0.48</v>
      </c>
      <c r="AJ2348" s="9">
        <v>2.9000000000000001E-2</v>
      </c>
      <c r="AK2348" s="9">
        <v>1E-3</v>
      </c>
      <c r="AL2348" s="9">
        <v>18</v>
      </c>
      <c r="AM2348" s="9">
        <v>0.28999999999999998</v>
      </c>
      <c r="AN2348" s="9">
        <v>0.03</v>
      </c>
      <c r="AO2348" s="9">
        <v>2.1000000000000001E-2</v>
      </c>
      <c r="AP2348"/>
    </row>
    <row r="2349" spans="1:42" x14ac:dyDescent="0.3">
      <c r="A2349" t="s">
        <v>1790</v>
      </c>
      <c r="B2349" t="s">
        <v>1736</v>
      </c>
      <c r="C2349">
        <v>83</v>
      </c>
      <c r="D2349" s="8">
        <v>1.4509000000000001</v>
      </c>
      <c r="F2349">
        <v>2.98</v>
      </c>
      <c r="G2349" t="s">
        <v>192</v>
      </c>
      <c r="H2349">
        <v>8.35</v>
      </c>
      <c r="I2349" s="4">
        <v>-1.3</v>
      </c>
      <c r="J2349" s="3">
        <v>0.05</v>
      </c>
      <c r="L2349" t="s">
        <v>172</v>
      </c>
      <c r="M2349" t="s">
        <v>171</v>
      </c>
      <c r="N2349" s="3">
        <v>1.3</v>
      </c>
      <c r="O2349" s="3">
        <v>0</v>
      </c>
      <c r="P2349">
        <v>35</v>
      </c>
      <c r="Q2349">
        <v>8.35</v>
      </c>
      <c r="R2349" t="s">
        <v>983</v>
      </c>
      <c r="S2349">
        <v>0.6</v>
      </c>
      <c r="T2349" s="6">
        <f>10^-(14-Q2349)</f>
        <v>2.2387211385683329E-6</v>
      </c>
      <c r="U2349" s="6">
        <v>0.2</v>
      </c>
      <c r="V2349" s="6">
        <v>0.15</v>
      </c>
      <c r="W2349" s="6">
        <v>0</v>
      </c>
      <c r="X2349" s="6">
        <v>0.15</v>
      </c>
      <c r="Y2349" t="s">
        <v>171</v>
      </c>
      <c r="Z2349" s="5">
        <v>-220</v>
      </c>
      <c r="AD2349">
        <v>0.16666666666666666</v>
      </c>
      <c r="AE2349">
        <v>675</v>
      </c>
      <c r="AF2349">
        <v>2</v>
      </c>
      <c r="AG2349" s="9">
        <v>1.7999999999999999E-2</v>
      </c>
      <c r="AH2349" s="9">
        <v>0.36</v>
      </c>
      <c r="AI2349" s="9">
        <v>0.48</v>
      </c>
      <c r="AJ2349" s="9">
        <v>2.9000000000000001E-2</v>
      </c>
      <c r="AK2349" s="9">
        <v>1E-3</v>
      </c>
      <c r="AL2349" s="9">
        <v>18</v>
      </c>
      <c r="AM2349" s="9">
        <v>0.28999999999999998</v>
      </c>
      <c r="AN2349" s="9">
        <v>0.03</v>
      </c>
      <c r="AO2349" s="9">
        <v>2.1000000000000001E-2</v>
      </c>
      <c r="AP2349"/>
    </row>
    <row r="2350" spans="1:42" x14ac:dyDescent="0.3">
      <c r="A2350" t="s">
        <v>1805</v>
      </c>
      <c r="B2350" t="s">
        <v>1736</v>
      </c>
      <c r="C2350">
        <v>83</v>
      </c>
      <c r="D2350" s="8">
        <v>1.4509000000000001</v>
      </c>
      <c r="E2350">
        <v>600</v>
      </c>
      <c r="G2350" t="s">
        <v>192</v>
      </c>
      <c r="H2350">
        <v>8.35</v>
      </c>
      <c r="I2350" s="4">
        <v>-1.3</v>
      </c>
      <c r="J2350" s="3">
        <v>0.05</v>
      </c>
      <c r="L2350" t="s">
        <v>172</v>
      </c>
      <c r="M2350" t="s">
        <v>171</v>
      </c>
      <c r="N2350" s="3">
        <v>1.3</v>
      </c>
      <c r="O2350" s="3">
        <v>0</v>
      </c>
      <c r="P2350">
        <v>55</v>
      </c>
      <c r="Q2350">
        <v>8.35</v>
      </c>
      <c r="R2350" t="s">
        <v>983</v>
      </c>
      <c r="S2350">
        <v>0.6</v>
      </c>
      <c r="T2350" s="6">
        <f>10^-(14-Q2350)</f>
        <v>2.2387211385683329E-6</v>
      </c>
      <c r="U2350" s="6">
        <v>0.2</v>
      </c>
      <c r="V2350" s="6">
        <v>0.15</v>
      </c>
      <c r="W2350" s="6">
        <v>0</v>
      </c>
      <c r="X2350" s="6">
        <v>0.15</v>
      </c>
      <c r="Y2350" t="s">
        <v>171</v>
      </c>
      <c r="AD2350">
        <v>0.16666666666666666</v>
      </c>
      <c r="AE2350">
        <v>350</v>
      </c>
      <c r="AF2350">
        <v>1</v>
      </c>
      <c r="AG2350" s="9">
        <v>1.7999999999999999E-2</v>
      </c>
      <c r="AH2350" s="9">
        <v>0.36</v>
      </c>
      <c r="AI2350" s="9">
        <v>0.48</v>
      </c>
      <c r="AJ2350" s="9">
        <v>2.9000000000000001E-2</v>
      </c>
      <c r="AK2350" s="9">
        <v>1E-3</v>
      </c>
      <c r="AL2350" s="9">
        <v>18</v>
      </c>
      <c r="AM2350" s="9">
        <v>0.28999999999999998</v>
      </c>
      <c r="AN2350" s="9">
        <v>0.03</v>
      </c>
      <c r="AO2350" s="9">
        <v>2.1000000000000001E-2</v>
      </c>
      <c r="AP2350"/>
    </row>
    <row r="2351" spans="1:42" x14ac:dyDescent="0.3">
      <c r="A2351" t="s">
        <v>1820</v>
      </c>
      <c r="B2351" t="s">
        <v>1736</v>
      </c>
      <c r="C2351">
        <v>83</v>
      </c>
      <c r="D2351" s="8">
        <v>1.4509000000000001</v>
      </c>
      <c r="E2351">
        <v>600</v>
      </c>
      <c r="G2351" t="s">
        <v>192</v>
      </c>
      <c r="H2351">
        <v>8.35</v>
      </c>
      <c r="I2351" s="4">
        <v>-1.3</v>
      </c>
      <c r="J2351" s="3">
        <v>0.05</v>
      </c>
      <c r="L2351" t="s">
        <v>172</v>
      </c>
      <c r="M2351" t="s">
        <v>171</v>
      </c>
      <c r="N2351" s="3">
        <v>1.3</v>
      </c>
      <c r="O2351" s="3">
        <v>0</v>
      </c>
      <c r="P2351">
        <v>55</v>
      </c>
      <c r="Q2351">
        <v>8.35</v>
      </c>
      <c r="R2351" t="s">
        <v>983</v>
      </c>
      <c r="S2351">
        <v>0.6</v>
      </c>
      <c r="T2351" s="6">
        <f>10^-(14-Q2351)</f>
        <v>2.2387211385683329E-6</v>
      </c>
      <c r="U2351" s="6">
        <v>0.2</v>
      </c>
      <c r="V2351" s="6">
        <v>0.15</v>
      </c>
      <c r="W2351" s="6">
        <v>0</v>
      </c>
      <c r="X2351" s="6">
        <v>0.15</v>
      </c>
      <c r="Y2351" t="s">
        <v>171</v>
      </c>
      <c r="AD2351">
        <v>0.16666666666666666</v>
      </c>
      <c r="AE2351">
        <v>264</v>
      </c>
      <c r="AF2351">
        <v>1</v>
      </c>
      <c r="AG2351" s="9">
        <v>1.7999999999999999E-2</v>
      </c>
      <c r="AH2351" s="9">
        <v>0.36</v>
      </c>
      <c r="AI2351" s="9">
        <v>0.48</v>
      </c>
      <c r="AJ2351" s="9">
        <v>2.9000000000000001E-2</v>
      </c>
      <c r="AK2351" s="9">
        <v>1E-3</v>
      </c>
      <c r="AL2351" s="9">
        <v>18</v>
      </c>
      <c r="AM2351" s="9">
        <v>0.28999999999999998</v>
      </c>
      <c r="AN2351" s="9">
        <v>0.03</v>
      </c>
      <c r="AO2351" s="9">
        <v>2.1000000000000001E-2</v>
      </c>
      <c r="AP2351"/>
    </row>
    <row r="2352" spans="1:42" x14ac:dyDescent="0.3">
      <c r="A2352" t="s">
        <v>1842</v>
      </c>
      <c r="B2352" t="s">
        <v>1736</v>
      </c>
      <c r="C2352">
        <v>83</v>
      </c>
      <c r="D2352" s="8">
        <v>1.4509000000000001</v>
      </c>
      <c r="F2352">
        <v>2.98</v>
      </c>
      <c r="G2352" t="s">
        <v>192</v>
      </c>
      <c r="H2352">
        <v>6.9</v>
      </c>
      <c r="I2352" s="4">
        <v>-1.3</v>
      </c>
      <c r="J2352" s="3">
        <v>0.05</v>
      </c>
      <c r="L2352" t="s">
        <v>172</v>
      </c>
      <c r="M2352" t="s">
        <v>171</v>
      </c>
      <c r="N2352" s="3">
        <v>1.6</v>
      </c>
      <c r="O2352" s="3">
        <v>0</v>
      </c>
      <c r="P2352">
        <v>55</v>
      </c>
      <c r="Q2352">
        <v>6.9</v>
      </c>
      <c r="R2352" t="s">
        <v>983</v>
      </c>
      <c r="S2352">
        <v>0.6</v>
      </c>
      <c r="T2352" s="6">
        <f>10^-(14-Q2352)</f>
        <v>7.943282347242818E-8</v>
      </c>
      <c r="U2352" s="6">
        <v>0.2</v>
      </c>
      <c r="V2352" s="6">
        <v>0.15</v>
      </c>
      <c r="W2352" s="6">
        <v>0</v>
      </c>
      <c r="X2352" s="6">
        <v>0.15</v>
      </c>
      <c r="Y2352" t="s">
        <v>171</v>
      </c>
      <c r="Z2352" s="5">
        <v>-220</v>
      </c>
      <c r="AD2352">
        <v>0.16666666666666666</v>
      </c>
      <c r="AE2352">
        <v>91</v>
      </c>
      <c r="AF2352">
        <v>1</v>
      </c>
      <c r="AG2352" s="9">
        <v>1.7999999999999999E-2</v>
      </c>
      <c r="AH2352" s="9">
        <v>0.36</v>
      </c>
      <c r="AI2352" s="9">
        <v>0.48</v>
      </c>
      <c r="AJ2352" s="9">
        <v>2.9000000000000001E-2</v>
      </c>
      <c r="AK2352" s="9">
        <v>1E-3</v>
      </c>
      <c r="AL2352" s="9">
        <v>18</v>
      </c>
      <c r="AM2352" s="9">
        <v>0.28999999999999998</v>
      </c>
      <c r="AN2352" s="9">
        <v>0.03</v>
      </c>
      <c r="AO2352" s="9">
        <v>2.1000000000000001E-2</v>
      </c>
      <c r="AP2352"/>
    </row>
    <row r="2353" spans="1:42" x14ac:dyDescent="0.3">
      <c r="A2353" t="s">
        <v>1853</v>
      </c>
      <c r="B2353" t="s">
        <v>1736</v>
      </c>
      <c r="C2353">
        <v>83</v>
      </c>
      <c r="D2353" s="8">
        <v>1.4509000000000001</v>
      </c>
      <c r="F2353">
        <v>2.98</v>
      </c>
      <c r="G2353" t="s">
        <v>192</v>
      </c>
      <c r="H2353">
        <v>6.9</v>
      </c>
      <c r="I2353" s="4">
        <v>-1.3</v>
      </c>
      <c r="J2353" s="3">
        <v>0.05</v>
      </c>
      <c r="L2353" t="s">
        <v>172</v>
      </c>
      <c r="M2353" t="s">
        <v>171</v>
      </c>
      <c r="N2353" s="3">
        <v>1.6</v>
      </c>
      <c r="O2353" s="3">
        <v>0</v>
      </c>
      <c r="P2353">
        <v>55</v>
      </c>
      <c r="Q2353">
        <v>6.9</v>
      </c>
      <c r="R2353" t="s">
        <v>983</v>
      </c>
      <c r="S2353">
        <v>0.6</v>
      </c>
      <c r="T2353" s="6">
        <f>10^-(14-Q2353)</f>
        <v>7.943282347242818E-8</v>
      </c>
      <c r="U2353" s="6">
        <v>0.2</v>
      </c>
      <c r="V2353" s="6">
        <v>0.15</v>
      </c>
      <c r="W2353" s="6">
        <v>0</v>
      </c>
      <c r="X2353" s="6">
        <v>0.15</v>
      </c>
      <c r="Y2353" t="s">
        <v>171</v>
      </c>
      <c r="Z2353" s="5">
        <v>-220</v>
      </c>
      <c r="AD2353">
        <v>0.16666666666666666</v>
      </c>
      <c r="AE2353">
        <v>20</v>
      </c>
      <c r="AF2353">
        <v>1</v>
      </c>
      <c r="AG2353" s="9">
        <v>1.7999999999999999E-2</v>
      </c>
      <c r="AH2353" s="9">
        <v>0.36</v>
      </c>
      <c r="AI2353" s="9">
        <v>0.48</v>
      </c>
      <c r="AJ2353" s="9">
        <v>2.9000000000000001E-2</v>
      </c>
      <c r="AK2353" s="9">
        <v>1E-3</v>
      </c>
      <c r="AL2353" s="9">
        <v>18</v>
      </c>
      <c r="AM2353" s="9">
        <v>0.28999999999999998</v>
      </c>
      <c r="AN2353" s="9">
        <v>0.03</v>
      </c>
      <c r="AO2353" s="9">
        <v>2.1000000000000001E-2</v>
      </c>
      <c r="AP2353"/>
    </row>
    <row r="2354" spans="1:42" x14ac:dyDescent="0.3">
      <c r="A2354" t="s">
        <v>1872</v>
      </c>
      <c r="B2354" t="s">
        <v>1736</v>
      </c>
      <c r="C2354">
        <v>83</v>
      </c>
      <c r="D2354" s="8">
        <v>1.4509000000000001</v>
      </c>
      <c r="F2354">
        <v>2.98</v>
      </c>
      <c r="G2354" t="s">
        <v>192</v>
      </c>
      <c r="H2354">
        <v>8.35</v>
      </c>
      <c r="I2354" s="4">
        <v>-1.3</v>
      </c>
      <c r="J2354" s="3">
        <v>0.05</v>
      </c>
      <c r="L2354" t="s">
        <v>172</v>
      </c>
      <c r="M2354" t="s">
        <v>171</v>
      </c>
      <c r="N2354" s="3">
        <v>1.3</v>
      </c>
      <c r="O2354" s="3">
        <v>0</v>
      </c>
      <c r="P2354">
        <v>55</v>
      </c>
      <c r="Q2354">
        <v>8.35</v>
      </c>
      <c r="R2354" t="s">
        <v>983</v>
      </c>
      <c r="S2354">
        <v>0.6</v>
      </c>
      <c r="T2354" s="6">
        <f>10^-(14-Q2354)</f>
        <v>2.2387211385683329E-6</v>
      </c>
      <c r="U2354" s="6">
        <v>0.2</v>
      </c>
      <c r="V2354" s="6">
        <v>0.15</v>
      </c>
      <c r="W2354" s="6">
        <v>0</v>
      </c>
      <c r="X2354" s="6">
        <v>0.15</v>
      </c>
      <c r="Y2354" t="s">
        <v>171</v>
      </c>
      <c r="Z2354" s="5">
        <v>-210</v>
      </c>
      <c r="AD2354">
        <v>0.16666666666666666</v>
      </c>
      <c r="AE2354">
        <v>642</v>
      </c>
      <c r="AF2354">
        <v>2</v>
      </c>
      <c r="AG2354" s="9">
        <v>1.7999999999999999E-2</v>
      </c>
      <c r="AH2354" s="9">
        <v>0.36</v>
      </c>
      <c r="AI2354" s="9">
        <v>0.48</v>
      </c>
      <c r="AJ2354" s="9">
        <v>2.9000000000000001E-2</v>
      </c>
      <c r="AK2354" s="9">
        <v>1E-3</v>
      </c>
      <c r="AL2354" s="9">
        <v>18</v>
      </c>
      <c r="AM2354" s="9">
        <v>0.28999999999999998</v>
      </c>
      <c r="AN2354" s="9">
        <v>0.03</v>
      </c>
      <c r="AO2354" s="9">
        <v>2.1000000000000001E-2</v>
      </c>
      <c r="AP2354"/>
    </row>
    <row r="2355" spans="1:42" x14ac:dyDescent="0.3">
      <c r="A2355" t="s">
        <v>1887</v>
      </c>
      <c r="B2355" t="s">
        <v>1736</v>
      </c>
      <c r="C2355">
        <v>83</v>
      </c>
      <c r="D2355" s="8">
        <v>1.4509000000000001</v>
      </c>
      <c r="F2355">
        <v>2.98</v>
      </c>
      <c r="G2355" t="s">
        <v>192</v>
      </c>
      <c r="H2355">
        <v>8.35</v>
      </c>
      <c r="I2355" s="4">
        <v>-1.3</v>
      </c>
      <c r="J2355" s="3">
        <v>0.05</v>
      </c>
      <c r="L2355" t="s">
        <v>172</v>
      </c>
      <c r="M2355" t="s">
        <v>171</v>
      </c>
      <c r="N2355" s="3">
        <v>1.3</v>
      </c>
      <c r="O2355" s="3">
        <v>0</v>
      </c>
      <c r="P2355">
        <v>55</v>
      </c>
      <c r="Q2355">
        <v>8.35</v>
      </c>
      <c r="R2355" t="s">
        <v>983</v>
      </c>
      <c r="S2355">
        <v>0.6</v>
      </c>
      <c r="T2355" s="6">
        <f>10^-(14-Q2355)</f>
        <v>2.2387211385683329E-6</v>
      </c>
      <c r="U2355" s="6">
        <v>0.2</v>
      </c>
      <c r="V2355" s="6">
        <v>0.15</v>
      </c>
      <c r="W2355" s="6">
        <v>0</v>
      </c>
      <c r="X2355" s="6">
        <v>0.15</v>
      </c>
      <c r="Y2355" t="s">
        <v>171</v>
      </c>
      <c r="Z2355" s="5">
        <v>-210</v>
      </c>
      <c r="AD2355">
        <v>0.16666666666666666</v>
      </c>
      <c r="AE2355">
        <v>600</v>
      </c>
      <c r="AF2355">
        <v>2</v>
      </c>
      <c r="AG2355" s="9">
        <v>1.7999999999999999E-2</v>
      </c>
      <c r="AH2355" s="9">
        <v>0.36</v>
      </c>
      <c r="AI2355" s="9">
        <v>0.48</v>
      </c>
      <c r="AJ2355" s="9">
        <v>2.9000000000000001E-2</v>
      </c>
      <c r="AK2355" s="9">
        <v>1E-3</v>
      </c>
      <c r="AL2355" s="9">
        <v>18</v>
      </c>
      <c r="AM2355" s="9">
        <v>0.28999999999999998</v>
      </c>
      <c r="AN2355" s="9">
        <v>0.03</v>
      </c>
      <c r="AO2355" s="9">
        <v>2.1000000000000001E-2</v>
      </c>
      <c r="AP2355"/>
    </row>
    <row r="2356" spans="1:42" x14ac:dyDescent="0.3">
      <c r="A2356" t="s">
        <v>1744</v>
      </c>
      <c r="B2356" t="s">
        <v>1736</v>
      </c>
      <c r="C2356">
        <v>83</v>
      </c>
      <c r="D2356" s="8">
        <v>1.4509000000000001</v>
      </c>
      <c r="E2356">
        <v>600</v>
      </c>
      <c r="G2356" t="s">
        <v>192</v>
      </c>
      <c r="H2356">
        <v>8.35</v>
      </c>
      <c r="I2356" s="4">
        <v>-1.3</v>
      </c>
      <c r="J2356" s="3">
        <v>0.05</v>
      </c>
      <c r="L2356" t="s">
        <v>172</v>
      </c>
      <c r="M2356" t="s">
        <v>171</v>
      </c>
      <c r="N2356" s="3">
        <v>1.3</v>
      </c>
      <c r="O2356" s="3">
        <v>0</v>
      </c>
      <c r="P2356">
        <v>35</v>
      </c>
      <c r="Q2356">
        <v>8.35</v>
      </c>
      <c r="R2356" t="s">
        <v>983</v>
      </c>
      <c r="S2356">
        <v>0.6</v>
      </c>
      <c r="T2356" s="6">
        <f>10^-(14-Q2356)</f>
        <v>2.2387211385683329E-6</v>
      </c>
      <c r="U2356" s="6">
        <v>0.2</v>
      </c>
      <c r="V2356" s="6">
        <v>0.15</v>
      </c>
      <c r="W2356" s="6">
        <v>0</v>
      </c>
      <c r="X2356" s="6">
        <v>0.15</v>
      </c>
      <c r="Y2356" t="s">
        <v>171</v>
      </c>
      <c r="AD2356">
        <v>0.16666666666666666</v>
      </c>
      <c r="AE2356">
        <v>660</v>
      </c>
      <c r="AF2356">
        <v>2</v>
      </c>
      <c r="AG2356" s="9">
        <v>0.02</v>
      </c>
      <c r="AH2356" s="9">
        <v>0.44</v>
      </c>
      <c r="AI2356" s="9">
        <v>0.56000000000000005</v>
      </c>
      <c r="AJ2356" s="9">
        <v>2.5000000000000001E-2</v>
      </c>
      <c r="AK2356" s="9">
        <v>1E-3</v>
      </c>
      <c r="AL2356" s="9">
        <v>18.2</v>
      </c>
      <c r="AM2356" s="9">
        <v>0.18</v>
      </c>
      <c r="AN2356" s="9">
        <v>0.05</v>
      </c>
      <c r="AO2356" s="9">
        <v>2.4E-2</v>
      </c>
      <c r="AP2356"/>
    </row>
    <row r="2357" spans="1:42" x14ac:dyDescent="0.3">
      <c r="A2357" t="s">
        <v>1759</v>
      </c>
      <c r="B2357" t="s">
        <v>1736</v>
      </c>
      <c r="C2357">
        <v>83</v>
      </c>
      <c r="D2357" s="8">
        <v>1.4509000000000001</v>
      </c>
      <c r="E2357">
        <v>600</v>
      </c>
      <c r="G2357" t="s">
        <v>192</v>
      </c>
      <c r="H2357">
        <v>8.35</v>
      </c>
      <c r="I2357" s="4">
        <v>-1.3</v>
      </c>
      <c r="J2357" s="3">
        <v>0.05</v>
      </c>
      <c r="L2357" t="s">
        <v>172</v>
      </c>
      <c r="M2357" t="s">
        <v>171</v>
      </c>
      <c r="N2357" s="3">
        <v>1.3</v>
      </c>
      <c r="O2357" s="3">
        <v>0</v>
      </c>
      <c r="P2357">
        <v>35</v>
      </c>
      <c r="Q2357">
        <v>8.35</v>
      </c>
      <c r="R2357" t="s">
        <v>983</v>
      </c>
      <c r="S2357">
        <v>0.6</v>
      </c>
      <c r="T2357" s="6">
        <f>10^-(14-Q2357)</f>
        <v>2.2387211385683329E-6</v>
      </c>
      <c r="U2357" s="6">
        <v>0.2</v>
      </c>
      <c r="V2357" s="6">
        <v>0.15</v>
      </c>
      <c r="W2357" s="6">
        <v>0</v>
      </c>
      <c r="X2357" s="6">
        <v>0.15</v>
      </c>
      <c r="Y2357" t="s">
        <v>171</v>
      </c>
      <c r="AD2357">
        <v>0.16666666666666666</v>
      </c>
      <c r="AE2357">
        <v>648</v>
      </c>
      <c r="AF2357">
        <v>2</v>
      </c>
      <c r="AG2357" s="9">
        <v>0.02</v>
      </c>
      <c r="AH2357" s="9">
        <v>0.44</v>
      </c>
      <c r="AI2357" s="9">
        <v>0.56000000000000005</v>
      </c>
      <c r="AJ2357" s="9">
        <v>2.5000000000000001E-2</v>
      </c>
      <c r="AK2357" s="9">
        <v>1E-3</v>
      </c>
      <c r="AL2357" s="9">
        <v>18.2</v>
      </c>
      <c r="AM2357" s="9">
        <v>0.18</v>
      </c>
      <c r="AN2357" s="9">
        <v>0.05</v>
      </c>
      <c r="AO2357" s="9">
        <v>2.4E-2</v>
      </c>
      <c r="AP2357"/>
    </row>
    <row r="2358" spans="1:42" x14ac:dyDescent="0.3">
      <c r="A2358" t="s">
        <v>1774</v>
      </c>
      <c r="B2358" t="s">
        <v>1736</v>
      </c>
      <c r="C2358">
        <v>83</v>
      </c>
      <c r="D2358" s="8">
        <v>1.4509000000000001</v>
      </c>
      <c r="F2358">
        <v>0.11000000000000001</v>
      </c>
      <c r="G2358" t="s">
        <v>192</v>
      </c>
      <c r="H2358">
        <v>8.35</v>
      </c>
      <c r="I2358" s="4">
        <v>-1.3</v>
      </c>
      <c r="J2358" s="3">
        <v>0.05</v>
      </c>
      <c r="L2358" t="s">
        <v>172</v>
      </c>
      <c r="M2358" t="s">
        <v>171</v>
      </c>
      <c r="N2358" s="3">
        <v>1.3</v>
      </c>
      <c r="O2358" s="3">
        <v>0</v>
      </c>
      <c r="P2358">
        <v>35</v>
      </c>
      <c r="Q2358">
        <v>8.35</v>
      </c>
      <c r="R2358" t="s">
        <v>983</v>
      </c>
      <c r="S2358">
        <v>0.6</v>
      </c>
      <c r="T2358" s="6">
        <f>10^-(14-Q2358)</f>
        <v>2.2387211385683329E-6</v>
      </c>
      <c r="U2358" s="6">
        <v>0.2</v>
      </c>
      <c r="V2358" s="6">
        <v>0.15</v>
      </c>
      <c r="W2358" s="6">
        <v>0</v>
      </c>
      <c r="X2358" s="6">
        <v>0.15</v>
      </c>
      <c r="Y2358" t="s">
        <v>171</v>
      </c>
      <c r="Z2358" s="5">
        <v>-120</v>
      </c>
      <c r="AD2358">
        <v>0.16666666666666666</v>
      </c>
      <c r="AE2358">
        <v>674</v>
      </c>
      <c r="AF2358">
        <v>2</v>
      </c>
      <c r="AG2358" s="9">
        <v>0.02</v>
      </c>
      <c r="AH2358" s="9">
        <v>0.44</v>
      </c>
      <c r="AI2358" s="9">
        <v>0.56000000000000005</v>
      </c>
      <c r="AJ2358" s="9">
        <v>2.5000000000000001E-2</v>
      </c>
      <c r="AK2358" s="9">
        <v>1E-3</v>
      </c>
      <c r="AL2358" s="9">
        <v>18.2</v>
      </c>
      <c r="AM2358" s="9">
        <v>0.18</v>
      </c>
      <c r="AN2358" s="9">
        <v>0.05</v>
      </c>
      <c r="AO2358" s="9">
        <v>2.4E-2</v>
      </c>
      <c r="AP2358"/>
    </row>
    <row r="2359" spans="1:42" x14ac:dyDescent="0.3">
      <c r="A2359" t="s">
        <v>1789</v>
      </c>
      <c r="B2359" t="s">
        <v>1736</v>
      </c>
      <c r="C2359">
        <v>83</v>
      </c>
      <c r="D2359" s="8">
        <v>1.4509000000000001</v>
      </c>
      <c r="F2359">
        <v>0.11000000000000001</v>
      </c>
      <c r="G2359" t="s">
        <v>192</v>
      </c>
      <c r="H2359">
        <v>8.35</v>
      </c>
      <c r="I2359" s="4">
        <v>-1.3</v>
      </c>
      <c r="J2359" s="3">
        <v>0.05</v>
      </c>
      <c r="L2359" t="s">
        <v>172</v>
      </c>
      <c r="M2359" t="s">
        <v>171</v>
      </c>
      <c r="N2359" s="3">
        <v>1.3</v>
      </c>
      <c r="O2359" s="3">
        <v>0</v>
      </c>
      <c r="P2359">
        <v>35</v>
      </c>
      <c r="Q2359">
        <v>8.35</v>
      </c>
      <c r="R2359" t="s">
        <v>983</v>
      </c>
      <c r="S2359">
        <v>0.6</v>
      </c>
      <c r="T2359" s="6">
        <f>10^-(14-Q2359)</f>
        <v>2.2387211385683329E-6</v>
      </c>
      <c r="U2359" s="6">
        <v>0.2</v>
      </c>
      <c r="V2359" s="6">
        <v>0.15</v>
      </c>
      <c r="W2359" s="6">
        <v>0</v>
      </c>
      <c r="X2359" s="6">
        <v>0.15</v>
      </c>
      <c r="Y2359" t="s">
        <v>171</v>
      </c>
      <c r="Z2359" s="5">
        <v>-120</v>
      </c>
      <c r="AD2359">
        <v>0.16666666666666666</v>
      </c>
      <c r="AE2359">
        <v>665</v>
      </c>
      <c r="AF2359">
        <v>2</v>
      </c>
      <c r="AG2359" s="9">
        <v>0.02</v>
      </c>
      <c r="AH2359" s="9">
        <v>0.44</v>
      </c>
      <c r="AI2359" s="9">
        <v>0.56000000000000005</v>
      </c>
      <c r="AJ2359" s="9">
        <v>2.5000000000000001E-2</v>
      </c>
      <c r="AK2359" s="9">
        <v>1E-3</v>
      </c>
      <c r="AL2359" s="9">
        <v>18.2</v>
      </c>
      <c r="AM2359" s="9">
        <v>0.18</v>
      </c>
      <c r="AN2359" s="9">
        <v>0.05</v>
      </c>
      <c r="AO2359" s="9">
        <v>2.4E-2</v>
      </c>
      <c r="AP2359"/>
    </row>
    <row r="2360" spans="1:42" x14ac:dyDescent="0.3">
      <c r="A2360" t="s">
        <v>1804</v>
      </c>
      <c r="B2360" t="s">
        <v>1736</v>
      </c>
      <c r="C2360">
        <v>83</v>
      </c>
      <c r="D2360" s="8">
        <v>1.4509000000000001</v>
      </c>
      <c r="E2360">
        <v>600</v>
      </c>
      <c r="G2360" t="s">
        <v>192</v>
      </c>
      <c r="H2360">
        <v>8.35</v>
      </c>
      <c r="I2360" s="4">
        <v>-1.3</v>
      </c>
      <c r="J2360" s="3">
        <v>0.05</v>
      </c>
      <c r="L2360" t="s">
        <v>172</v>
      </c>
      <c r="M2360" t="s">
        <v>171</v>
      </c>
      <c r="N2360" s="3">
        <v>1.3</v>
      </c>
      <c r="O2360" s="3">
        <v>0</v>
      </c>
      <c r="P2360">
        <v>55</v>
      </c>
      <c r="Q2360">
        <v>8.35</v>
      </c>
      <c r="R2360" t="s">
        <v>983</v>
      </c>
      <c r="S2360">
        <v>0.6</v>
      </c>
      <c r="T2360" s="6">
        <f>10^-(14-Q2360)</f>
        <v>2.2387211385683329E-6</v>
      </c>
      <c r="U2360" s="6">
        <v>0.2</v>
      </c>
      <c r="V2360" s="6">
        <v>0.15</v>
      </c>
      <c r="W2360" s="6">
        <v>0</v>
      </c>
      <c r="X2360" s="6">
        <v>0.15</v>
      </c>
      <c r="Y2360" t="s">
        <v>171</v>
      </c>
      <c r="AD2360">
        <v>0.16666666666666666</v>
      </c>
      <c r="AE2360">
        <v>96</v>
      </c>
      <c r="AF2360">
        <v>1</v>
      </c>
      <c r="AG2360" s="9">
        <v>0.02</v>
      </c>
      <c r="AH2360" s="9">
        <v>0.44</v>
      </c>
      <c r="AI2360" s="9">
        <v>0.56000000000000005</v>
      </c>
      <c r="AJ2360" s="9">
        <v>2.5000000000000001E-2</v>
      </c>
      <c r="AK2360" s="9">
        <v>1E-3</v>
      </c>
      <c r="AL2360" s="9">
        <v>18.2</v>
      </c>
      <c r="AM2360" s="9">
        <v>0.18</v>
      </c>
      <c r="AN2360" s="9">
        <v>0.05</v>
      </c>
      <c r="AO2360" s="9">
        <v>2.4E-2</v>
      </c>
      <c r="AP2360"/>
    </row>
    <row r="2361" spans="1:42" x14ac:dyDescent="0.3">
      <c r="A2361" t="s">
        <v>1819</v>
      </c>
      <c r="B2361" t="s">
        <v>1736</v>
      </c>
      <c r="C2361">
        <v>83</v>
      </c>
      <c r="D2361" s="8">
        <v>1.4509000000000001</v>
      </c>
      <c r="E2361">
        <v>600</v>
      </c>
      <c r="G2361" t="s">
        <v>192</v>
      </c>
      <c r="H2361">
        <v>8.35</v>
      </c>
      <c r="I2361" s="4">
        <v>-1.3</v>
      </c>
      <c r="J2361" s="3">
        <v>0.05</v>
      </c>
      <c r="L2361" t="s">
        <v>172</v>
      </c>
      <c r="M2361" t="s">
        <v>171</v>
      </c>
      <c r="N2361" s="3">
        <v>1.3</v>
      </c>
      <c r="O2361" s="3">
        <v>0</v>
      </c>
      <c r="P2361">
        <v>55</v>
      </c>
      <c r="Q2361">
        <v>8.35</v>
      </c>
      <c r="R2361" t="s">
        <v>983</v>
      </c>
      <c r="S2361">
        <v>0.6</v>
      </c>
      <c r="T2361" s="6">
        <f>10^-(14-Q2361)</f>
        <v>2.2387211385683329E-6</v>
      </c>
      <c r="U2361" s="6">
        <v>0.2</v>
      </c>
      <c r="V2361" s="6">
        <v>0.15</v>
      </c>
      <c r="W2361" s="6">
        <v>0</v>
      </c>
      <c r="X2361" s="6">
        <v>0.15</v>
      </c>
      <c r="Y2361" t="s">
        <v>171</v>
      </c>
      <c r="AD2361">
        <v>0.16666666666666666</v>
      </c>
      <c r="AE2361">
        <v>44</v>
      </c>
      <c r="AF2361">
        <v>1</v>
      </c>
      <c r="AG2361" s="9">
        <v>0.02</v>
      </c>
      <c r="AH2361" s="9">
        <v>0.44</v>
      </c>
      <c r="AI2361" s="9">
        <v>0.56000000000000005</v>
      </c>
      <c r="AJ2361" s="9">
        <v>2.5000000000000001E-2</v>
      </c>
      <c r="AK2361" s="9">
        <v>1E-3</v>
      </c>
      <c r="AL2361" s="9">
        <v>18.2</v>
      </c>
      <c r="AM2361" s="9">
        <v>0.18</v>
      </c>
      <c r="AN2361" s="9">
        <v>0.05</v>
      </c>
      <c r="AO2361" s="9">
        <v>2.4E-2</v>
      </c>
      <c r="AP2361"/>
    </row>
    <row r="2362" spans="1:42" x14ac:dyDescent="0.3">
      <c r="A2362" t="s">
        <v>1834</v>
      </c>
      <c r="B2362" t="s">
        <v>1736</v>
      </c>
      <c r="C2362">
        <v>83</v>
      </c>
      <c r="D2362" s="8">
        <v>1.4661999999999999</v>
      </c>
      <c r="F2362">
        <v>2.9649999999999999</v>
      </c>
      <c r="G2362" t="s">
        <v>192</v>
      </c>
      <c r="H2362">
        <v>6.9</v>
      </c>
      <c r="I2362" s="4">
        <v>-1.3</v>
      </c>
      <c r="J2362" s="3">
        <v>0.05</v>
      </c>
      <c r="L2362" t="s">
        <v>172</v>
      </c>
      <c r="M2362" t="s">
        <v>171</v>
      </c>
      <c r="N2362" s="3">
        <v>1.6</v>
      </c>
      <c r="O2362" s="3">
        <v>0</v>
      </c>
      <c r="P2362">
        <v>35</v>
      </c>
      <c r="Q2362">
        <v>6.9</v>
      </c>
      <c r="R2362" t="s">
        <v>983</v>
      </c>
      <c r="S2362">
        <v>0.6</v>
      </c>
      <c r="T2362" s="6">
        <f>10^-(14-Q2362)</f>
        <v>7.943282347242818E-8</v>
      </c>
      <c r="U2362" s="6">
        <v>0.2</v>
      </c>
      <c r="V2362" s="6">
        <v>0.15</v>
      </c>
      <c r="W2362" s="6">
        <v>0</v>
      </c>
      <c r="X2362" s="6">
        <v>0.15</v>
      </c>
      <c r="Y2362" t="s">
        <v>171</v>
      </c>
      <c r="Z2362" s="5">
        <v>-110</v>
      </c>
      <c r="AD2362">
        <v>0.16666666666666666</v>
      </c>
      <c r="AE2362">
        <v>713</v>
      </c>
      <c r="AF2362">
        <v>2</v>
      </c>
      <c r="AG2362" s="9">
        <v>0.02</v>
      </c>
      <c r="AH2362" s="9">
        <v>0.44</v>
      </c>
      <c r="AI2362" s="9">
        <v>0.56000000000000005</v>
      </c>
      <c r="AJ2362" s="9">
        <v>2.5000000000000001E-2</v>
      </c>
      <c r="AK2362" s="9">
        <v>1E-3</v>
      </c>
      <c r="AL2362" s="9">
        <v>18.2</v>
      </c>
      <c r="AM2362" s="9">
        <v>0.18</v>
      </c>
      <c r="AN2362" s="9">
        <v>0.05</v>
      </c>
      <c r="AO2362" s="9">
        <v>2.4E-2</v>
      </c>
      <c r="AP2362"/>
    </row>
    <row r="2363" spans="1:42" x14ac:dyDescent="0.3">
      <c r="A2363" t="s">
        <v>1841</v>
      </c>
      <c r="B2363" t="s">
        <v>1736</v>
      </c>
      <c r="C2363">
        <v>83</v>
      </c>
      <c r="D2363" s="8">
        <v>1.4509000000000001</v>
      </c>
      <c r="F2363">
        <v>0.11000000000000001</v>
      </c>
      <c r="G2363" t="s">
        <v>192</v>
      </c>
      <c r="H2363">
        <v>6.9</v>
      </c>
      <c r="I2363" s="4">
        <v>-1.3</v>
      </c>
      <c r="J2363" s="3">
        <v>0.05</v>
      </c>
      <c r="L2363" t="s">
        <v>172</v>
      </c>
      <c r="M2363" t="s">
        <v>171</v>
      </c>
      <c r="N2363" s="3">
        <v>1.6</v>
      </c>
      <c r="O2363" s="3">
        <v>0</v>
      </c>
      <c r="P2363">
        <v>55</v>
      </c>
      <c r="Q2363">
        <v>6.9</v>
      </c>
      <c r="R2363" t="s">
        <v>983</v>
      </c>
      <c r="S2363">
        <v>0.6</v>
      </c>
      <c r="T2363" s="6">
        <f>10^-(14-Q2363)</f>
        <v>7.943282347242818E-8</v>
      </c>
      <c r="U2363" s="6">
        <v>0.2</v>
      </c>
      <c r="V2363" s="6">
        <v>0.15</v>
      </c>
      <c r="W2363" s="6">
        <v>0</v>
      </c>
      <c r="X2363" s="6">
        <v>0.15</v>
      </c>
      <c r="Y2363" t="s">
        <v>171</v>
      </c>
      <c r="Z2363" s="5">
        <v>-230</v>
      </c>
      <c r="AD2363">
        <v>0.16666666666666666</v>
      </c>
      <c r="AE2363">
        <v>41</v>
      </c>
      <c r="AF2363">
        <v>1</v>
      </c>
      <c r="AG2363" s="9">
        <v>0.02</v>
      </c>
      <c r="AH2363" s="9">
        <v>0.44</v>
      </c>
      <c r="AI2363" s="9">
        <v>0.56000000000000005</v>
      </c>
      <c r="AJ2363" s="9">
        <v>2.5000000000000001E-2</v>
      </c>
      <c r="AK2363" s="9">
        <v>1E-3</v>
      </c>
      <c r="AL2363" s="9">
        <v>18.2</v>
      </c>
      <c r="AM2363" s="9">
        <v>0.18</v>
      </c>
      <c r="AN2363" s="9">
        <v>0.05</v>
      </c>
      <c r="AO2363" s="9">
        <v>2.4E-2</v>
      </c>
      <c r="AP2363"/>
    </row>
    <row r="2364" spans="1:42" x14ac:dyDescent="0.3">
      <c r="A2364" t="s">
        <v>1852</v>
      </c>
      <c r="B2364" t="s">
        <v>1736</v>
      </c>
      <c r="C2364">
        <v>83</v>
      </c>
      <c r="D2364" s="8">
        <v>1.4509000000000001</v>
      </c>
      <c r="F2364">
        <v>0.11000000000000001</v>
      </c>
      <c r="G2364" t="s">
        <v>192</v>
      </c>
      <c r="H2364">
        <v>6.9</v>
      </c>
      <c r="I2364" s="4">
        <v>-1.3</v>
      </c>
      <c r="J2364" s="3">
        <v>0.05</v>
      </c>
      <c r="L2364" t="s">
        <v>172</v>
      </c>
      <c r="M2364" t="s">
        <v>171</v>
      </c>
      <c r="N2364" s="3">
        <v>1.6</v>
      </c>
      <c r="O2364" s="3">
        <v>0</v>
      </c>
      <c r="P2364">
        <v>55</v>
      </c>
      <c r="Q2364">
        <v>6.9</v>
      </c>
      <c r="R2364" t="s">
        <v>983</v>
      </c>
      <c r="S2364">
        <v>0.6</v>
      </c>
      <c r="T2364" s="6">
        <f>10^-(14-Q2364)</f>
        <v>7.943282347242818E-8</v>
      </c>
      <c r="U2364" s="6">
        <v>0.2</v>
      </c>
      <c r="V2364" s="6">
        <v>0.15</v>
      </c>
      <c r="W2364" s="6">
        <v>0</v>
      </c>
      <c r="X2364" s="6">
        <v>0.15</v>
      </c>
      <c r="Y2364" t="s">
        <v>171</v>
      </c>
      <c r="Z2364" s="5">
        <v>-230</v>
      </c>
      <c r="AD2364">
        <v>0.16666666666666666</v>
      </c>
      <c r="AE2364">
        <v>76</v>
      </c>
      <c r="AF2364">
        <v>1</v>
      </c>
      <c r="AG2364" s="9">
        <v>0.02</v>
      </c>
      <c r="AH2364" s="9">
        <v>0.44</v>
      </c>
      <c r="AI2364" s="9">
        <v>0.56000000000000005</v>
      </c>
      <c r="AJ2364" s="9">
        <v>2.5000000000000001E-2</v>
      </c>
      <c r="AK2364" s="9">
        <v>1E-3</v>
      </c>
      <c r="AL2364" s="9">
        <v>18.2</v>
      </c>
      <c r="AM2364" s="9">
        <v>0.18</v>
      </c>
      <c r="AN2364" s="9">
        <v>0.05</v>
      </c>
      <c r="AO2364" s="9">
        <v>2.4E-2</v>
      </c>
      <c r="AP2364"/>
    </row>
    <row r="2365" spans="1:42" x14ac:dyDescent="0.3">
      <c r="A2365" t="s">
        <v>1860</v>
      </c>
      <c r="B2365" t="s">
        <v>1736</v>
      </c>
      <c r="C2365">
        <v>83</v>
      </c>
      <c r="D2365" s="8">
        <v>1.4509000000000001</v>
      </c>
      <c r="F2365">
        <v>0.11000000000000001</v>
      </c>
      <c r="G2365" t="s">
        <v>192</v>
      </c>
      <c r="H2365">
        <v>6.9</v>
      </c>
      <c r="I2365" s="4">
        <v>-1.3</v>
      </c>
      <c r="J2365" s="3">
        <v>0.05</v>
      </c>
      <c r="L2365" t="s">
        <v>172</v>
      </c>
      <c r="M2365" t="s">
        <v>171</v>
      </c>
      <c r="N2365" s="3">
        <v>1.6</v>
      </c>
      <c r="O2365" s="3">
        <v>0</v>
      </c>
      <c r="P2365">
        <v>55</v>
      </c>
      <c r="Q2365">
        <v>6.9</v>
      </c>
      <c r="R2365" t="s">
        <v>983</v>
      </c>
      <c r="S2365">
        <v>0.6</v>
      </c>
      <c r="T2365" s="6">
        <f>10^-(14-Q2365)</f>
        <v>7.943282347242818E-8</v>
      </c>
      <c r="U2365" s="6">
        <v>0.2</v>
      </c>
      <c r="V2365" s="6">
        <v>0.15</v>
      </c>
      <c r="W2365" s="6">
        <v>0</v>
      </c>
      <c r="X2365" s="6">
        <v>0.15</v>
      </c>
      <c r="Y2365" t="s">
        <v>171</v>
      </c>
      <c r="Z2365" s="5">
        <v>-230</v>
      </c>
      <c r="AD2365">
        <v>0.16666666666666666</v>
      </c>
      <c r="AE2365">
        <v>445</v>
      </c>
      <c r="AF2365">
        <v>1</v>
      </c>
      <c r="AG2365" s="9">
        <v>0.02</v>
      </c>
      <c r="AH2365" s="9">
        <v>0.44</v>
      </c>
      <c r="AI2365" s="9">
        <v>0.56000000000000005</v>
      </c>
      <c r="AJ2365" s="9">
        <v>2.5000000000000001E-2</v>
      </c>
      <c r="AK2365" s="9">
        <v>1E-3</v>
      </c>
      <c r="AL2365" s="9">
        <v>18.2</v>
      </c>
      <c r="AM2365" s="9">
        <v>0.18</v>
      </c>
      <c r="AN2365" s="9">
        <v>0.05</v>
      </c>
      <c r="AO2365" s="9">
        <v>2.4E-2</v>
      </c>
      <c r="AP2365"/>
    </row>
    <row r="2366" spans="1:42" x14ac:dyDescent="0.3">
      <c r="A2366" t="s">
        <v>1862</v>
      </c>
      <c r="B2366" t="s">
        <v>1736</v>
      </c>
      <c r="C2366">
        <v>83</v>
      </c>
      <c r="D2366" s="8">
        <v>1.4509000000000001</v>
      </c>
      <c r="F2366">
        <v>0.11000000000000001</v>
      </c>
      <c r="G2366" t="s">
        <v>192</v>
      </c>
      <c r="H2366">
        <v>6.9</v>
      </c>
      <c r="I2366" s="4">
        <v>-1.3</v>
      </c>
      <c r="J2366" s="3">
        <v>0.05</v>
      </c>
      <c r="L2366" t="s">
        <v>172</v>
      </c>
      <c r="M2366" t="s">
        <v>171</v>
      </c>
      <c r="N2366" s="3">
        <v>1.6</v>
      </c>
      <c r="O2366" s="3">
        <v>0</v>
      </c>
      <c r="P2366">
        <v>55</v>
      </c>
      <c r="Q2366">
        <v>6.9</v>
      </c>
      <c r="R2366" t="s">
        <v>983</v>
      </c>
      <c r="S2366">
        <v>0.6</v>
      </c>
      <c r="T2366" s="6">
        <f>10^-(14-Q2366)</f>
        <v>7.943282347242818E-8</v>
      </c>
      <c r="U2366" s="6">
        <v>0.2</v>
      </c>
      <c r="V2366" s="6">
        <v>0.15</v>
      </c>
      <c r="W2366" s="6">
        <v>0</v>
      </c>
      <c r="X2366" s="6">
        <v>0.15</v>
      </c>
      <c r="Y2366" t="s">
        <v>171</v>
      </c>
      <c r="Z2366" s="5">
        <v>-230</v>
      </c>
      <c r="AD2366">
        <v>0.16666666666666666</v>
      </c>
      <c r="AE2366">
        <v>590</v>
      </c>
      <c r="AF2366">
        <v>1</v>
      </c>
      <c r="AG2366" s="9">
        <v>0.02</v>
      </c>
      <c r="AH2366" s="9">
        <v>0.44</v>
      </c>
      <c r="AI2366" s="9">
        <v>0.56000000000000005</v>
      </c>
      <c r="AJ2366" s="9">
        <v>2.5000000000000001E-2</v>
      </c>
      <c r="AK2366" s="9">
        <v>1E-3</v>
      </c>
      <c r="AL2366" s="9">
        <v>18.2</v>
      </c>
      <c r="AM2366" s="9">
        <v>0.18</v>
      </c>
      <c r="AN2366" s="9">
        <v>0.05</v>
      </c>
      <c r="AO2366" s="9">
        <v>2.4E-2</v>
      </c>
      <c r="AP2366"/>
    </row>
    <row r="2367" spans="1:42" x14ac:dyDescent="0.3">
      <c r="A2367" t="s">
        <v>1871</v>
      </c>
      <c r="B2367" t="s">
        <v>1736</v>
      </c>
      <c r="C2367">
        <v>83</v>
      </c>
      <c r="D2367" s="8">
        <v>1.4509000000000001</v>
      </c>
      <c r="F2367">
        <v>0.11000000000000001</v>
      </c>
      <c r="G2367" t="s">
        <v>192</v>
      </c>
      <c r="H2367">
        <v>8.35</v>
      </c>
      <c r="I2367" s="4">
        <v>-1.3</v>
      </c>
      <c r="J2367" s="3">
        <v>0.05</v>
      </c>
      <c r="L2367" t="s">
        <v>172</v>
      </c>
      <c r="M2367" t="s">
        <v>171</v>
      </c>
      <c r="N2367" s="3">
        <v>1.3</v>
      </c>
      <c r="O2367" s="3">
        <v>0</v>
      </c>
      <c r="P2367">
        <v>55</v>
      </c>
      <c r="Q2367">
        <v>8.35</v>
      </c>
      <c r="R2367" t="s">
        <v>983</v>
      </c>
      <c r="S2367">
        <v>0.6</v>
      </c>
      <c r="T2367" s="6">
        <f>10^-(14-Q2367)</f>
        <v>2.2387211385683329E-6</v>
      </c>
      <c r="U2367" s="6">
        <v>0.2</v>
      </c>
      <c r="V2367" s="6">
        <v>0.15</v>
      </c>
      <c r="W2367" s="6">
        <v>0</v>
      </c>
      <c r="X2367" s="6">
        <v>0.15</v>
      </c>
      <c r="Y2367" t="s">
        <v>171</v>
      </c>
      <c r="Z2367" s="5">
        <v>-110</v>
      </c>
      <c r="AD2367">
        <v>0.16666666666666666</v>
      </c>
      <c r="AE2367">
        <v>653</v>
      </c>
      <c r="AF2367">
        <v>2</v>
      </c>
      <c r="AG2367" s="9">
        <v>0.02</v>
      </c>
      <c r="AH2367" s="9">
        <v>0.44</v>
      </c>
      <c r="AI2367" s="9">
        <v>0.56000000000000005</v>
      </c>
      <c r="AJ2367" s="9">
        <v>2.5000000000000001E-2</v>
      </c>
      <c r="AK2367" s="9">
        <v>1E-3</v>
      </c>
      <c r="AL2367" s="9">
        <v>18.2</v>
      </c>
      <c r="AM2367" s="9">
        <v>0.18</v>
      </c>
      <c r="AN2367" s="9">
        <v>0.05</v>
      </c>
      <c r="AO2367" s="9">
        <v>2.4E-2</v>
      </c>
      <c r="AP2367"/>
    </row>
    <row r="2368" spans="1:42" x14ac:dyDescent="0.3">
      <c r="A2368" t="s">
        <v>1886</v>
      </c>
      <c r="B2368" t="s">
        <v>1736</v>
      </c>
      <c r="C2368">
        <v>83</v>
      </c>
      <c r="D2368" s="8">
        <v>1.4509000000000001</v>
      </c>
      <c r="F2368">
        <v>0.11000000000000001</v>
      </c>
      <c r="G2368" t="s">
        <v>192</v>
      </c>
      <c r="H2368">
        <v>8.35</v>
      </c>
      <c r="I2368" s="4">
        <v>-1.3</v>
      </c>
      <c r="J2368" s="3">
        <v>0.05</v>
      </c>
      <c r="L2368" t="s">
        <v>172</v>
      </c>
      <c r="M2368" t="s">
        <v>171</v>
      </c>
      <c r="N2368" s="3">
        <v>1.3</v>
      </c>
      <c r="O2368" s="3">
        <v>0</v>
      </c>
      <c r="P2368">
        <v>55</v>
      </c>
      <c r="Q2368">
        <v>8.35</v>
      </c>
      <c r="R2368" t="s">
        <v>983</v>
      </c>
      <c r="S2368">
        <v>0.6</v>
      </c>
      <c r="T2368" s="6">
        <f>10^-(14-Q2368)</f>
        <v>2.2387211385683329E-6</v>
      </c>
      <c r="U2368" s="6">
        <v>0.2</v>
      </c>
      <c r="V2368" s="6">
        <v>0.15</v>
      </c>
      <c r="W2368" s="6">
        <v>0</v>
      </c>
      <c r="X2368" s="6">
        <v>0.15</v>
      </c>
      <c r="Y2368" t="s">
        <v>171</v>
      </c>
      <c r="Z2368" s="5">
        <v>-110</v>
      </c>
      <c r="AD2368">
        <v>0.16666666666666666</v>
      </c>
      <c r="AE2368">
        <v>631</v>
      </c>
      <c r="AF2368">
        <v>2</v>
      </c>
      <c r="AG2368" s="9">
        <v>0.02</v>
      </c>
      <c r="AH2368" s="9">
        <v>0.44</v>
      </c>
      <c r="AI2368" s="9">
        <v>0.56000000000000005</v>
      </c>
      <c r="AJ2368" s="9">
        <v>2.5000000000000001E-2</v>
      </c>
      <c r="AK2368" s="9">
        <v>1E-3</v>
      </c>
      <c r="AL2368" s="9">
        <v>18.2</v>
      </c>
      <c r="AM2368" s="9">
        <v>0.18</v>
      </c>
      <c r="AN2368" s="9">
        <v>0.05</v>
      </c>
      <c r="AO2368" s="9">
        <v>2.4E-2</v>
      </c>
      <c r="AP2368"/>
    </row>
    <row r="2369" spans="1:42" x14ac:dyDescent="0.3">
      <c r="A2369" t="s">
        <v>1746</v>
      </c>
      <c r="B2369" t="s">
        <v>1736</v>
      </c>
      <c r="C2369">
        <v>83</v>
      </c>
      <c r="D2369" s="8">
        <v>1.4520999999999999</v>
      </c>
      <c r="E2369">
        <v>600</v>
      </c>
      <c r="F2369" s="7"/>
      <c r="G2369" t="s">
        <v>192</v>
      </c>
      <c r="H2369">
        <v>8.35</v>
      </c>
      <c r="I2369" s="4">
        <v>-1.3</v>
      </c>
      <c r="J2369" s="3">
        <v>0.05</v>
      </c>
      <c r="L2369" t="s">
        <v>172</v>
      </c>
      <c r="M2369" t="s">
        <v>171</v>
      </c>
      <c r="N2369" s="3">
        <v>1.3</v>
      </c>
      <c r="O2369" s="3">
        <v>0</v>
      </c>
      <c r="P2369">
        <v>35</v>
      </c>
      <c r="Q2369">
        <v>8.35</v>
      </c>
      <c r="R2369" t="s">
        <v>983</v>
      </c>
      <c r="S2369">
        <v>0.6</v>
      </c>
      <c r="T2369" s="6">
        <f>10^-(14-Q2369)</f>
        <v>2.2387211385683329E-6</v>
      </c>
      <c r="U2369" s="6">
        <v>0.2</v>
      </c>
      <c r="V2369" s="6">
        <v>0.15</v>
      </c>
      <c r="W2369" s="6">
        <v>0</v>
      </c>
      <c r="X2369" s="6">
        <v>0.15</v>
      </c>
      <c r="Y2369" t="s">
        <v>171</v>
      </c>
      <c r="AD2369">
        <v>0.16666666666666666</v>
      </c>
      <c r="AE2369">
        <v>653</v>
      </c>
      <c r="AF2369">
        <v>2</v>
      </c>
      <c r="AG2369" s="9">
        <v>0.02</v>
      </c>
      <c r="AH2369" s="9">
        <v>0.52</v>
      </c>
      <c r="AI2369" s="9">
        <v>0.59</v>
      </c>
      <c r="AJ2369" s="9">
        <v>2.7E-2</v>
      </c>
      <c r="AK2369" s="9">
        <v>2E-3</v>
      </c>
      <c r="AL2369" s="9">
        <v>18.3</v>
      </c>
      <c r="AM2369" s="9">
        <v>0.14000000000000001</v>
      </c>
      <c r="AN2369" s="9">
        <v>2.0099999999999998</v>
      </c>
      <c r="AO2369" s="9">
        <v>2.3E-2</v>
      </c>
      <c r="AP2369"/>
    </row>
    <row r="2370" spans="1:42" x14ac:dyDescent="0.3">
      <c r="A2370" t="s">
        <v>1761</v>
      </c>
      <c r="B2370" t="s">
        <v>1736</v>
      </c>
      <c r="C2370">
        <v>83</v>
      </c>
      <c r="D2370" s="8">
        <v>1.4520999999999999</v>
      </c>
      <c r="E2370">
        <v>600</v>
      </c>
      <c r="G2370" t="s">
        <v>192</v>
      </c>
      <c r="H2370">
        <v>8.35</v>
      </c>
      <c r="I2370" s="4">
        <v>-1.3</v>
      </c>
      <c r="J2370" s="3">
        <v>0.05</v>
      </c>
      <c r="L2370" t="s">
        <v>172</v>
      </c>
      <c r="M2370" t="s">
        <v>171</v>
      </c>
      <c r="N2370" s="3">
        <v>1.3</v>
      </c>
      <c r="O2370" s="3">
        <v>0</v>
      </c>
      <c r="P2370">
        <v>35</v>
      </c>
      <c r="Q2370">
        <v>8.35</v>
      </c>
      <c r="R2370" t="s">
        <v>983</v>
      </c>
      <c r="S2370">
        <v>0.6</v>
      </c>
      <c r="T2370" s="6">
        <f>10^-(14-Q2370)</f>
        <v>2.2387211385683329E-6</v>
      </c>
      <c r="U2370" s="6">
        <v>0.2</v>
      </c>
      <c r="V2370" s="6">
        <v>0.15</v>
      </c>
      <c r="W2370" s="6">
        <v>0</v>
      </c>
      <c r="X2370" s="6">
        <v>0.15</v>
      </c>
      <c r="Y2370" t="s">
        <v>171</v>
      </c>
      <c r="AD2370">
        <v>0.16666666666666666</v>
      </c>
      <c r="AE2370">
        <v>651</v>
      </c>
      <c r="AF2370">
        <v>2</v>
      </c>
      <c r="AG2370" s="9">
        <v>0.02</v>
      </c>
      <c r="AH2370" s="9">
        <v>0.52</v>
      </c>
      <c r="AI2370" s="9">
        <v>0.59</v>
      </c>
      <c r="AJ2370" s="9">
        <v>2.7E-2</v>
      </c>
      <c r="AK2370" s="9">
        <v>2E-3</v>
      </c>
      <c r="AL2370" s="9">
        <v>18.3</v>
      </c>
      <c r="AM2370" s="9">
        <v>0.14000000000000001</v>
      </c>
      <c r="AN2370" s="9">
        <v>2.0099999999999998</v>
      </c>
      <c r="AO2370" s="9">
        <v>2.3E-2</v>
      </c>
      <c r="AP2370"/>
    </row>
    <row r="2371" spans="1:42" x14ac:dyDescent="0.3">
      <c r="A2371" t="s">
        <v>1776</v>
      </c>
      <c r="B2371" t="s">
        <v>1736</v>
      </c>
      <c r="C2371">
        <v>83</v>
      </c>
      <c r="D2371" s="8">
        <v>1.4520999999999999</v>
      </c>
      <c r="F2371">
        <v>0.22</v>
      </c>
      <c r="G2371" t="s">
        <v>192</v>
      </c>
      <c r="H2371">
        <v>8.35</v>
      </c>
      <c r="I2371" s="4">
        <v>-1.3</v>
      </c>
      <c r="J2371" s="3">
        <v>0.05</v>
      </c>
      <c r="L2371" t="s">
        <v>172</v>
      </c>
      <c r="M2371" t="s">
        <v>171</v>
      </c>
      <c r="N2371" s="3">
        <v>1.3</v>
      </c>
      <c r="O2371" s="3">
        <v>0</v>
      </c>
      <c r="P2371">
        <v>35</v>
      </c>
      <c r="Q2371">
        <v>8.35</v>
      </c>
      <c r="R2371" t="s">
        <v>983</v>
      </c>
      <c r="S2371">
        <v>0.6</v>
      </c>
      <c r="T2371" s="6">
        <f>10^-(14-Q2371)</f>
        <v>2.2387211385683329E-6</v>
      </c>
      <c r="U2371" s="6">
        <v>0.2</v>
      </c>
      <c r="V2371" s="6">
        <v>0.15</v>
      </c>
      <c r="W2371" s="6">
        <v>0</v>
      </c>
      <c r="X2371" s="6">
        <v>0.15</v>
      </c>
      <c r="Y2371" t="s">
        <v>171</v>
      </c>
      <c r="Z2371" s="5">
        <v>-180</v>
      </c>
      <c r="AD2371">
        <v>0.16666666666666666</v>
      </c>
      <c r="AE2371">
        <v>718</v>
      </c>
      <c r="AF2371">
        <v>2</v>
      </c>
      <c r="AG2371" s="9">
        <v>0.02</v>
      </c>
      <c r="AH2371" s="9">
        <v>0.52</v>
      </c>
      <c r="AI2371" s="9">
        <v>0.59</v>
      </c>
      <c r="AJ2371" s="9">
        <v>2.7E-2</v>
      </c>
      <c r="AK2371" s="9">
        <v>2E-3</v>
      </c>
      <c r="AL2371" s="9">
        <v>18.3</v>
      </c>
      <c r="AM2371" s="9">
        <v>0.14000000000000001</v>
      </c>
      <c r="AN2371" s="9">
        <v>2.0099999999999998</v>
      </c>
      <c r="AO2371" s="9">
        <v>2.3E-2</v>
      </c>
      <c r="AP2371"/>
    </row>
    <row r="2372" spans="1:42" x14ac:dyDescent="0.3">
      <c r="A2372" t="s">
        <v>1791</v>
      </c>
      <c r="B2372" t="s">
        <v>1736</v>
      </c>
      <c r="C2372">
        <v>83</v>
      </c>
      <c r="D2372" s="8">
        <v>1.4520999999999999</v>
      </c>
      <c r="F2372">
        <v>0.22</v>
      </c>
      <c r="G2372" t="s">
        <v>192</v>
      </c>
      <c r="H2372">
        <v>8.35</v>
      </c>
      <c r="I2372" s="4">
        <v>-1.3</v>
      </c>
      <c r="J2372" s="3">
        <v>0.05</v>
      </c>
      <c r="L2372" t="s">
        <v>172</v>
      </c>
      <c r="M2372" t="s">
        <v>171</v>
      </c>
      <c r="N2372" s="3">
        <v>1.3</v>
      </c>
      <c r="O2372" s="3">
        <v>0</v>
      </c>
      <c r="P2372">
        <v>35</v>
      </c>
      <c r="Q2372">
        <v>8.35</v>
      </c>
      <c r="R2372" t="s">
        <v>983</v>
      </c>
      <c r="S2372">
        <v>0.6</v>
      </c>
      <c r="T2372" s="6">
        <f>10^-(14-Q2372)</f>
        <v>2.2387211385683329E-6</v>
      </c>
      <c r="U2372" s="6">
        <v>0.2</v>
      </c>
      <c r="V2372" s="6">
        <v>0.15</v>
      </c>
      <c r="W2372" s="6">
        <v>0</v>
      </c>
      <c r="X2372" s="6">
        <v>0.15</v>
      </c>
      <c r="Y2372" t="s">
        <v>171</v>
      </c>
      <c r="Z2372" s="5">
        <v>-180</v>
      </c>
      <c r="AD2372">
        <v>0.16666666666666666</v>
      </c>
      <c r="AE2372">
        <v>698</v>
      </c>
      <c r="AF2372">
        <v>2</v>
      </c>
      <c r="AG2372" s="9">
        <v>0.02</v>
      </c>
      <c r="AH2372" s="9">
        <v>0.52</v>
      </c>
      <c r="AI2372" s="9">
        <v>0.59</v>
      </c>
      <c r="AJ2372" s="9">
        <v>2.7E-2</v>
      </c>
      <c r="AK2372" s="9">
        <v>2E-3</v>
      </c>
      <c r="AL2372" s="9">
        <v>18.3</v>
      </c>
      <c r="AM2372" s="9">
        <v>0.14000000000000001</v>
      </c>
      <c r="AN2372" s="9">
        <v>2.0099999999999998</v>
      </c>
      <c r="AO2372" s="9">
        <v>2.3E-2</v>
      </c>
      <c r="AP2372"/>
    </row>
    <row r="2373" spans="1:42" x14ac:dyDescent="0.3">
      <c r="A2373" t="s">
        <v>1806</v>
      </c>
      <c r="B2373" t="s">
        <v>1736</v>
      </c>
      <c r="C2373">
        <v>83</v>
      </c>
      <c r="D2373" s="8">
        <v>1.4520999999999999</v>
      </c>
      <c r="E2373">
        <v>600</v>
      </c>
      <c r="G2373" t="s">
        <v>192</v>
      </c>
      <c r="H2373">
        <v>8.35</v>
      </c>
      <c r="I2373" s="4">
        <v>-1.3</v>
      </c>
      <c r="J2373" s="3">
        <v>0.05</v>
      </c>
      <c r="L2373" t="s">
        <v>172</v>
      </c>
      <c r="M2373" t="s">
        <v>171</v>
      </c>
      <c r="N2373" s="3">
        <v>1.3</v>
      </c>
      <c r="O2373" s="3">
        <v>0</v>
      </c>
      <c r="P2373">
        <v>55</v>
      </c>
      <c r="Q2373">
        <v>8.35</v>
      </c>
      <c r="R2373" t="s">
        <v>983</v>
      </c>
      <c r="S2373">
        <v>0.6</v>
      </c>
      <c r="T2373" s="6">
        <f>10^-(14-Q2373)</f>
        <v>2.2387211385683329E-6</v>
      </c>
      <c r="U2373" s="6">
        <v>0.2</v>
      </c>
      <c r="V2373" s="6">
        <v>0.15</v>
      </c>
      <c r="W2373" s="6">
        <v>0</v>
      </c>
      <c r="X2373" s="6">
        <v>0.15</v>
      </c>
      <c r="Y2373" t="s">
        <v>171</v>
      </c>
      <c r="AD2373">
        <v>0.16666666666666666</v>
      </c>
      <c r="AE2373">
        <v>320</v>
      </c>
      <c r="AF2373">
        <v>1</v>
      </c>
      <c r="AG2373" s="9">
        <v>0.02</v>
      </c>
      <c r="AH2373" s="9">
        <v>0.52</v>
      </c>
      <c r="AI2373" s="9">
        <v>0.59</v>
      </c>
      <c r="AJ2373" s="9">
        <v>2.7E-2</v>
      </c>
      <c r="AK2373" s="9">
        <v>2E-3</v>
      </c>
      <c r="AL2373" s="9">
        <v>18.3</v>
      </c>
      <c r="AM2373" s="9">
        <v>0.14000000000000001</v>
      </c>
      <c r="AN2373" s="9">
        <v>2.0099999999999998</v>
      </c>
      <c r="AO2373" s="9">
        <v>2.3E-2</v>
      </c>
      <c r="AP2373"/>
    </row>
    <row r="2374" spans="1:42" x14ac:dyDescent="0.3">
      <c r="A2374" t="s">
        <v>1821</v>
      </c>
      <c r="B2374" t="s">
        <v>1736</v>
      </c>
      <c r="C2374">
        <v>83</v>
      </c>
      <c r="D2374" s="8">
        <v>1.4520999999999999</v>
      </c>
      <c r="E2374">
        <v>600</v>
      </c>
      <c r="G2374" t="s">
        <v>192</v>
      </c>
      <c r="H2374">
        <v>8.35</v>
      </c>
      <c r="I2374" s="4">
        <v>-1.3</v>
      </c>
      <c r="J2374" s="3">
        <v>0.05</v>
      </c>
      <c r="L2374" t="s">
        <v>172</v>
      </c>
      <c r="M2374" t="s">
        <v>171</v>
      </c>
      <c r="N2374" s="3">
        <v>1.3</v>
      </c>
      <c r="O2374" s="3">
        <v>0</v>
      </c>
      <c r="P2374">
        <v>55</v>
      </c>
      <c r="Q2374">
        <v>8.35</v>
      </c>
      <c r="R2374" t="s">
        <v>983</v>
      </c>
      <c r="S2374">
        <v>0.6</v>
      </c>
      <c r="T2374" s="6">
        <f>10^-(14-Q2374)</f>
        <v>2.2387211385683329E-6</v>
      </c>
      <c r="U2374" s="6">
        <v>0.2</v>
      </c>
      <c r="V2374" s="6">
        <v>0.15</v>
      </c>
      <c r="W2374" s="6">
        <v>0</v>
      </c>
      <c r="X2374" s="6">
        <v>0.15</v>
      </c>
      <c r="Y2374" t="s">
        <v>171</v>
      </c>
      <c r="AD2374">
        <v>0.16666666666666666</v>
      </c>
      <c r="AE2374">
        <v>303</v>
      </c>
      <c r="AF2374">
        <v>1</v>
      </c>
      <c r="AG2374" s="9">
        <v>0.02</v>
      </c>
      <c r="AH2374" s="9">
        <v>0.52</v>
      </c>
      <c r="AI2374" s="9">
        <v>0.59</v>
      </c>
      <c r="AJ2374" s="9">
        <v>2.7E-2</v>
      </c>
      <c r="AK2374" s="9">
        <v>2E-3</v>
      </c>
      <c r="AL2374" s="9">
        <v>18.3</v>
      </c>
      <c r="AM2374" s="9">
        <v>0.14000000000000001</v>
      </c>
      <c r="AN2374" s="9">
        <v>2.0099999999999998</v>
      </c>
      <c r="AO2374" s="9">
        <v>2.3E-2</v>
      </c>
      <c r="AP2374"/>
    </row>
    <row r="2375" spans="1:42" x14ac:dyDescent="0.3">
      <c r="A2375" t="s">
        <v>1843</v>
      </c>
      <c r="B2375" t="s">
        <v>1736</v>
      </c>
      <c r="C2375">
        <v>83</v>
      </c>
      <c r="D2375" s="8">
        <v>1.4520999999999999</v>
      </c>
      <c r="F2375">
        <v>0.22</v>
      </c>
      <c r="G2375" t="s">
        <v>192</v>
      </c>
      <c r="H2375">
        <v>6.9</v>
      </c>
      <c r="I2375" s="4">
        <v>-1.3</v>
      </c>
      <c r="J2375" s="3">
        <v>0.05</v>
      </c>
      <c r="L2375" t="s">
        <v>172</v>
      </c>
      <c r="M2375" t="s">
        <v>171</v>
      </c>
      <c r="N2375" s="3">
        <v>1.6</v>
      </c>
      <c r="O2375" s="3">
        <v>0</v>
      </c>
      <c r="P2375">
        <v>55</v>
      </c>
      <c r="Q2375">
        <v>6.9</v>
      </c>
      <c r="R2375" t="s">
        <v>983</v>
      </c>
      <c r="S2375">
        <v>0.6</v>
      </c>
      <c r="T2375" s="6">
        <f>10^-(14-Q2375)</f>
        <v>7.943282347242818E-8</v>
      </c>
      <c r="U2375" s="6">
        <v>0.2</v>
      </c>
      <c r="V2375" s="6">
        <v>0.15</v>
      </c>
      <c r="W2375" s="6">
        <v>0</v>
      </c>
      <c r="X2375" s="6">
        <v>0.15</v>
      </c>
      <c r="Y2375" t="s">
        <v>171</v>
      </c>
      <c r="Z2375" s="5">
        <v>-90</v>
      </c>
      <c r="AD2375">
        <v>0.16666666666666666</v>
      </c>
      <c r="AE2375">
        <v>487</v>
      </c>
      <c r="AF2375">
        <v>1</v>
      </c>
      <c r="AG2375" s="9">
        <v>0.02</v>
      </c>
      <c r="AH2375" s="9">
        <v>0.52</v>
      </c>
      <c r="AI2375" s="9">
        <v>0.59</v>
      </c>
      <c r="AJ2375" s="9">
        <v>2.7E-2</v>
      </c>
      <c r="AK2375" s="9">
        <v>2E-3</v>
      </c>
      <c r="AL2375" s="9">
        <v>18.3</v>
      </c>
      <c r="AM2375" s="9">
        <v>0.14000000000000001</v>
      </c>
      <c r="AN2375" s="9">
        <v>2.0099999999999998</v>
      </c>
      <c r="AO2375" s="9">
        <v>2.3E-2</v>
      </c>
      <c r="AP2375"/>
    </row>
    <row r="2376" spans="1:42" x14ac:dyDescent="0.3">
      <c r="A2376" t="s">
        <v>1854</v>
      </c>
      <c r="B2376" t="s">
        <v>1736</v>
      </c>
      <c r="C2376">
        <v>83</v>
      </c>
      <c r="D2376" s="8">
        <v>1.4520999999999999</v>
      </c>
      <c r="F2376">
        <v>0.22</v>
      </c>
      <c r="G2376" t="s">
        <v>192</v>
      </c>
      <c r="H2376">
        <v>6.9</v>
      </c>
      <c r="I2376" s="4">
        <v>-1.3</v>
      </c>
      <c r="J2376" s="3">
        <v>0.05</v>
      </c>
      <c r="L2376" t="s">
        <v>172</v>
      </c>
      <c r="M2376" t="s">
        <v>171</v>
      </c>
      <c r="N2376" s="3">
        <v>1.6</v>
      </c>
      <c r="O2376" s="3">
        <v>0</v>
      </c>
      <c r="P2376">
        <v>55</v>
      </c>
      <c r="Q2376">
        <v>6.9</v>
      </c>
      <c r="R2376" t="s">
        <v>983</v>
      </c>
      <c r="S2376">
        <v>0.6</v>
      </c>
      <c r="T2376" s="6">
        <f>10^-(14-Q2376)</f>
        <v>7.943282347242818E-8</v>
      </c>
      <c r="U2376" s="6">
        <v>0.2</v>
      </c>
      <c r="V2376" s="6">
        <v>0.15</v>
      </c>
      <c r="W2376" s="6">
        <v>0</v>
      </c>
      <c r="X2376" s="6">
        <v>0.15</v>
      </c>
      <c r="Y2376" t="s">
        <v>171</v>
      </c>
      <c r="Z2376" s="5">
        <v>-90</v>
      </c>
      <c r="AD2376">
        <v>0.16666666666666666</v>
      </c>
      <c r="AE2376">
        <v>535</v>
      </c>
      <c r="AF2376">
        <v>1</v>
      </c>
      <c r="AG2376" s="9">
        <v>0.02</v>
      </c>
      <c r="AH2376" s="9">
        <v>0.52</v>
      </c>
      <c r="AI2376" s="9">
        <v>0.59</v>
      </c>
      <c r="AJ2376" s="9">
        <v>2.7E-2</v>
      </c>
      <c r="AK2376" s="9">
        <v>2E-3</v>
      </c>
      <c r="AL2376" s="9">
        <v>18.3</v>
      </c>
      <c r="AM2376" s="9">
        <v>0.14000000000000001</v>
      </c>
      <c r="AN2376" s="9">
        <v>2.0099999999999998</v>
      </c>
      <c r="AO2376" s="9">
        <v>2.3E-2</v>
      </c>
      <c r="AP2376"/>
    </row>
    <row r="2377" spans="1:42" x14ac:dyDescent="0.3">
      <c r="A2377" t="s">
        <v>1873</v>
      </c>
      <c r="B2377" t="s">
        <v>1736</v>
      </c>
      <c r="C2377">
        <v>83</v>
      </c>
      <c r="D2377" s="8">
        <v>1.4520999999999999</v>
      </c>
      <c r="F2377">
        <v>0.22</v>
      </c>
      <c r="G2377" t="s">
        <v>192</v>
      </c>
      <c r="H2377">
        <v>8.35</v>
      </c>
      <c r="I2377" s="4">
        <v>-1.3</v>
      </c>
      <c r="J2377" s="3">
        <v>0.05</v>
      </c>
      <c r="L2377" t="s">
        <v>172</v>
      </c>
      <c r="M2377" t="s">
        <v>171</v>
      </c>
      <c r="N2377" s="3">
        <v>1.3</v>
      </c>
      <c r="O2377" s="3">
        <v>0</v>
      </c>
      <c r="P2377">
        <v>55</v>
      </c>
      <c r="Q2377">
        <v>8.35</v>
      </c>
      <c r="R2377" t="s">
        <v>983</v>
      </c>
      <c r="S2377">
        <v>0.6</v>
      </c>
      <c r="T2377" s="6">
        <f>10^-(14-Q2377)</f>
        <v>2.2387211385683329E-6</v>
      </c>
      <c r="U2377" s="6">
        <v>0.2</v>
      </c>
      <c r="V2377" s="6">
        <v>0.15</v>
      </c>
      <c r="W2377" s="6">
        <v>0</v>
      </c>
      <c r="X2377" s="6">
        <v>0.15</v>
      </c>
      <c r="Y2377" t="s">
        <v>171</v>
      </c>
      <c r="Z2377" s="5">
        <v>-100</v>
      </c>
      <c r="AD2377">
        <v>0.16666666666666666</v>
      </c>
      <c r="AE2377">
        <v>640</v>
      </c>
      <c r="AF2377">
        <v>2</v>
      </c>
      <c r="AG2377" s="9">
        <v>0.02</v>
      </c>
      <c r="AH2377" s="9">
        <v>0.52</v>
      </c>
      <c r="AI2377" s="9">
        <v>0.59</v>
      </c>
      <c r="AJ2377" s="9">
        <v>2.7E-2</v>
      </c>
      <c r="AK2377" s="9">
        <v>2E-3</v>
      </c>
      <c r="AL2377" s="9">
        <v>18.3</v>
      </c>
      <c r="AM2377" s="9">
        <v>0.14000000000000001</v>
      </c>
      <c r="AN2377" s="9">
        <v>2.0099999999999998</v>
      </c>
      <c r="AO2377" s="9">
        <v>2.3E-2</v>
      </c>
      <c r="AP2377"/>
    </row>
    <row r="2378" spans="1:42" x14ac:dyDescent="0.3">
      <c r="A2378" t="s">
        <v>1888</v>
      </c>
      <c r="B2378" t="s">
        <v>1736</v>
      </c>
      <c r="C2378">
        <v>83</v>
      </c>
      <c r="D2378" s="8">
        <v>1.4520999999999999</v>
      </c>
      <c r="F2378">
        <v>0.22</v>
      </c>
      <c r="G2378" t="s">
        <v>192</v>
      </c>
      <c r="H2378">
        <v>8.35</v>
      </c>
      <c r="I2378" s="4">
        <v>-1.3</v>
      </c>
      <c r="J2378" s="3">
        <v>0.05</v>
      </c>
      <c r="L2378" t="s">
        <v>172</v>
      </c>
      <c r="M2378" t="s">
        <v>171</v>
      </c>
      <c r="N2378" s="3">
        <v>1.3</v>
      </c>
      <c r="O2378" s="3">
        <v>0</v>
      </c>
      <c r="P2378">
        <v>55</v>
      </c>
      <c r="Q2378">
        <v>8.35</v>
      </c>
      <c r="R2378" t="s">
        <v>983</v>
      </c>
      <c r="S2378">
        <v>0.6</v>
      </c>
      <c r="T2378" s="6">
        <f>10^-(14-Q2378)</f>
        <v>2.2387211385683329E-6</v>
      </c>
      <c r="U2378" s="6">
        <v>0.2</v>
      </c>
      <c r="V2378" s="6">
        <v>0.15</v>
      </c>
      <c r="W2378" s="6">
        <v>0</v>
      </c>
      <c r="X2378" s="6">
        <v>0.15</v>
      </c>
      <c r="Y2378" t="s">
        <v>171</v>
      </c>
      <c r="Z2378" s="5">
        <v>-100</v>
      </c>
      <c r="AD2378">
        <v>0.16666666666666666</v>
      </c>
      <c r="AE2378">
        <v>632</v>
      </c>
      <c r="AF2378">
        <v>2</v>
      </c>
      <c r="AG2378" s="9">
        <v>0.02</v>
      </c>
      <c r="AH2378" s="9">
        <v>0.52</v>
      </c>
      <c r="AI2378" s="9">
        <v>0.59</v>
      </c>
      <c r="AJ2378" s="9">
        <v>2.7E-2</v>
      </c>
      <c r="AK2378" s="9">
        <v>2E-3</v>
      </c>
      <c r="AL2378" s="9">
        <v>18.3</v>
      </c>
      <c r="AM2378" s="9">
        <v>0.14000000000000001</v>
      </c>
      <c r="AN2378" s="9">
        <v>2.0099999999999998</v>
      </c>
      <c r="AO2378" s="9">
        <v>2.3E-2</v>
      </c>
      <c r="AP2378"/>
    </row>
    <row r="2379" spans="1:42" x14ac:dyDescent="0.3">
      <c r="A2379" t="s">
        <v>1740</v>
      </c>
      <c r="B2379" t="s">
        <v>1736</v>
      </c>
      <c r="C2379">
        <v>83</v>
      </c>
      <c r="D2379" s="8">
        <v>1.4481999999999999</v>
      </c>
      <c r="E2379">
        <v>600</v>
      </c>
      <c r="G2379" t="s">
        <v>192</v>
      </c>
      <c r="H2379">
        <v>8.35</v>
      </c>
      <c r="I2379" s="4">
        <v>-1.3</v>
      </c>
      <c r="J2379" s="3">
        <v>0.05</v>
      </c>
      <c r="L2379" t="s">
        <v>172</v>
      </c>
      <c r="M2379" t="s">
        <v>171</v>
      </c>
      <c r="N2379" s="3">
        <v>1.3</v>
      </c>
      <c r="O2379" s="3">
        <v>0</v>
      </c>
      <c r="P2379">
        <v>35</v>
      </c>
      <c r="Q2379">
        <v>8.35</v>
      </c>
      <c r="R2379" t="s">
        <v>983</v>
      </c>
      <c r="S2379">
        <v>0.6</v>
      </c>
      <c r="T2379" s="6">
        <f>10^-(14-Q2379)</f>
        <v>2.2387211385683329E-6</v>
      </c>
      <c r="U2379" s="6">
        <v>0.2</v>
      </c>
      <c r="V2379" s="6">
        <v>0.15</v>
      </c>
      <c r="W2379" s="6">
        <v>0</v>
      </c>
      <c r="X2379" s="6">
        <v>0.15</v>
      </c>
      <c r="Y2379" t="s">
        <v>171</v>
      </c>
      <c r="AD2379">
        <v>0.16666666666666666</v>
      </c>
      <c r="AE2379">
        <v>617</v>
      </c>
      <c r="AF2379">
        <v>2</v>
      </c>
      <c r="AG2379" s="9">
        <v>2.5000000000000001E-2</v>
      </c>
      <c r="AH2379" s="9">
        <v>4.03</v>
      </c>
      <c r="AI2379" s="9">
        <v>0.66</v>
      </c>
      <c r="AJ2379" s="9">
        <v>2.7E-2</v>
      </c>
      <c r="AK2379" s="9">
        <v>1E-3</v>
      </c>
      <c r="AL2379" s="9">
        <v>19.7</v>
      </c>
      <c r="AM2379" s="9">
        <v>1.85</v>
      </c>
      <c r="AN2379" s="9">
        <v>0.2</v>
      </c>
      <c r="AO2379" s="9">
        <v>0.124</v>
      </c>
      <c r="AP2379"/>
    </row>
    <row r="2380" spans="1:42" x14ac:dyDescent="0.3">
      <c r="A2380" t="s">
        <v>1755</v>
      </c>
      <c r="B2380" t="s">
        <v>1736</v>
      </c>
      <c r="C2380">
        <v>83</v>
      </c>
      <c r="D2380" s="8">
        <v>1.4481999999999999</v>
      </c>
      <c r="E2380">
        <v>600</v>
      </c>
      <c r="G2380" t="s">
        <v>192</v>
      </c>
      <c r="H2380">
        <v>8.35</v>
      </c>
      <c r="I2380" s="4">
        <v>-1.3</v>
      </c>
      <c r="J2380" s="3">
        <v>0.05</v>
      </c>
      <c r="L2380" t="s">
        <v>172</v>
      </c>
      <c r="M2380" t="s">
        <v>171</v>
      </c>
      <c r="N2380" s="3">
        <v>1.3</v>
      </c>
      <c r="O2380" s="3">
        <v>0</v>
      </c>
      <c r="P2380">
        <v>35</v>
      </c>
      <c r="Q2380">
        <v>8.35</v>
      </c>
      <c r="R2380" t="s">
        <v>983</v>
      </c>
      <c r="S2380">
        <v>0.6</v>
      </c>
      <c r="T2380" s="6">
        <f>10^-(14-Q2380)</f>
        <v>2.2387211385683329E-6</v>
      </c>
      <c r="U2380" s="6">
        <v>0.2</v>
      </c>
      <c r="V2380" s="6">
        <v>0.15</v>
      </c>
      <c r="W2380" s="6">
        <v>0</v>
      </c>
      <c r="X2380" s="6">
        <v>0.15</v>
      </c>
      <c r="Y2380" t="s">
        <v>171</v>
      </c>
      <c r="AD2380">
        <v>0.16666666666666666</v>
      </c>
      <c r="AE2380">
        <v>658</v>
      </c>
      <c r="AF2380">
        <v>2</v>
      </c>
      <c r="AG2380" s="9">
        <v>2.5000000000000001E-2</v>
      </c>
      <c r="AH2380" s="9">
        <v>4.03</v>
      </c>
      <c r="AI2380" s="9">
        <v>0.66</v>
      </c>
      <c r="AJ2380" s="9">
        <v>2.7E-2</v>
      </c>
      <c r="AK2380" s="9">
        <v>1E-3</v>
      </c>
      <c r="AL2380" s="9">
        <v>19.7</v>
      </c>
      <c r="AM2380" s="9">
        <v>1.85</v>
      </c>
      <c r="AN2380" s="9">
        <v>0.2</v>
      </c>
      <c r="AO2380" s="9">
        <v>0.124</v>
      </c>
      <c r="AP2380"/>
    </row>
    <row r="2381" spans="1:42" x14ac:dyDescent="0.3">
      <c r="A2381" t="s">
        <v>1770</v>
      </c>
      <c r="B2381" t="s">
        <v>1736</v>
      </c>
      <c r="C2381">
        <v>83</v>
      </c>
      <c r="D2381" s="8">
        <v>1.4481999999999999</v>
      </c>
      <c r="F2381">
        <v>3.62</v>
      </c>
      <c r="G2381" t="s">
        <v>192</v>
      </c>
      <c r="H2381">
        <v>8.35</v>
      </c>
      <c r="I2381" s="4">
        <v>-1.3</v>
      </c>
      <c r="J2381" s="3">
        <v>0.05</v>
      </c>
      <c r="L2381" t="s">
        <v>172</v>
      </c>
      <c r="M2381" t="s">
        <v>171</v>
      </c>
      <c r="N2381" s="3">
        <v>1.3</v>
      </c>
      <c r="O2381" s="3">
        <v>0</v>
      </c>
      <c r="P2381">
        <v>35</v>
      </c>
      <c r="Q2381">
        <v>8.35</v>
      </c>
      <c r="R2381" t="s">
        <v>983</v>
      </c>
      <c r="S2381">
        <v>0.6</v>
      </c>
      <c r="T2381" s="6">
        <f>10^-(14-Q2381)</f>
        <v>2.2387211385683329E-6</v>
      </c>
      <c r="U2381" s="6">
        <v>0.2</v>
      </c>
      <c r="V2381" s="6">
        <v>0.15</v>
      </c>
      <c r="W2381" s="6">
        <v>0</v>
      </c>
      <c r="X2381" s="6">
        <v>0.15</v>
      </c>
      <c r="Y2381" t="s">
        <v>171</v>
      </c>
      <c r="Z2381" s="5">
        <v>-130</v>
      </c>
      <c r="AD2381">
        <v>0.16666666666666666</v>
      </c>
      <c r="AE2381">
        <v>658</v>
      </c>
      <c r="AF2381">
        <v>2</v>
      </c>
      <c r="AG2381" s="9">
        <v>2.5000000000000001E-2</v>
      </c>
      <c r="AH2381" s="9">
        <v>4.03</v>
      </c>
      <c r="AI2381" s="9">
        <v>0.66</v>
      </c>
      <c r="AJ2381" s="9">
        <v>2.7E-2</v>
      </c>
      <c r="AK2381" s="9">
        <v>1E-3</v>
      </c>
      <c r="AL2381" s="9">
        <v>19.7</v>
      </c>
      <c r="AM2381" s="9">
        <v>1.85</v>
      </c>
      <c r="AN2381" s="9">
        <v>0.2</v>
      </c>
      <c r="AO2381" s="9">
        <v>0.124</v>
      </c>
      <c r="AP2381"/>
    </row>
    <row r="2382" spans="1:42" x14ac:dyDescent="0.3">
      <c r="A2382" t="s">
        <v>1785</v>
      </c>
      <c r="B2382" t="s">
        <v>1736</v>
      </c>
      <c r="C2382">
        <v>83</v>
      </c>
      <c r="D2382" s="8">
        <v>1.4481999999999999</v>
      </c>
      <c r="F2382">
        <v>3.62</v>
      </c>
      <c r="G2382" t="s">
        <v>192</v>
      </c>
      <c r="H2382">
        <v>8.35</v>
      </c>
      <c r="I2382" s="4">
        <v>-1.3</v>
      </c>
      <c r="J2382" s="3">
        <v>0.05</v>
      </c>
      <c r="L2382" t="s">
        <v>172</v>
      </c>
      <c r="M2382" t="s">
        <v>171</v>
      </c>
      <c r="N2382" s="3">
        <v>1.3</v>
      </c>
      <c r="O2382" s="3">
        <v>0</v>
      </c>
      <c r="P2382">
        <v>35</v>
      </c>
      <c r="Q2382">
        <v>8.35</v>
      </c>
      <c r="R2382" t="s">
        <v>983</v>
      </c>
      <c r="S2382">
        <v>0.6</v>
      </c>
      <c r="T2382" s="6">
        <f>10^-(14-Q2382)</f>
        <v>2.2387211385683329E-6</v>
      </c>
      <c r="U2382" s="6">
        <v>0.2</v>
      </c>
      <c r="V2382" s="6">
        <v>0.15</v>
      </c>
      <c r="W2382" s="6">
        <v>0</v>
      </c>
      <c r="X2382" s="6">
        <v>0.15</v>
      </c>
      <c r="Y2382" t="s">
        <v>171</v>
      </c>
      <c r="Z2382" s="5">
        <v>-130</v>
      </c>
      <c r="AD2382">
        <v>0.16666666666666666</v>
      </c>
      <c r="AE2382">
        <v>658</v>
      </c>
      <c r="AF2382">
        <v>2</v>
      </c>
      <c r="AG2382" s="9">
        <v>2.5000000000000001E-2</v>
      </c>
      <c r="AH2382" s="9">
        <v>4.03</v>
      </c>
      <c r="AI2382" s="9">
        <v>0.66</v>
      </c>
      <c r="AJ2382" s="9">
        <v>2.7E-2</v>
      </c>
      <c r="AK2382" s="9">
        <v>1E-3</v>
      </c>
      <c r="AL2382" s="9">
        <v>19.7</v>
      </c>
      <c r="AM2382" s="9">
        <v>1.85</v>
      </c>
      <c r="AN2382" s="9">
        <v>0.2</v>
      </c>
      <c r="AO2382" s="9">
        <v>0.124</v>
      </c>
      <c r="AP2382"/>
    </row>
    <row r="2383" spans="1:42" x14ac:dyDescent="0.3">
      <c r="A2383" t="s">
        <v>1800</v>
      </c>
      <c r="B2383" t="s">
        <v>1736</v>
      </c>
      <c r="C2383">
        <v>83</v>
      </c>
      <c r="D2383" s="8">
        <v>1.4481999999999999</v>
      </c>
      <c r="E2383">
        <v>600</v>
      </c>
      <c r="G2383" t="s">
        <v>192</v>
      </c>
      <c r="H2383">
        <v>8.35</v>
      </c>
      <c r="I2383" s="4">
        <v>-1.3</v>
      </c>
      <c r="J2383" s="3">
        <v>0.05</v>
      </c>
      <c r="L2383" t="s">
        <v>172</v>
      </c>
      <c r="M2383" t="s">
        <v>171</v>
      </c>
      <c r="N2383" s="3">
        <v>1.3</v>
      </c>
      <c r="O2383" s="3">
        <v>0</v>
      </c>
      <c r="P2383">
        <v>55</v>
      </c>
      <c r="Q2383">
        <v>8.35</v>
      </c>
      <c r="R2383" t="s">
        <v>983</v>
      </c>
      <c r="S2383">
        <v>0.6</v>
      </c>
      <c r="T2383" s="6">
        <f>10^-(14-Q2383)</f>
        <v>2.2387211385683329E-6</v>
      </c>
      <c r="U2383" s="6">
        <v>0.2</v>
      </c>
      <c r="V2383" s="6">
        <v>0.15</v>
      </c>
      <c r="W2383" s="6">
        <v>0</v>
      </c>
      <c r="X2383" s="6">
        <v>0.15</v>
      </c>
      <c r="Y2383" t="s">
        <v>171</v>
      </c>
      <c r="AD2383">
        <v>0.16666666666666666</v>
      </c>
      <c r="AE2383">
        <v>157</v>
      </c>
      <c r="AF2383">
        <v>1</v>
      </c>
      <c r="AG2383" s="9">
        <v>2.5000000000000001E-2</v>
      </c>
      <c r="AH2383" s="9">
        <v>4.03</v>
      </c>
      <c r="AI2383" s="9">
        <v>0.66</v>
      </c>
      <c r="AJ2383" s="9">
        <v>2.7E-2</v>
      </c>
      <c r="AK2383" s="9">
        <v>1E-3</v>
      </c>
      <c r="AL2383" s="9">
        <v>19.7</v>
      </c>
      <c r="AM2383" s="9">
        <v>1.85</v>
      </c>
      <c r="AN2383" s="9">
        <v>0.2</v>
      </c>
      <c r="AO2383" s="9">
        <v>0.124</v>
      </c>
      <c r="AP2383"/>
    </row>
    <row r="2384" spans="1:42" x14ac:dyDescent="0.3">
      <c r="A2384" t="s">
        <v>1815</v>
      </c>
      <c r="B2384" t="s">
        <v>1736</v>
      </c>
      <c r="C2384">
        <v>83</v>
      </c>
      <c r="D2384" s="8">
        <v>1.4481999999999999</v>
      </c>
      <c r="E2384">
        <v>600</v>
      </c>
      <c r="G2384" t="s">
        <v>192</v>
      </c>
      <c r="H2384">
        <v>8.35</v>
      </c>
      <c r="I2384" s="4">
        <v>-1.3</v>
      </c>
      <c r="J2384" s="3">
        <v>0.05</v>
      </c>
      <c r="L2384" t="s">
        <v>172</v>
      </c>
      <c r="M2384" t="s">
        <v>171</v>
      </c>
      <c r="N2384" s="3">
        <v>1.3</v>
      </c>
      <c r="O2384" s="3">
        <v>0</v>
      </c>
      <c r="P2384">
        <v>55</v>
      </c>
      <c r="Q2384">
        <v>8.35</v>
      </c>
      <c r="R2384" t="s">
        <v>983</v>
      </c>
      <c r="S2384">
        <v>0.6</v>
      </c>
      <c r="T2384" s="6">
        <f>10^-(14-Q2384)</f>
        <v>2.2387211385683329E-6</v>
      </c>
      <c r="U2384" s="6">
        <v>0.2</v>
      </c>
      <c r="V2384" s="6">
        <v>0.15</v>
      </c>
      <c r="W2384" s="6">
        <v>0</v>
      </c>
      <c r="X2384" s="6">
        <v>0.15</v>
      </c>
      <c r="Y2384" t="s">
        <v>171</v>
      </c>
      <c r="AD2384">
        <v>0.16666666666666666</v>
      </c>
      <c r="AE2384">
        <v>206</v>
      </c>
      <c r="AF2384">
        <v>1</v>
      </c>
      <c r="AG2384" s="9">
        <v>2.5000000000000001E-2</v>
      </c>
      <c r="AH2384" s="9">
        <v>4.03</v>
      </c>
      <c r="AI2384" s="9">
        <v>0.66</v>
      </c>
      <c r="AJ2384" s="9">
        <v>2.7E-2</v>
      </c>
      <c r="AK2384" s="9">
        <v>1E-3</v>
      </c>
      <c r="AL2384" s="9">
        <v>19.7</v>
      </c>
      <c r="AM2384" s="9">
        <v>1.85</v>
      </c>
      <c r="AN2384" s="9">
        <v>0.2</v>
      </c>
      <c r="AO2384" s="9">
        <v>0.124</v>
      </c>
      <c r="AP2384"/>
    </row>
    <row r="2385" spans="1:42" x14ac:dyDescent="0.3">
      <c r="A2385" t="s">
        <v>1830</v>
      </c>
      <c r="B2385" t="s">
        <v>1736</v>
      </c>
      <c r="C2385">
        <v>83</v>
      </c>
      <c r="D2385" s="8">
        <v>1.4509000000000001</v>
      </c>
      <c r="F2385">
        <v>0.11000000000000001</v>
      </c>
      <c r="G2385" t="s">
        <v>192</v>
      </c>
      <c r="H2385">
        <v>6.9</v>
      </c>
      <c r="I2385" s="4">
        <v>-1.3</v>
      </c>
      <c r="J2385" s="3">
        <v>0.05</v>
      </c>
      <c r="L2385" t="s">
        <v>172</v>
      </c>
      <c r="M2385" t="s">
        <v>171</v>
      </c>
      <c r="N2385" s="3">
        <v>1.6</v>
      </c>
      <c r="O2385" s="3">
        <v>0</v>
      </c>
      <c r="P2385">
        <v>35</v>
      </c>
      <c r="Q2385">
        <v>6.9</v>
      </c>
      <c r="R2385" t="s">
        <v>983</v>
      </c>
      <c r="S2385">
        <v>0.6</v>
      </c>
      <c r="T2385" s="6">
        <f>10^-(14-Q2385)</f>
        <v>7.943282347242818E-8</v>
      </c>
      <c r="U2385" s="6">
        <v>0.2</v>
      </c>
      <c r="V2385" s="6">
        <v>0.15</v>
      </c>
      <c r="W2385" s="6">
        <v>0</v>
      </c>
      <c r="X2385" s="6">
        <v>0.15</v>
      </c>
      <c r="Y2385" t="s">
        <v>171</v>
      </c>
      <c r="Z2385" s="5">
        <v>-140</v>
      </c>
      <c r="AD2385">
        <v>0.16666666666666666</v>
      </c>
      <c r="AE2385">
        <v>710</v>
      </c>
      <c r="AF2385">
        <v>2</v>
      </c>
      <c r="AG2385" s="9">
        <v>2.5000000000000001E-2</v>
      </c>
      <c r="AH2385" s="9">
        <v>4.03</v>
      </c>
      <c r="AI2385" s="9">
        <v>0.66</v>
      </c>
      <c r="AJ2385" s="9">
        <v>2.7E-2</v>
      </c>
      <c r="AK2385" s="9">
        <v>1E-3</v>
      </c>
      <c r="AL2385" s="9">
        <v>19.7</v>
      </c>
      <c r="AM2385" s="9">
        <v>1.85</v>
      </c>
      <c r="AN2385" s="9">
        <v>0.2</v>
      </c>
      <c r="AO2385" s="9">
        <v>0.124</v>
      </c>
      <c r="AP2385"/>
    </row>
    <row r="2386" spans="1:42" x14ac:dyDescent="0.3">
      <c r="A2386" t="s">
        <v>1839</v>
      </c>
      <c r="B2386" t="s">
        <v>1736</v>
      </c>
      <c r="C2386">
        <v>83</v>
      </c>
      <c r="D2386" s="8">
        <v>1.4481999999999999</v>
      </c>
      <c r="F2386">
        <v>3.62</v>
      </c>
      <c r="G2386" t="s">
        <v>192</v>
      </c>
      <c r="H2386">
        <v>6.9</v>
      </c>
      <c r="I2386" s="4">
        <v>-1.3</v>
      </c>
      <c r="J2386" s="3">
        <v>0.05</v>
      </c>
      <c r="L2386" t="s">
        <v>172</v>
      </c>
      <c r="M2386" t="s">
        <v>171</v>
      </c>
      <c r="N2386" s="3">
        <v>1.6</v>
      </c>
      <c r="O2386" s="3">
        <v>0</v>
      </c>
      <c r="P2386">
        <v>55</v>
      </c>
      <c r="Q2386">
        <v>6.9</v>
      </c>
      <c r="R2386" t="s">
        <v>983</v>
      </c>
      <c r="S2386">
        <v>0.6</v>
      </c>
      <c r="T2386" s="6">
        <f>10^-(14-Q2386)</f>
        <v>7.943282347242818E-8</v>
      </c>
      <c r="U2386" s="6">
        <v>0.2</v>
      </c>
      <c r="V2386" s="6">
        <v>0.15</v>
      </c>
      <c r="W2386" s="6">
        <v>0</v>
      </c>
      <c r="X2386" s="6">
        <v>0.15</v>
      </c>
      <c r="Y2386" t="s">
        <v>171</v>
      </c>
      <c r="Z2386" s="5">
        <v>-220</v>
      </c>
      <c r="AD2386">
        <v>0.16666666666666666</v>
      </c>
      <c r="AE2386">
        <v>59</v>
      </c>
      <c r="AF2386">
        <v>1</v>
      </c>
      <c r="AG2386" s="9">
        <v>2.5000000000000001E-2</v>
      </c>
      <c r="AH2386" s="9">
        <v>4.03</v>
      </c>
      <c r="AI2386" s="9">
        <v>0.66</v>
      </c>
      <c r="AJ2386" s="9">
        <v>2.7E-2</v>
      </c>
      <c r="AK2386" s="9">
        <v>1E-3</v>
      </c>
      <c r="AL2386" s="9">
        <v>19.7</v>
      </c>
      <c r="AM2386" s="9">
        <v>1.85</v>
      </c>
      <c r="AN2386" s="9">
        <v>0.2</v>
      </c>
      <c r="AO2386" s="9">
        <v>0.124</v>
      </c>
      <c r="AP2386"/>
    </row>
    <row r="2387" spans="1:42" x14ac:dyDescent="0.3">
      <c r="A2387" t="s">
        <v>1850</v>
      </c>
      <c r="B2387" t="s">
        <v>1736</v>
      </c>
      <c r="C2387">
        <v>83</v>
      </c>
      <c r="D2387" s="8">
        <v>1.4481999999999999</v>
      </c>
      <c r="F2387">
        <v>3.62</v>
      </c>
      <c r="G2387" t="s">
        <v>192</v>
      </c>
      <c r="H2387">
        <v>6.9</v>
      </c>
      <c r="I2387" s="4">
        <v>-1.3</v>
      </c>
      <c r="J2387" s="3">
        <v>0.05</v>
      </c>
      <c r="L2387" t="s">
        <v>172</v>
      </c>
      <c r="M2387" t="s">
        <v>171</v>
      </c>
      <c r="N2387" s="3">
        <v>1.6</v>
      </c>
      <c r="O2387" s="3">
        <v>0</v>
      </c>
      <c r="P2387">
        <v>55</v>
      </c>
      <c r="Q2387">
        <v>6.9</v>
      </c>
      <c r="R2387" t="s">
        <v>983</v>
      </c>
      <c r="S2387">
        <v>0.6</v>
      </c>
      <c r="T2387" s="6">
        <f>10^-(14-Q2387)</f>
        <v>7.943282347242818E-8</v>
      </c>
      <c r="U2387" s="6">
        <v>0.2</v>
      </c>
      <c r="V2387" s="6">
        <v>0.15</v>
      </c>
      <c r="W2387" s="6">
        <v>0</v>
      </c>
      <c r="X2387" s="6">
        <v>0.15</v>
      </c>
      <c r="Y2387" t="s">
        <v>171</v>
      </c>
      <c r="Z2387" s="5">
        <v>-220</v>
      </c>
      <c r="AD2387">
        <v>0.16666666666666666</v>
      </c>
      <c r="AE2387">
        <v>-20</v>
      </c>
      <c r="AF2387">
        <v>1</v>
      </c>
      <c r="AG2387" s="9">
        <v>2.5000000000000001E-2</v>
      </c>
      <c r="AH2387" s="9">
        <v>4.03</v>
      </c>
      <c r="AI2387" s="9">
        <v>0.66</v>
      </c>
      <c r="AJ2387" s="9">
        <v>2.7E-2</v>
      </c>
      <c r="AK2387" s="9">
        <v>1E-3</v>
      </c>
      <c r="AL2387" s="9">
        <v>19.7</v>
      </c>
      <c r="AM2387" s="9">
        <v>1.85</v>
      </c>
      <c r="AN2387" s="9">
        <v>0.2</v>
      </c>
      <c r="AO2387" s="9">
        <v>0.124</v>
      </c>
      <c r="AP2387"/>
    </row>
    <row r="2388" spans="1:42" x14ac:dyDescent="0.3">
      <c r="A2388" t="s">
        <v>1867</v>
      </c>
      <c r="B2388" t="s">
        <v>1736</v>
      </c>
      <c r="C2388">
        <v>83</v>
      </c>
      <c r="D2388" s="8">
        <v>1.4481999999999999</v>
      </c>
      <c r="F2388">
        <v>3.62</v>
      </c>
      <c r="G2388" t="s">
        <v>192</v>
      </c>
      <c r="H2388">
        <v>8.35</v>
      </c>
      <c r="I2388" s="4">
        <v>-1.3</v>
      </c>
      <c r="J2388" s="3">
        <v>0.05</v>
      </c>
      <c r="L2388" t="s">
        <v>172</v>
      </c>
      <c r="M2388" t="s">
        <v>171</v>
      </c>
      <c r="N2388" s="3">
        <v>1.3</v>
      </c>
      <c r="O2388" s="3">
        <v>0</v>
      </c>
      <c r="P2388">
        <v>55</v>
      </c>
      <c r="Q2388">
        <v>8.35</v>
      </c>
      <c r="R2388" t="s">
        <v>983</v>
      </c>
      <c r="S2388">
        <v>0.6</v>
      </c>
      <c r="T2388" s="6">
        <f>10^-(14-Q2388)</f>
        <v>2.2387211385683329E-6</v>
      </c>
      <c r="U2388" s="6">
        <v>0.2</v>
      </c>
      <c r="V2388" s="6">
        <v>0.15</v>
      </c>
      <c r="W2388" s="6">
        <v>0</v>
      </c>
      <c r="X2388" s="6">
        <v>0.15</v>
      </c>
      <c r="Y2388" t="s">
        <v>171</v>
      </c>
      <c r="Z2388" s="5">
        <v>-130</v>
      </c>
      <c r="AD2388">
        <v>0.16666666666666666</v>
      </c>
      <c r="AE2388">
        <v>618</v>
      </c>
      <c r="AF2388">
        <v>2</v>
      </c>
      <c r="AG2388" s="9">
        <v>2.5000000000000001E-2</v>
      </c>
      <c r="AH2388" s="9">
        <v>4.03</v>
      </c>
      <c r="AI2388" s="9">
        <v>0.66</v>
      </c>
      <c r="AJ2388" s="9">
        <v>2.7E-2</v>
      </c>
      <c r="AK2388" s="9">
        <v>1E-3</v>
      </c>
      <c r="AL2388" s="9">
        <v>19.7</v>
      </c>
      <c r="AM2388" s="9">
        <v>1.85</v>
      </c>
      <c r="AN2388" s="9">
        <v>0.2</v>
      </c>
      <c r="AO2388" s="9">
        <v>0.124</v>
      </c>
      <c r="AP2388"/>
    </row>
    <row r="2389" spans="1:42" x14ac:dyDescent="0.3">
      <c r="A2389" t="s">
        <v>1882</v>
      </c>
      <c r="B2389" t="s">
        <v>1736</v>
      </c>
      <c r="C2389">
        <v>83</v>
      </c>
      <c r="D2389" s="8">
        <v>1.4481999999999999</v>
      </c>
      <c r="F2389">
        <v>3.62</v>
      </c>
      <c r="G2389" t="s">
        <v>192</v>
      </c>
      <c r="H2389">
        <v>8.35</v>
      </c>
      <c r="I2389" s="4">
        <v>-1.3</v>
      </c>
      <c r="J2389" s="3">
        <v>0.05</v>
      </c>
      <c r="L2389" t="s">
        <v>172</v>
      </c>
      <c r="M2389" t="s">
        <v>171</v>
      </c>
      <c r="N2389" s="3">
        <v>1.3</v>
      </c>
      <c r="O2389" s="3">
        <v>0</v>
      </c>
      <c r="P2389">
        <v>55</v>
      </c>
      <c r="Q2389">
        <v>8.35</v>
      </c>
      <c r="R2389" t="s">
        <v>983</v>
      </c>
      <c r="S2389">
        <v>0.6</v>
      </c>
      <c r="T2389" s="6">
        <f>10^-(14-Q2389)</f>
        <v>2.2387211385683329E-6</v>
      </c>
      <c r="U2389" s="6">
        <v>0.2</v>
      </c>
      <c r="V2389" s="6">
        <v>0.15</v>
      </c>
      <c r="W2389" s="6">
        <v>0</v>
      </c>
      <c r="X2389" s="6">
        <v>0.15</v>
      </c>
      <c r="Y2389" t="s">
        <v>171</v>
      </c>
      <c r="Z2389" s="5">
        <v>-130</v>
      </c>
      <c r="AD2389">
        <v>0.16666666666666666</v>
      </c>
      <c r="AE2389">
        <v>633</v>
      </c>
      <c r="AF2389">
        <v>2</v>
      </c>
      <c r="AG2389" s="9">
        <v>2.5000000000000001E-2</v>
      </c>
      <c r="AH2389" s="9">
        <v>4.03</v>
      </c>
      <c r="AI2389" s="9">
        <v>0.66</v>
      </c>
      <c r="AJ2389" s="9">
        <v>2.7E-2</v>
      </c>
      <c r="AK2389" s="9">
        <v>1E-3</v>
      </c>
      <c r="AL2389" s="9">
        <v>19.7</v>
      </c>
      <c r="AM2389" s="9">
        <v>1.85</v>
      </c>
      <c r="AN2389" s="9">
        <v>0.2</v>
      </c>
      <c r="AO2389" s="9">
        <v>0.124</v>
      </c>
      <c r="AP2389"/>
    </row>
    <row r="2390" spans="1:42" x14ac:dyDescent="0.3">
      <c r="A2390" t="s">
        <v>1741</v>
      </c>
      <c r="B2390" t="s">
        <v>1736</v>
      </c>
      <c r="C2390">
        <v>83</v>
      </c>
      <c r="D2390" s="8">
        <v>1.4481999999999999</v>
      </c>
      <c r="E2390">
        <v>600</v>
      </c>
      <c r="G2390" t="s">
        <v>192</v>
      </c>
      <c r="H2390">
        <v>8.35</v>
      </c>
      <c r="I2390" s="4">
        <v>-1.3</v>
      </c>
      <c r="J2390" s="3">
        <v>0.05</v>
      </c>
      <c r="L2390" t="s">
        <v>172</v>
      </c>
      <c r="M2390" t="s">
        <v>171</v>
      </c>
      <c r="N2390" s="3">
        <v>1.3</v>
      </c>
      <c r="O2390" s="3">
        <v>0</v>
      </c>
      <c r="P2390">
        <v>35</v>
      </c>
      <c r="Q2390">
        <v>8.35</v>
      </c>
      <c r="R2390" t="s">
        <v>983</v>
      </c>
      <c r="S2390">
        <v>0.6</v>
      </c>
      <c r="T2390" s="6">
        <f>10^-(14-Q2390)</f>
        <v>2.2387211385683329E-6</v>
      </c>
      <c r="U2390" s="6">
        <v>0.2</v>
      </c>
      <c r="V2390" s="6">
        <v>0.15</v>
      </c>
      <c r="W2390" s="6">
        <v>0</v>
      </c>
      <c r="X2390" s="6">
        <v>0.15</v>
      </c>
      <c r="Y2390" t="s">
        <v>171</v>
      </c>
      <c r="AD2390">
        <v>0.16666666666666666</v>
      </c>
      <c r="AE2390">
        <v>518</v>
      </c>
      <c r="AF2390">
        <v>1</v>
      </c>
      <c r="AG2390" s="9">
        <v>2.5999999999999999E-2</v>
      </c>
      <c r="AH2390" s="9">
        <v>4.01</v>
      </c>
      <c r="AI2390" s="9">
        <v>0.66</v>
      </c>
      <c r="AJ2390" s="9">
        <v>2.1000000000000001E-2</v>
      </c>
      <c r="AK2390" s="9">
        <v>2E-3</v>
      </c>
      <c r="AL2390" s="9">
        <v>19.899999999999999</v>
      </c>
      <c r="AM2390" s="9">
        <v>1.82</v>
      </c>
      <c r="AN2390" s="9">
        <v>0.22</v>
      </c>
      <c r="AO2390" s="9">
        <v>0.13700000000000001</v>
      </c>
      <c r="AP2390"/>
    </row>
    <row r="2391" spans="1:42" x14ac:dyDescent="0.3">
      <c r="A2391" t="s">
        <v>1756</v>
      </c>
      <c r="B2391" t="s">
        <v>1736</v>
      </c>
      <c r="C2391">
        <v>83</v>
      </c>
      <c r="D2391" s="8">
        <v>1.4481999999999999</v>
      </c>
      <c r="E2391">
        <v>600</v>
      </c>
      <c r="G2391" t="s">
        <v>192</v>
      </c>
      <c r="H2391">
        <v>8.35</v>
      </c>
      <c r="I2391" s="4">
        <v>-1.3</v>
      </c>
      <c r="J2391" s="3">
        <v>0.05</v>
      </c>
      <c r="L2391" t="s">
        <v>172</v>
      </c>
      <c r="M2391" t="s">
        <v>171</v>
      </c>
      <c r="N2391" s="3">
        <v>1.3</v>
      </c>
      <c r="O2391" s="3">
        <v>0</v>
      </c>
      <c r="P2391">
        <v>35</v>
      </c>
      <c r="Q2391">
        <v>8.35</v>
      </c>
      <c r="R2391" t="s">
        <v>983</v>
      </c>
      <c r="S2391">
        <v>0.6</v>
      </c>
      <c r="T2391" s="6">
        <f>10^-(14-Q2391)</f>
        <v>2.2387211385683329E-6</v>
      </c>
      <c r="U2391" s="6">
        <v>0.2</v>
      </c>
      <c r="V2391" s="6">
        <v>0.15</v>
      </c>
      <c r="W2391" s="6">
        <v>0</v>
      </c>
      <c r="X2391" s="6">
        <v>0.15</v>
      </c>
      <c r="Y2391" t="s">
        <v>171</v>
      </c>
      <c r="AD2391">
        <v>0.16666666666666666</v>
      </c>
      <c r="AE2391">
        <v>476</v>
      </c>
      <c r="AF2391">
        <v>1</v>
      </c>
      <c r="AG2391" s="9">
        <v>2.5999999999999999E-2</v>
      </c>
      <c r="AH2391" s="9">
        <v>4.01</v>
      </c>
      <c r="AI2391" s="9">
        <v>0.66</v>
      </c>
      <c r="AJ2391" s="9">
        <v>2.1000000000000001E-2</v>
      </c>
      <c r="AK2391" s="9">
        <v>2E-3</v>
      </c>
      <c r="AL2391" s="9">
        <v>19.899999999999999</v>
      </c>
      <c r="AM2391" s="9">
        <v>1.82</v>
      </c>
      <c r="AN2391" s="9">
        <v>0.22</v>
      </c>
      <c r="AO2391" s="9">
        <v>0.13700000000000001</v>
      </c>
      <c r="AP2391"/>
    </row>
    <row r="2392" spans="1:42" x14ac:dyDescent="0.3">
      <c r="A2392" t="s">
        <v>1771</v>
      </c>
      <c r="B2392" t="s">
        <v>1736</v>
      </c>
      <c r="C2392">
        <v>83</v>
      </c>
      <c r="D2392" s="8">
        <v>1.4481999999999999</v>
      </c>
      <c r="F2392">
        <v>3.62</v>
      </c>
      <c r="G2392" t="s">
        <v>192</v>
      </c>
      <c r="H2392">
        <v>8.35</v>
      </c>
      <c r="I2392" s="4">
        <v>-1.3</v>
      </c>
      <c r="J2392" s="3">
        <v>0.05</v>
      </c>
      <c r="L2392" t="s">
        <v>172</v>
      </c>
      <c r="M2392" t="s">
        <v>171</v>
      </c>
      <c r="N2392" s="3">
        <v>1.3</v>
      </c>
      <c r="O2392" s="3">
        <v>0</v>
      </c>
      <c r="P2392">
        <v>35</v>
      </c>
      <c r="Q2392">
        <v>8.35</v>
      </c>
      <c r="R2392" t="s">
        <v>983</v>
      </c>
      <c r="S2392">
        <v>0.6</v>
      </c>
      <c r="T2392" s="6">
        <f>10^-(14-Q2392)</f>
        <v>2.2387211385683329E-6</v>
      </c>
      <c r="U2392" s="6">
        <v>0.2</v>
      </c>
      <c r="V2392" s="6">
        <v>0.15</v>
      </c>
      <c r="W2392" s="6">
        <v>0</v>
      </c>
      <c r="X2392" s="6">
        <v>0.15</v>
      </c>
      <c r="Y2392" t="s">
        <v>171</v>
      </c>
      <c r="Z2392" s="5">
        <v>-130</v>
      </c>
      <c r="AD2392">
        <v>0.16666666666666666</v>
      </c>
      <c r="AE2392">
        <v>674</v>
      </c>
      <c r="AF2392">
        <v>2</v>
      </c>
      <c r="AG2392" s="9">
        <v>2.5999999999999999E-2</v>
      </c>
      <c r="AH2392" s="9">
        <v>4.01</v>
      </c>
      <c r="AI2392" s="9">
        <v>0.66</v>
      </c>
      <c r="AJ2392" s="9">
        <v>2.1000000000000001E-2</v>
      </c>
      <c r="AK2392" s="9">
        <v>2E-3</v>
      </c>
      <c r="AL2392" s="9">
        <v>19.899999999999999</v>
      </c>
      <c r="AM2392" s="9">
        <v>1.82</v>
      </c>
      <c r="AN2392" s="9">
        <v>0.22</v>
      </c>
      <c r="AO2392" s="9">
        <v>0.13700000000000001</v>
      </c>
      <c r="AP2392"/>
    </row>
    <row r="2393" spans="1:42" x14ac:dyDescent="0.3">
      <c r="A2393" t="s">
        <v>1786</v>
      </c>
      <c r="B2393" t="s">
        <v>1736</v>
      </c>
      <c r="C2393">
        <v>83</v>
      </c>
      <c r="D2393" s="8">
        <v>1.4481999999999999</v>
      </c>
      <c r="F2393">
        <v>3.62</v>
      </c>
      <c r="G2393" t="s">
        <v>192</v>
      </c>
      <c r="H2393">
        <v>8.35</v>
      </c>
      <c r="I2393" s="4">
        <v>-1.3</v>
      </c>
      <c r="J2393" s="3">
        <v>0.05</v>
      </c>
      <c r="L2393" t="s">
        <v>172</v>
      </c>
      <c r="M2393" t="s">
        <v>171</v>
      </c>
      <c r="N2393" s="3">
        <v>1.3</v>
      </c>
      <c r="O2393" s="3">
        <v>0</v>
      </c>
      <c r="P2393">
        <v>35</v>
      </c>
      <c r="Q2393">
        <v>8.35</v>
      </c>
      <c r="R2393" t="s">
        <v>983</v>
      </c>
      <c r="S2393">
        <v>0.6</v>
      </c>
      <c r="T2393" s="6">
        <f>10^-(14-Q2393)</f>
        <v>2.2387211385683329E-6</v>
      </c>
      <c r="U2393" s="6">
        <v>0.2</v>
      </c>
      <c r="V2393" s="6">
        <v>0.15</v>
      </c>
      <c r="W2393" s="6">
        <v>0</v>
      </c>
      <c r="X2393" s="6">
        <v>0.15</v>
      </c>
      <c r="Y2393" t="s">
        <v>171</v>
      </c>
      <c r="Z2393" s="5">
        <v>-130</v>
      </c>
      <c r="AD2393">
        <v>0.16666666666666666</v>
      </c>
      <c r="AE2393">
        <v>661</v>
      </c>
      <c r="AF2393">
        <v>2</v>
      </c>
      <c r="AG2393" s="9">
        <v>2.5999999999999999E-2</v>
      </c>
      <c r="AH2393" s="9">
        <v>4.01</v>
      </c>
      <c r="AI2393" s="9">
        <v>0.66</v>
      </c>
      <c r="AJ2393" s="9">
        <v>2.1000000000000001E-2</v>
      </c>
      <c r="AK2393" s="9">
        <v>2E-3</v>
      </c>
      <c r="AL2393" s="9">
        <v>19.899999999999999</v>
      </c>
      <c r="AM2393" s="9">
        <v>1.82</v>
      </c>
      <c r="AN2393" s="9">
        <v>0.22</v>
      </c>
      <c r="AO2393" s="9">
        <v>0.13700000000000001</v>
      </c>
      <c r="AP2393"/>
    </row>
    <row r="2394" spans="1:42" x14ac:dyDescent="0.3">
      <c r="A2394" t="s">
        <v>1801</v>
      </c>
      <c r="B2394" t="s">
        <v>1736</v>
      </c>
      <c r="C2394">
        <v>83</v>
      </c>
      <c r="D2394" s="8">
        <v>1.4481999999999999</v>
      </c>
      <c r="E2394">
        <v>600</v>
      </c>
      <c r="G2394" t="s">
        <v>192</v>
      </c>
      <c r="H2394">
        <v>8.35</v>
      </c>
      <c r="I2394" s="4">
        <v>-1.3</v>
      </c>
      <c r="J2394" s="3">
        <v>0.05</v>
      </c>
      <c r="L2394" t="s">
        <v>172</v>
      </c>
      <c r="M2394" t="s">
        <v>171</v>
      </c>
      <c r="N2394" s="3">
        <v>1.3</v>
      </c>
      <c r="O2394" s="3">
        <v>0</v>
      </c>
      <c r="P2394">
        <v>55</v>
      </c>
      <c r="Q2394">
        <v>8.35</v>
      </c>
      <c r="R2394" t="s">
        <v>983</v>
      </c>
      <c r="S2394">
        <v>0.6</v>
      </c>
      <c r="T2394" s="6">
        <f>10^-(14-Q2394)</f>
        <v>2.2387211385683329E-6</v>
      </c>
      <c r="U2394" s="6">
        <v>0.2</v>
      </c>
      <c r="V2394" s="6">
        <v>0.15</v>
      </c>
      <c r="W2394" s="6">
        <v>0</v>
      </c>
      <c r="X2394" s="6">
        <v>0.15</v>
      </c>
      <c r="Y2394" t="s">
        <v>171</v>
      </c>
      <c r="AD2394">
        <v>0.16666666666666666</v>
      </c>
      <c r="AE2394">
        <v>214</v>
      </c>
      <c r="AF2394">
        <v>1</v>
      </c>
      <c r="AG2394" s="9">
        <v>2.5999999999999999E-2</v>
      </c>
      <c r="AH2394" s="9">
        <v>4.01</v>
      </c>
      <c r="AI2394" s="9">
        <v>0.66</v>
      </c>
      <c r="AJ2394" s="9">
        <v>2.1000000000000001E-2</v>
      </c>
      <c r="AK2394" s="9">
        <v>2E-3</v>
      </c>
      <c r="AL2394" s="9">
        <v>19.899999999999999</v>
      </c>
      <c r="AM2394" s="9">
        <v>1.82</v>
      </c>
      <c r="AN2394" s="9">
        <v>0.22</v>
      </c>
      <c r="AO2394" s="9">
        <v>0.13700000000000001</v>
      </c>
      <c r="AP2394"/>
    </row>
    <row r="2395" spans="1:42" x14ac:dyDescent="0.3">
      <c r="A2395" t="s">
        <v>1816</v>
      </c>
      <c r="B2395" t="s">
        <v>1736</v>
      </c>
      <c r="C2395">
        <v>83</v>
      </c>
      <c r="D2395" s="8">
        <v>1.4481999999999999</v>
      </c>
      <c r="E2395">
        <v>600</v>
      </c>
      <c r="G2395" t="s">
        <v>192</v>
      </c>
      <c r="H2395">
        <v>8.35</v>
      </c>
      <c r="I2395" s="4">
        <v>-1.3</v>
      </c>
      <c r="J2395" s="3">
        <v>0.05</v>
      </c>
      <c r="L2395" t="s">
        <v>172</v>
      </c>
      <c r="M2395" t="s">
        <v>171</v>
      </c>
      <c r="N2395" s="3">
        <v>1.3</v>
      </c>
      <c r="O2395" s="3">
        <v>0</v>
      </c>
      <c r="P2395">
        <v>55</v>
      </c>
      <c r="Q2395">
        <v>8.35</v>
      </c>
      <c r="R2395" t="s">
        <v>983</v>
      </c>
      <c r="S2395">
        <v>0.6</v>
      </c>
      <c r="T2395" s="6">
        <f>10^-(14-Q2395)</f>
        <v>2.2387211385683329E-6</v>
      </c>
      <c r="U2395" s="6">
        <v>0.2</v>
      </c>
      <c r="V2395" s="6">
        <v>0.15</v>
      </c>
      <c r="W2395" s="6">
        <v>0</v>
      </c>
      <c r="X2395" s="6">
        <v>0.15</v>
      </c>
      <c r="Y2395" t="s">
        <v>171</v>
      </c>
      <c r="AD2395">
        <v>0.16666666666666666</v>
      </c>
      <c r="AE2395">
        <v>221</v>
      </c>
      <c r="AF2395">
        <v>1</v>
      </c>
      <c r="AG2395" s="9">
        <v>2.5999999999999999E-2</v>
      </c>
      <c r="AH2395" s="9">
        <v>4.01</v>
      </c>
      <c r="AI2395" s="9">
        <v>0.66</v>
      </c>
      <c r="AJ2395" s="9">
        <v>2.1000000000000001E-2</v>
      </c>
      <c r="AK2395" s="9">
        <v>2E-3</v>
      </c>
      <c r="AL2395" s="9">
        <v>19.899999999999999</v>
      </c>
      <c r="AM2395" s="9">
        <v>1.82</v>
      </c>
      <c r="AN2395" s="9">
        <v>0.22</v>
      </c>
      <c r="AO2395" s="9">
        <v>0.13700000000000001</v>
      </c>
      <c r="AP2395"/>
    </row>
    <row r="2396" spans="1:42" x14ac:dyDescent="0.3">
      <c r="A2396" t="s">
        <v>1831</v>
      </c>
      <c r="B2396" t="s">
        <v>1736</v>
      </c>
      <c r="C2396">
        <v>83</v>
      </c>
      <c r="D2396" s="8">
        <v>1.4509000000000001</v>
      </c>
      <c r="F2396">
        <v>2.98</v>
      </c>
      <c r="G2396" t="s">
        <v>192</v>
      </c>
      <c r="H2396">
        <v>6.9</v>
      </c>
      <c r="I2396" s="4">
        <v>-1.3</v>
      </c>
      <c r="J2396" s="3">
        <v>0.05</v>
      </c>
      <c r="L2396" t="s">
        <v>172</v>
      </c>
      <c r="M2396" t="s">
        <v>171</v>
      </c>
      <c r="N2396" s="3">
        <v>1.6</v>
      </c>
      <c r="O2396" s="3">
        <v>0</v>
      </c>
      <c r="P2396">
        <v>35</v>
      </c>
      <c r="Q2396">
        <v>6.9</v>
      </c>
      <c r="R2396" t="s">
        <v>983</v>
      </c>
      <c r="S2396">
        <v>0.6</v>
      </c>
      <c r="T2396" s="6">
        <f>10^-(14-Q2396)</f>
        <v>7.943282347242818E-8</v>
      </c>
      <c r="U2396" s="6">
        <v>0.2</v>
      </c>
      <c r="V2396" s="6">
        <v>0.15</v>
      </c>
      <c r="W2396" s="6">
        <v>0</v>
      </c>
      <c r="X2396" s="6">
        <v>0.15</v>
      </c>
      <c r="Y2396" t="s">
        <v>171</v>
      </c>
      <c r="Z2396" s="5">
        <v>-230</v>
      </c>
      <c r="AD2396">
        <v>0.16666666666666666</v>
      </c>
      <c r="AE2396">
        <v>314</v>
      </c>
      <c r="AF2396">
        <v>1</v>
      </c>
      <c r="AG2396" s="9">
        <v>2.5999999999999999E-2</v>
      </c>
      <c r="AH2396" s="9">
        <v>4.01</v>
      </c>
      <c r="AI2396" s="9">
        <v>0.66</v>
      </c>
      <c r="AJ2396" s="9">
        <v>2.1000000000000001E-2</v>
      </c>
      <c r="AK2396" s="9">
        <v>2E-3</v>
      </c>
      <c r="AL2396" s="9">
        <v>19.899999999999999</v>
      </c>
      <c r="AM2396" s="9">
        <v>1.82</v>
      </c>
      <c r="AN2396" s="9">
        <v>0.22</v>
      </c>
      <c r="AO2396" s="9">
        <v>0.13700000000000001</v>
      </c>
      <c r="AP2396"/>
    </row>
    <row r="2397" spans="1:42" x14ac:dyDescent="0.3">
      <c r="A2397" t="s">
        <v>1868</v>
      </c>
      <c r="B2397" t="s">
        <v>1736</v>
      </c>
      <c r="C2397">
        <v>83</v>
      </c>
      <c r="D2397" s="8">
        <v>1.4481999999999999</v>
      </c>
      <c r="F2397">
        <v>3.62</v>
      </c>
      <c r="G2397" t="s">
        <v>192</v>
      </c>
      <c r="H2397">
        <v>8.35</v>
      </c>
      <c r="I2397" s="4">
        <v>-1.3</v>
      </c>
      <c r="J2397" s="3">
        <v>0.05</v>
      </c>
      <c r="L2397" t="s">
        <v>172</v>
      </c>
      <c r="M2397" t="s">
        <v>171</v>
      </c>
      <c r="N2397" s="3">
        <v>1.3</v>
      </c>
      <c r="O2397" s="3">
        <v>0</v>
      </c>
      <c r="P2397">
        <v>55</v>
      </c>
      <c r="Q2397">
        <v>8.35</v>
      </c>
      <c r="R2397" t="s">
        <v>983</v>
      </c>
      <c r="S2397">
        <v>0.6</v>
      </c>
      <c r="T2397" s="6">
        <f>10^-(14-Q2397)</f>
        <v>2.2387211385683329E-6</v>
      </c>
      <c r="U2397" s="6">
        <v>0.2</v>
      </c>
      <c r="V2397" s="6">
        <v>0.15</v>
      </c>
      <c r="W2397" s="6">
        <v>0</v>
      </c>
      <c r="X2397" s="6">
        <v>0.15</v>
      </c>
      <c r="Y2397" t="s">
        <v>171</v>
      </c>
      <c r="Z2397" s="5">
        <v>-160</v>
      </c>
      <c r="AD2397">
        <v>0.16666666666666666</v>
      </c>
      <c r="AE2397">
        <v>529</v>
      </c>
      <c r="AF2397">
        <v>1</v>
      </c>
      <c r="AG2397" s="9">
        <v>2.5999999999999999E-2</v>
      </c>
      <c r="AH2397" s="9">
        <v>4.01</v>
      </c>
      <c r="AI2397" s="9">
        <v>0.66</v>
      </c>
      <c r="AJ2397" s="9">
        <v>2.1000000000000001E-2</v>
      </c>
      <c r="AK2397" s="9">
        <v>2E-3</v>
      </c>
      <c r="AL2397" s="9">
        <v>19.899999999999999</v>
      </c>
      <c r="AM2397" s="9">
        <v>1.82</v>
      </c>
      <c r="AN2397" s="9">
        <v>0.22</v>
      </c>
      <c r="AO2397" s="9">
        <v>0.13700000000000001</v>
      </c>
      <c r="AP2397"/>
    </row>
    <row r="2398" spans="1:42" x14ac:dyDescent="0.3">
      <c r="A2398" t="s">
        <v>1883</v>
      </c>
      <c r="B2398" t="s">
        <v>1736</v>
      </c>
      <c r="C2398">
        <v>83</v>
      </c>
      <c r="D2398" s="8">
        <v>1.4481999999999999</v>
      </c>
      <c r="F2398">
        <v>3.62</v>
      </c>
      <c r="G2398" t="s">
        <v>192</v>
      </c>
      <c r="H2398">
        <v>8.35</v>
      </c>
      <c r="I2398" s="4">
        <v>-1.3</v>
      </c>
      <c r="J2398" s="3">
        <v>0.05</v>
      </c>
      <c r="L2398" t="s">
        <v>172</v>
      </c>
      <c r="M2398" t="s">
        <v>171</v>
      </c>
      <c r="N2398" s="3">
        <v>1.3</v>
      </c>
      <c r="O2398" s="3">
        <v>0</v>
      </c>
      <c r="P2398">
        <v>55</v>
      </c>
      <c r="Q2398">
        <v>8.35</v>
      </c>
      <c r="R2398" t="s">
        <v>983</v>
      </c>
      <c r="S2398">
        <v>0.6</v>
      </c>
      <c r="T2398" s="6">
        <f>10^-(14-Q2398)</f>
        <v>2.2387211385683329E-6</v>
      </c>
      <c r="U2398" s="6">
        <v>0.2</v>
      </c>
      <c r="V2398" s="6">
        <v>0.15</v>
      </c>
      <c r="W2398" s="6">
        <v>0</v>
      </c>
      <c r="X2398" s="6">
        <v>0.15</v>
      </c>
      <c r="Y2398" t="s">
        <v>171</v>
      </c>
      <c r="Z2398" s="5">
        <v>-160</v>
      </c>
      <c r="AD2398">
        <v>0.16666666666666666</v>
      </c>
      <c r="AE2398">
        <v>641</v>
      </c>
      <c r="AF2398">
        <v>2</v>
      </c>
      <c r="AG2398" s="9">
        <v>2.5999999999999999E-2</v>
      </c>
      <c r="AH2398" s="9">
        <v>4.01</v>
      </c>
      <c r="AI2398" s="9">
        <v>0.66</v>
      </c>
      <c r="AJ2398" s="9">
        <v>2.1000000000000001E-2</v>
      </c>
      <c r="AK2398" s="9">
        <v>2E-3</v>
      </c>
      <c r="AL2398" s="9">
        <v>19.899999999999999</v>
      </c>
      <c r="AM2398" s="9">
        <v>1.82</v>
      </c>
      <c r="AN2398" s="9">
        <v>0.22</v>
      </c>
      <c r="AO2398" s="9">
        <v>0.13700000000000001</v>
      </c>
      <c r="AP2398"/>
    </row>
    <row r="2399" spans="1:42" x14ac:dyDescent="0.3">
      <c r="A2399" t="s">
        <v>1747</v>
      </c>
      <c r="B2399" t="s">
        <v>1736</v>
      </c>
      <c r="C2399">
        <v>83</v>
      </c>
      <c r="D2399" s="8">
        <v>1.4161999999999999</v>
      </c>
      <c r="E2399">
        <v>600</v>
      </c>
      <c r="G2399" t="s">
        <v>192</v>
      </c>
      <c r="H2399">
        <v>8.35</v>
      </c>
      <c r="I2399" s="4">
        <v>-1.3</v>
      </c>
      <c r="J2399" s="3">
        <v>0.05</v>
      </c>
      <c r="L2399" t="s">
        <v>172</v>
      </c>
      <c r="M2399" t="s">
        <v>171</v>
      </c>
      <c r="N2399" s="3">
        <v>1.3</v>
      </c>
      <c r="O2399" s="3">
        <v>0</v>
      </c>
      <c r="P2399">
        <v>35</v>
      </c>
      <c r="Q2399">
        <v>8.35</v>
      </c>
      <c r="R2399" t="s">
        <v>983</v>
      </c>
      <c r="S2399">
        <v>0.6</v>
      </c>
      <c r="T2399" s="6">
        <f>10^-(14-Q2399)</f>
        <v>2.2387211385683329E-6</v>
      </c>
      <c r="U2399" s="6">
        <v>0.2</v>
      </c>
      <c r="V2399" s="6">
        <v>0.15</v>
      </c>
      <c r="W2399" s="6">
        <v>0</v>
      </c>
      <c r="X2399" s="6">
        <v>0.15</v>
      </c>
      <c r="Y2399" t="s">
        <v>171</v>
      </c>
      <c r="AD2399">
        <v>0.16666666666666666</v>
      </c>
      <c r="AE2399">
        <v>667</v>
      </c>
      <c r="AF2399">
        <v>2</v>
      </c>
      <c r="AG2399" s="9">
        <v>2.8000000000000001E-2</v>
      </c>
      <c r="AH2399" s="9">
        <v>4.71</v>
      </c>
      <c r="AI2399" s="9">
        <v>0.63</v>
      </c>
      <c r="AJ2399" s="9">
        <v>0.02</v>
      </c>
      <c r="AK2399" s="9">
        <v>1E-3</v>
      </c>
      <c r="AL2399" s="9">
        <v>21.5</v>
      </c>
      <c r="AM2399" s="9">
        <v>1.6</v>
      </c>
      <c r="AN2399" s="9">
        <v>0.21</v>
      </c>
      <c r="AO2399" s="9">
        <v>0.216</v>
      </c>
      <c r="AP2399"/>
    </row>
    <row r="2400" spans="1:42" x14ac:dyDescent="0.3">
      <c r="A2400" t="s">
        <v>1762</v>
      </c>
      <c r="B2400" t="s">
        <v>1736</v>
      </c>
      <c r="C2400">
        <v>83</v>
      </c>
      <c r="D2400" s="8">
        <v>1.4161999999999999</v>
      </c>
      <c r="E2400">
        <v>600</v>
      </c>
      <c r="G2400" t="s">
        <v>192</v>
      </c>
      <c r="H2400">
        <v>8.35</v>
      </c>
      <c r="I2400" s="4">
        <v>-1.3</v>
      </c>
      <c r="J2400" s="3">
        <v>0.05</v>
      </c>
      <c r="L2400" t="s">
        <v>172</v>
      </c>
      <c r="M2400" t="s">
        <v>171</v>
      </c>
      <c r="N2400" s="3">
        <v>1.3</v>
      </c>
      <c r="O2400" s="3">
        <v>0</v>
      </c>
      <c r="P2400">
        <v>35</v>
      </c>
      <c r="Q2400">
        <v>8.35</v>
      </c>
      <c r="R2400" t="s">
        <v>983</v>
      </c>
      <c r="S2400">
        <v>0.6</v>
      </c>
      <c r="T2400" s="6">
        <f>10^-(14-Q2400)</f>
        <v>2.2387211385683329E-6</v>
      </c>
      <c r="U2400" s="6">
        <v>0.2</v>
      </c>
      <c r="V2400" s="6">
        <v>0.15</v>
      </c>
      <c r="W2400" s="6">
        <v>0</v>
      </c>
      <c r="X2400" s="6">
        <v>0.15</v>
      </c>
      <c r="Y2400" t="s">
        <v>171</v>
      </c>
      <c r="AD2400">
        <v>0.16666666666666666</v>
      </c>
      <c r="AE2400">
        <v>658</v>
      </c>
      <c r="AF2400">
        <v>2</v>
      </c>
      <c r="AG2400" s="9">
        <v>2.8000000000000001E-2</v>
      </c>
      <c r="AH2400" s="9">
        <v>4.71</v>
      </c>
      <c r="AI2400" s="9">
        <v>0.63</v>
      </c>
      <c r="AJ2400" s="9">
        <v>0.02</v>
      </c>
      <c r="AK2400" s="9">
        <v>1E-3</v>
      </c>
      <c r="AL2400" s="9">
        <v>21.5</v>
      </c>
      <c r="AM2400" s="9">
        <v>1.6</v>
      </c>
      <c r="AN2400" s="9">
        <v>0.21</v>
      </c>
      <c r="AO2400" s="9">
        <v>0.216</v>
      </c>
      <c r="AP2400"/>
    </row>
    <row r="2401" spans="1:42" x14ac:dyDescent="0.3">
      <c r="A2401" t="s">
        <v>1777</v>
      </c>
      <c r="B2401" t="s">
        <v>1736</v>
      </c>
      <c r="C2401">
        <v>83</v>
      </c>
      <c r="D2401" s="8">
        <v>1.4161999999999999</v>
      </c>
      <c r="F2401">
        <v>3.625</v>
      </c>
      <c r="G2401" t="s">
        <v>192</v>
      </c>
      <c r="H2401">
        <v>8.35</v>
      </c>
      <c r="I2401" s="4">
        <v>-1.3</v>
      </c>
      <c r="J2401" s="3">
        <v>0.05</v>
      </c>
      <c r="L2401" t="s">
        <v>172</v>
      </c>
      <c r="M2401" t="s">
        <v>171</v>
      </c>
      <c r="N2401" s="3">
        <v>1.3</v>
      </c>
      <c r="O2401" s="3">
        <v>0</v>
      </c>
      <c r="P2401">
        <v>35</v>
      </c>
      <c r="Q2401">
        <v>8.35</v>
      </c>
      <c r="R2401" t="s">
        <v>983</v>
      </c>
      <c r="S2401">
        <v>0.6</v>
      </c>
      <c r="T2401" s="6">
        <f>10^-(14-Q2401)</f>
        <v>2.2387211385683329E-6</v>
      </c>
      <c r="U2401" s="6">
        <v>0.2</v>
      </c>
      <c r="V2401" s="6">
        <v>0.15</v>
      </c>
      <c r="W2401" s="6">
        <v>0</v>
      </c>
      <c r="X2401" s="6">
        <v>0.15</v>
      </c>
      <c r="Y2401" t="s">
        <v>171</v>
      </c>
      <c r="Z2401" s="5">
        <v>-160</v>
      </c>
      <c r="AD2401">
        <v>0.16666666666666666</v>
      </c>
      <c r="AE2401">
        <v>684</v>
      </c>
      <c r="AF2401">
        <v>2</v>
      </c>
      <c r="AG2401" s="9">
        <v>2.8000000000000001E-2</v>
      </c>
      <c r="AH2401" s="9">
        <v>4.71</v>
      </c>
      <c r="AI2401" s="9">
        <v>0.63</v>
      </c>
      <c r="AJ2401" s="9">
        <v>0.02</v>
      </c>
      <c r="AK2401" s="9">
        <v>1E-3</v>
      </c>
      <c r="AL2401" s="9">
        <v>21.5</v>
      </c>
      <c r="AM2401" s="9">
        <v>1.6</v>
      </c>
      <c r="AN2401" s="9">
        <v>0.21</v>
      </c>
      <c r="AO2401" s="9">
        <v>0.216</v>
      </c>
      <c r="AP2401"/>
    </row>
    <row r="2402" spans="1:42" x14ac:dyDescent="0.3">
      <c r="A2402" t="s">
        <v>1792</v>
      </c>
      <c r="B2402" t="s">
        <v>1736</v>
      </c>
      <c r="C2402">
        <v>83</v>
      </c>
      <c r="D2402" s="8">
        <v>1.4161999999999999</v>
      </c>
      <c r="F2402">
        <v>3.625</v>
      </c>
      <c r="G2402" t="s">
        <v>192</v>
      </c>
      <c r="H2402">
        <v>8.35</v>
      </c>
      <c r="I2402" s="4">
        <v>-1.3</v>
      </c>
      <c r="J2402" s="3">
        <v>0.05</v>
      </c>
      <c r="L2402" t="s">
        <v>172</v>
      </c>
      <c r="M2402" t="s">
        <v>171</v>
      </c>
      <c r="N2402" s="3">
        <v>1.3</v>
      </c>
      <c r="O2402" s="3">
        <v>0</v>
      </c>
      <c r="P2402">
        <v>35</v>
      </c>
      <c r="Q2402">
        <v>8.35</v>
      </c>
      <c r="R2402" t="s">
        <v>983</v>
      </c>
      <c r="S2402">
        <v>0.6</v>
      </c>
      <c r="T2402" s="6">
        <f>10^-(14-Q2402)</f>
        <v>2.2387211385683329E-6</v>
      </c>
      <c r="U2402" s="6">
        <v>0.2</v>
      </c>
      <c r="V2402" s="6">
        <v>0.15</v>
      </c>
      <c r="W2402" s="6">
        <v>0</v>
      </c>
      <c r="X2402" s="6">
        <v>0.15</v>
      </c>
      <c r="Y2402" t="s">
        <v>171</v>
      </c>
      <c r="Z2402" s="5">
        <v>-160</v>
      </c>
      <c r="AD2402">
        <v>0.16666666666666666</v>
      </c>
      <c r="AE2402">
        <v>671</v>
      </c>
      <c r="AF2402">
        <v>2</v>
      </c>
      <c r="AG2402" s="9">
        <v>2.8000000000000001E-2</v>
      </c>
      <c r="AH2402" s="9">
        <v>4.71</v>
      </c>
      <c r="AI2402" s="9">
        <v>0.63</v>
      </c>
      <c r="AJ2402" s="9">
        <v>0.02</v>
      </c>
      <c r="AK2402" s="9">
        <v>1E-3</v>
      </c>
      <c r="AL2402" s="9">
        <v>21.5</v>
      </c>
      <c r="AM2402" s="9">
        <v>1.6</v>
      </c>
      <c r="AN2402" s="9">
        <v>0.21</v>
      </c>
      <c r="AO2402" s="9">
        <v>0.216</v>
      </c>
      <c r="AP2402"/>
    </row>
    <row r="2403" spans="1:42" x14ac:dyDescent="0.3">
      <c r="A2403" t="s">
        <v>1807</v>
      </c>
      <c r="B2403" t="s">
        <v>1736</v>
      </c>
      <c r="C2403">
        <v>83</v>
      </c>
      <c r="D2403" s="8">
        <v>1.4161999999999999</v>
      </c>
      <c r="E2403">
        <v>600</v>
      </c>
      <c r="G2403" t="s">
        <v>192</v>
      </c>
      <c r="H2403">
        <v>8.35</v>
      </c>
      <c r="I2403" s="4">
        <v>-1.3</v>
      </c>
      <c r="J2403" s="3">
        <v>0.05</v>
      </c>
      <c r="L2403" t="s">
        <v>172</v>
      </c>
      <c r="M2403" t="s">
        <v>171</v>
      </c>
      <c r="N2403" s="3">
        <v>1.3</v>
      </c>
      <c r="O2403" s="3">
        <v>0</v>
      </c>
      <c r="P2403">
        <v>55</v>
      </c>
      <c r="Q2403">
        <v>8.35</v>
      </c>
      <c r="R2403" t="s">
        <v>983</v>
      </c>
      <c r="S2403">
        <v>0.6</v>
      </c>
      <c r="T2403" s="6">
        <f>10^-(14-Q2403)</f>
        <v>2.2387211385683329E-6</v>
      </c>
      <c r="U2403" s="6">
        <v>0.2</v>
      </c>
      <c r="V2403" s="6">
        <v>0.15</v>
      </c>
      <c r="W2403" s="6">
        <v>0</v>
      </c>
      <c r="X2403" s="6">
        <v>0.15</v>
      </c>
      <c r="Y2403" t="s">
        <v>171</v>
      </c>
      <c r="AD2403">
        <v>0.16666666666666666</v>
      </c>
      <c r="AE2403">
        <v>283</v>
      </c>
      <c r="AF2403">
        <v>1</v>
      </c>
      <c r="AG2403" s="9">
        <v>2.8000000000000001E-2</v>
      </c>
      <c r="AH2403" s="9">
        <v>4.71</v>
      </c>
      <c r="AI2403" s="9">
        <v>0.63</v>
      </c>
      <c r="AJ2403" s="9">
        <v>0.02</v>
      </c>
      <c r="AK2403" s="9">
        <v>1E-3</v>
      </c>
      <c r="AL2403" s="9">
        <v>21.5</v>
      </c>
      <c r="AM2403" s="9">
        <v>1.6</v>
      </c>
      <c r="AN2403" s="9">
        <v>0.21</v>
      </c>
      <c r="AO2403" s="9">
        <v>0.216</v>
      </c>
      <c r="AP2403"/>
    </row>
    <row r="2404" spans="1:42" x14ac:dyDescent="0.3">
      <c r="A2404" t="s">
        <v>1822</v>
      </c>
      <c r="B2404" t="s">
        <v>1736</v>
      </c>
      <c r="C2404">
        <v>83</v>
      </c>
      <c r="D2404" s="8">
        <v>1.4161999999999999</v>
      </c>
      <c r="E2404">
        <v>600</v>
      </c>
      <c r="G2404" t="s">
        <v>192</v>
      </c>
      <c r="H2404">
        <v>8.35</v>
      </c>
      <c r="I2404" s="4">
        <v>-1.3</v>
      </c>
      <c r="J2404" s="3">
        <v>0.05</v>
      </c>
      <c r="L2404" t="s">
        <v>172</v>
      </c>
      <c r="M2404" t="s">
        <v>171</v>
      </c>
      <c r="N2404" s="3">
        <v>1.3</v>
      </c>
      <c r="O2404" s="3">
        <v>0</v>
      </c>
      <c r="P2404">
        <v>55</v>
      </c>
      <c r="Q2404">
        <v>8.35</v>
      </c>
      <c r="R2404" t="s">
        <v>983</v>
      </c>
      <c r="S2404">
        <v>0.6</v>
      </c>
      <c r="T2404" s="6">
        <f>10^-(14-Q2404)</f>
        <v>2.2387211385683329E-6</v>
      </c>
      <c r="U2404" s="6">
        <v>0.2</v>
      </c>
      <c r="V2404" s="6">
        <v>0.15</v>
      </c>
      <c r="W2404" s="6">
        <v>0</v>
      </c>
      <c r="X2404" s="6">
        <v>0.15</v>
      </c>
      <c r="Y2404" t="s">
        <v>171</v>
      </c>
      <c r="AD2404">
        <v>0.16666666666666666</v>
      </c>
      <c r="AE2404">
        <v>246</v>
      </c>
      <c r="AF2404">
        <v>1</v>
      </c>
      <c r="AG2404" s="9">
        <v>2.8000000000000001E-2</v>
      </c>
      <c r="AH2404" s="9">
        <v>4.71</v>
      </c>
      <c r="AI2404" s="9">
        <v>0.63</v>
      </c>
      <c r="AJ2404" s="9">
        <v>0.02</v>
      </c>
      <c r="AK2404" s="9">
        <v>1E-3</v>
      </c>
      <c r="AL2404" s="9">
        <v>21.5</v>
      </c>
      <c r="AM2404" s="9">
        <v>1.6</v>
      </c>
      <c r="AN2404" s="9">
        <v>0.21</v>
      </c>
      <c r="AO2404" s="9">
        <v>0.216</v>
      </c>
      <c r="AP2404"/>
    </row>
    <row r="2405" spans="1:42" x14ac:dyDescent="0.3">
      <c r="A2405" t="s">
        <v>1844</v>
      </c>
      <c r="B2405" t="s">
        <v>1736</v>
      </c>
      <c r="C2405">
        <v>83</v>
      </c>
      <c r="D2405" s="8">
        <v>1.4161999999999999</v>
      </c>
      <c r="F2405">
        <v>3.625</v>
      </c>
      <c r="G2405" t="s">
        <v>192</v>
      </c>
      <c r="H2405">
        <v>6.9</v>
      </c>
      <c r="I2405" s="4">
        <v>-1.3</v>
      </c>
      <c r="J2405" s="3">
        <v>0.05</v>
      </c>
      <c r="L2405" t="s">
        <v>172</v>
      </c>
      <c r="M2405" t="s">
        <v>171</v>
      </c>
      <c r="N2405" s="3">
        <v>1.6</v>
      </c>
      <c r="O2405" s="3">
        <v>0</v>
      </c>
      <c r="P2405">
        <v>55</v>
      </c>
      <c r="Q2405">
        <v>6.9</v>
      </c>
      <c r="R2405" t="s">
        <v>983</v>
      </c>
      <c r="S2405">
        <v>0.6</v>
      </c>
      <c r="T2405" s="6">
        <f>10^-(14-Q2405)</f>
        <v>7.943282347242818E-8</v>
      </c>
      <c r="U2405" s="6">
        <v>0.2</v>
      </c>
      <c r="V2405" s="6">
        <v>0.15</v>
      </c>
      <c r="W2405" s="6">
        <v>0</v>
      </c>
      <c r="X2405" s="6">
        <v>0.15</v>
      </c>
      <c r="Y2405" t="s">
        <v>171</v>
      </c>
      <c r="Z2405" s="5">
        <v>-200</v>
      </c>
      <c r="AD2405">
        <v>0.16666666666666666</v>
      </c>
      <c r="AE2405">
        <v>47</v>
      </c>
      <c r="AF2405">
        <v>1</v>
      </c>
      <c r="AG2405" s="9">
        <v>2.8000000000000001E-2</v>
      </c>
      <c r="AH2405" s="9">
        <v>4.71</v>
      </c>
      <c r="AI2405" s="9">
        <v>0.63</v>
      </c>
      <c r="AJ2405" s="9">
        <v>0.02</v>
      </c>
      <c r="AK2405" s="9">
        <v>1E-3</v>
      </c>
      <c r="AL2405" s="9">
        <v>21.5</v>
      </c>
      <c r="AM2405" s="9">
        <v>1.6</v>
      </c>
      <c r="AN2405" s="9">
        <v>0.21</v>
      </c>
      <c r="AO2405" s="9">
        <v>0.216</v>
      </c>
      <c r="AP2405"/>
    </row>
    <row r="2406" spans="1:42" x14ac:dyDescent="0.3">
      <c r="A2406" t="s">
        <v>1855</v>
      </c>
      <c r="B2406" t="s">
        <v>1736</v>
      </c>
      <c r="C2406">
        <v>83</v>
      </c>
      <c r="D2406" s="8">
        <v>1.4161999999999999</v>
      </c>
      <c r="F2406">
        <v>3.625</v>
      </c>
      <c r="G2406" t="s">
        <v>192</v>
      </c>
      <c r="H2406">
        <v>6.9</v>
      </c>
      <c r="I2406" s="4">
        <v>-1.3</v>
      </c>
      <c r="J2406" s="3">
        <v>0.05</v>
      </c>
      <c r="L2406" t="s">
        <v>172</v>
      </c>
      <c r="M2406" t="s">
        <v>171</v>
      </c>
      <c r="N2406" s="3">
        <v>1.6</v>
      </c>
      <c r="O2406" s="3">
        <v>0</v>
      </c>
      <c r="P2406">
        <v>55</v>
      </c>
      <c r="Q2406">
        <v>6.9</v>
      </c>
      <c r="R2406" t="s">
        <v>983</v>
      </c>
      <c r="S2406">
        <v>0.6</v>
      </c>
      <c r="T2406" s="6">
        <f>10^-(14-Q2406)</f>
        <v>7.943282347242818E-8</v>
      </c>
      <c r="U2406" s="6">
        <v>0.2</v>
      </c>
      <c r="V2406" s="6">
        <v>0.15</v>
      </c>
      <c r="W2406" s="6">
        <v>0</v>
      </c>
      <c r="X2406" s="6">
        <v>0.15</v>
      </c>
      <c r="Y2406" t="s">
        <v>171</v>
      </c>
      <c r="Z2406" s="5">
        <v>-200</v>
      </c>
      <c r="AD2406">
        <v>0.16666666666666666</v>
      </c>
      <c r="AE2406">
        <v>-68</v>
      </c>
      <c r="AF2406">
        <v>1</v>
      </c>
      <c r="AG2406" s="9">
        <v>2.8000000000000001E-2</v>
      </c>
      <c r="AH2406" s="9">
        <v>4.71</v>
      </c>
      <c r="AI2406" s="9">
        <v>0.63</v>
      </c>
      <c r="AJ2406" s="9">
        <v>0.02</v>
      </c>
      <c r="AK2406" s="9">
        <v>1E-3</v>
      </c>
      <c r="AL2406" s="9">
        <v>21.5</v>
      </c>
      <c r="AM2406" s="9">
        <v>1.6</v>
      </c>
      <c r="AN2406" s="9">
        <v>0.21</v>
      </c>
      <c r="AO2406" s="9">
        <v>0.216</v>
      </c>
      <c r="AP2406"/>
    </row>
    <row r="2407" spans="1:42" x14ac:dyDescent="0.3">
      <c r="A2407" t="s">
        <v>1874</v>
      </c>
      <c r="B2407" t="s">
        <v>1736</v>
      </c>
      <c r="C2407">
        <v>83</v>
      </c>
      <c r="D2407" s="8">
        <v>1.4161999999999999</v>
      </c>
      <c r="F2407">
        <v>3.625</v>
      </c>
      <c r="G2407" t="s">
        <v>192</v>
      </c>
      <c r="H2407">
        <v>8.35</v>
      </c>
      <c r="I2407" s="4">
        <v>-1.3</v>
      </c>
      <c r="J2407" s="3">
        <v>0.05</v>
      </c>
      <c r="L2407" t="s">
        <v>172</v>
      </c>
      <c r="M2407" t="s">
        <v>171</v>
      </c>
      <c r="N2407" s="3">
        <v>1.3</v>
      </c>
      <c r="O2407" s="3">
        <v>0</v>
      </c>
      <c r="P2407">
        <v>55</v>
      </c>
      <c r="Q2407">
        <v>8.35</v>
      </c>
      <c r="R2407" t="s">
        <v>983</v>
      </c>
      <c r="S2407">
        <v>0.6</v>
      </c>
      <c r="T2407" s="6">
        <f>10^-(14-Q2407)</f>
        <v>2.2387211385683329E-6</v>
      </c>
      <c r="U2407" s="6">
        <v>0.2</v>
      </c>
      <c r="V2407" s="6">
        <v>0.15</v>
      </c>
      <c r="W2407" s="6">
        <v>0</v>
      </c>
      <c r="X2407" s="6">
        <v>0.15</v>
      </c>
      <c r="Y2407" t="s">
        <v>171</v>
      </c>
      <c r="Z2407" s="5">
        <v>-150</v>
      </c>
      <c r="AD2407">
        <v>0.16666666666666666</v>
      </c>
      <c r="AE2407">
        <v>590</v>
      </c>
      <c r="AF2407">
        <v>1</v>
      </c>
      <c r="AG2407" s="9">
        <v>2.8000000000000001E-2</v>
      </c>
      <c r="AH2407" s="9">
        <v>4.71</v>
      </c>
      <c r="AI2407" s="9">
        <v>0.63</v>
      </c>
      <c r="AJ2407" s="9">
        <v>0.02</v>
      </c>
      <c r="AK2407" s="9">
        <v>1E-3</v>
      </c>
      <c r="AL2407" s="9">
        <v>21.5</v>
      </c>
      <c r="AM2407" s="9">
        <v>1.6</v>
      </c>
      <c r="AN2407" s="9">
        <v>0.21</v>
      </c>
      <c r="AO2407" s="9">
        <v>0.216</v>
      </c>
      <c r="AP2407"/>
    </row>
    <row r="2408" spans="1:42" x14ac:dyDescent="0.3">
      <c r="A2408" t="s">
        <v>1889</v>
      </c>
      <c r="B2408" t="s">
        <v>1736</v>
      </c>
      <c r="C2408">
        <v>83</v>
      </c>
      <c r="D2408" s="8">
        <v>1.4161999999999999</v>
      </c>
      <c r="F2408">
        <v>3.625</v>
      </c>
      <c r="G2408" t="s">
        <v>192</v>
      </c>
      <c r="H2408">
        <v>8.35</v>
      </c>
      <c r="I2408" s="4">
        <v>-1.3</v>
      </c>
      <c r="J2408" s="3">
        <v>0.05</v>
      </c>
      <c r="L2408" t="s">
        <v>172</v>
      </c>
      <c r="M2408" t="s">
        <v>171</v>
      </c>
      <c r="N2408" s="3">
        <v>1.3</v>
      </c>
      <c r="O2408" s="3">
        <v>0</v>
      </c>
      <c r="P2408">
        <v>55</v>
      </c>
      <c r="Q2408">
        <v>8.35</v>
      </c>
      <c r="R2408" t="s">
        <v>983</v>
      </c>
      <c r="S2408">
        <v>0.6</v>
      </c>
      <c r="T2408" s="6">
        <f>10^-(14-Q2408)</f>
        <v>2.2387211385683329E-6</v>
      </c>
      <c r="U2408" s="6">
        <v>0.2</v>
      </c>
      <c r="V2408" s="6">
        <v>0.15</v>
      </c>
      <c r="W2408" s="6">
        <v>0</v>
      </c>
      <c r="X2408" s="6">
        <v>0.15</v>
      </c>
      <c r="Y2408" t="s">
        <v>171</v>
      </c>
      <c r="Z2408" s="5">
        <v>-150</v>
      </c>
      <c r="AD2408">
        <v>0.16666666666666666</v>
      </c>
      <c r="AE2408">
        <v>586</v>
      </c>
      <c r="AF2408">
        <v>1</v>
      </c>
      <c r="AG2408" s="9">
        <v>2.8000000000000001E-2</v>
      </c>
      <c r="AH2408" s="9">
        <v>4.71</v>
      </c>
      <c r="AI2408" s="9">
        <v>0.63</v>
      </c>
      <c r="AJ2408" s="9">
        <v>0.02</v>
      </c>
      <c r="AK2408" s="9">
        <v>1E-3</v>
      </c>
      <c r="AL2408" s="9">
        <v>21.5</v>
      </c>
      <c r="AM2408" s="9">
        <v>1.6</v>
      </c>
      <c r="AN2408" s="9">
        <v>0.21</v>
      </c>
      <c r="AO2408" s="9">
        <v>0.216</v>
      </c>
      <c r="AP2408"/>
    </row>
    <row r="2409" spans="1:42" x14ac:dyDescent="0.3">
      <c r="A2409" t="s">
        <v>1738</v>
      </c>
      <c r="B2409" t="s">
        <v>1736</v>
      </c>
      <c r="C2409">
        <v>83</v>
      </c>
      <c r="D2409" s="8">
        <v>1.4461999999999999</v>
      </c>
      <c r="E2409">
        <v>600</v>
      </c>
      <c r="G2409" t="s">
        <v>192</v>
      </c>
      <c r="H2409">
        <v>8.35</v>
      </c>
      <c r="I2409" s="4">
        <v>-1.3</v>
      </c>
      <c r="J2409" s="3">
        <v>0.05</v>
      </c>
      <c r="L2409" t="s">
        <v>172</v>
      </c>
      <c r="M2409" t="s">
        <v>171</v>
      </c>
      <c r="N2409" s="3">
        <v>1.3</v>
      </c>
      <c r="O2409" s="3">
        <v>0</v>
      </c>
      <c r="P2409">
        <v>35</v>
      </c>
      <c r="Q2409">
        <v>8.35</v>
      </c>
      <c r="R2409" t="s">
        <v>983</v>
      </c>
      <c r="S2409">
        <v>0.6</v>
      </c>
      <c r="T2409" s="6">
        <f>10^-(14-Q2409)</f>
        <v>2.2387211385683329E-6</v>
      </c>
      <c r="U2409" s="6">
        <v>0.2</v>
      </c>
      <c r="V2409" s="6">
        <v>0.15</v>
      </c>
      <c r="W2409" s="6">
        <v>0</v>
      </c>
      <c r="X2409" s="6">
        <v>0.15</v>
      </c>
      <c r="Y2409" t="s">
        <v>171</v>
      </c>
      <c r="AD2409">
        <v>0.16666666666666666</v>
      </c>
      <c r="AE2409">
        <v>670</v>
      </c>
      <c r="AF2409">
        <v>2</v>
      </c>
      <c r="AG2409" s="9">
        <v>2.1000000000000001E-2</v>
      </c>
      <c r="AH2409" s="9">
        <v>1.37</v>
      </c>
      <c r="AI2409" s="9">
        <v>0.42</v>
      </c>
      <c r="AJ2409" s="9">
        <v>2.7E-2</v>
      </c>
      <c r="AK2409" s="9">
        <v>1E-3</v>
      </c>
      <c r="AL2409" s="9">
        <v>22.7</v>
      </c>
      <c r="AM2409" s="9">
        <v>5.44</v>
      </c>
      <c r="AN2409" s="9">
        <v>3.23</v>
      </c>
      <c r="AO2409" s="9">
        <v>0.154</v>
      </c>
      <c r="AP2409"/>
    </row>
    <row r="2410" spans="1:42" x14ac:dyDescent="0.3">
      <c r="A2410" t="s">
        <v>1753</v>
      </c>
      <c r="B2410" t="s">
        <v>1736</v>
      </c>
      <c r="C2410">
        <v>83</v>
      </c>
      <c r="D2410" s="8">
        <v>1.4461999999999999</v>
      </c>
      <c r="E2410">
        <v>600</v>
      </c>
      <c r="G2410" t="s">
        <v>192</v>
      </c>
      <c r="H2410">
        <v>8.35</v>
      </c>
      <c r="I2410" s="4">
        <v>-1.3</v>
      </c>
      <c r="J2410" s="3">
        <v>0.05</v>
      </c>
      <c r="L2410" t="s">
        <v>172</v>
      </c>
      <c r="M2410" t="s">
        <v>171</v>
      </c>
      <c r="N2410" s="3">
        <v>1.3</v>
      </c>
      <c r="O2410" s="3">
        <v>0</v>
      </c>
      <c r="P2410">
        <v>35</v>
      </c>
      <c r="Q2410">
        <v>8.35</v>
      </c>
      <c r="R2410" t="s">
        <v>983</v>
      </c>
      <c r="S2410">
        <v>0.6</v>
      </c>
      <c r="T2410" s="6">
        <f>10^-(14-Q2410)</f>
        <v>2.2387211385683329E-6</v>
      </c>
      <c r="U2410" s="6">
        <v>0.2</v>
      </c>
      <c r="V2410" s="6">
        <v>0.15</v>
      </c>
      <c r="W2410" s="6">
        <v>0</v>
      </c>
      <c r="X2410" s="6">
        <v>0.15</v>
      </c>
      <c r="Y2410" t="s">
        <v>171</v>
      </c>
      <c r="AD2410">
        <v>0.16666666666666666</v>
      </c>
      <c r="AE2410">
        <v>650</v>
      </c>
      <c r="AF2410">
        <v>2</v>
      </c>
      <c r="AG2410" s="9">
        <v>2.1000000000000001E-2</v>
      </c>
      <c r="AH2410" s="9">
        <v>1.37</v>
      </c>
      <c r="AI2410" s="9">
        <v>0.42</v>
      </c>
      <c r="AJ2410" s="9">
        <v>2.7E-2</v>
      </c>
      <c r="AK2410" s="9">
        <v>1E-3</v>
      </c>
      <c r="AL2410" s="9">
        <v>22.7</v>
      </c>
      <c r="AM2410" s="9">
        <v>5.44</v>
      </c>
      <c r="AN2410" s="9">
        <v>3.23</v>
      </c>
      <c r="AO2410" s="9">
        <v>0.154</v>
      </c>
      <c r="AP2410"/>
    </row>
    <row r="2411" spans="1:42" x14ac:dyDescent="0.3">
      <c r="A2411" t="s">
        <v>1768</v>
      </c>
      <c r="B2411" t="s">
        <v>1736</v>
      </c>
      <c r="C2411">
        <v>83</v>
      </c>
      <c r="D2411" s="8">
        <v>1.4461999999999999</v>
      </c>
      <c r="F2411">
        <v>0.48499999999999999</v>
      </c>
      <c r="G2411" t="s">
        <v>192</v>
      </c>
      <c r="H2411">
        <v>8.35</v>
      </c>
      <c r="I2411" s="4">
        <v>-1.3</v>
      </c>
      <c r="J2411" s="3">
        <v>0.05</v>
      </c>
      <c r="L2411" t="s">
        <v>172</v>
      </c>
      <c r="M2411" t="s">
        <v>171</v>
      </c>
      <c r="N2411" s="3">
        <v>1.3</v>
      </c>
      <c r="O2411" s="3">
        <v>0</v>
      </c>
      <c r="P2411">
        <v>35</v>
      </c>
      <c r="Q2411">
        <v>8.35</v>
      </c>
      <c r="R2411" t="s">
        <v>983</v>
      </c>
      <c r="S2411">
        <v>0.6</v>
      </c>
      <c r="T2411" s="6">
        <f>10^-(14-Q2411)</f>
        <v>2.2387211385683329E-6</v>
      </c>
      <c r="U2411" s="6">
        <v>0.2</v>
      </c>
      <c r="V2411" s="6">
        <v>0.15</v>
      </c>
      <c r="W2411" s="6">
        <v>0</v>
      </c>
      <c r="X2411" s="6">
        <v>0.15</v>
      </c>
      <c r="Y2411" t="s">
        <v>171</v>
      </c>
      <c r="Z2411" s="5">
        <v>-140</v>
      </c>
      <c r="AD2411">
        <v>0.16666666666666666</v>
      </c>
      <c r="AE2411">
        <v>668</v>
      </c>
      <c r="AF2411">
        <v>2</v>
      </c>
      <c r="AG2411" s="9">
        <v>2.1000000000000001E-2</v>
      </c>
      <c r="AH2411" s="9">
        <v>1.37</v>
      </c>
      <c r="AI2411" s="9">
        <v>0.42</v>
      </c>
      <c r="AJ2411" s="9">
        <v>2.7E-2</v>
      </c>
      <c r="AK2411" s="9">
        <v>1E-3</v>
      </c>
      <c r="AL2411" s="9">
        <v>22.7</v>
      </c>
      <c r="AM2411" s="9">
        <v>5.44</v>
      </c>
      <c r="AN2411" s="9">
        <v>3.23</v>
      </c>
      <c r="AO2411" s="9">
        <v>0.154</v>
      </c>
      <c r="AP2411"/>
    </row>
    <row r="2412" spans="1:42" x14ac:dyDescent="0.3">
      <c r="A2412" t="s">
        <v>1783</v>
      </c>
      <c r="B2412" t="s">
        <v>1736</v>
      </c>
      <c r="C2412">
        <v>83</v>
      </c>
      <c r="D2412" s="8">
        <v>1.4461999999999999</v>
      </c>
      <c r="F2412">
        <v>0.48499999999999999</v>
      </c>
      <c r="G2412" t="s">
        <v>192</v>
      </c>
      <c r="H2412">
        <v>8.35</v>
      </c>
      <c r="I2412" s="4">
        <v>-1.3</v>
      </c>
      <c r="J2412" s="3">
        <v>0.05</v>
      </c>
      <c r="L2412" t="s">
        <v>172</v>
      </c>
      <c r="M2412" t="s">
        <v>171</v>
      </c>
      <c r="N2412" s="3">
        <v>1.3</v>
      </c>
      <c r="O2412" s="3">
        <v>0</v>
      </c>
      <c r="P2412">
        <v>35</v>
      </c>
      <c r="Q2412">
        <v>8.35</v>
      </c>
      <c r="R2412" t="s">
        <v>983</v>
      </c>
      <c r="S2412">
        <v>0.6</v>
      </c>
      <c r="T2412" s="6">
        <f>10^-(14-Q2412)</f>
        <v>2.2387211385683329E-6</v>
      </c>
      <c r="U2412" s="6">
        <v>0.2</v>
      </c>
      <c r="V2412" s="6">
        <v>0.15</v>
      </c>
      <c r="W2412" s="6">
        <v>0</v>
      </c>
      <c r="X2412" s="6">
        <v>0.15</v>
      </c>
      <c r="Y2412" t="s">
        <v>171</v>
      </c>
      <c r="Z2412" s="5">
        <v>-140</v>
      </c>
      <c r="AD2412">
        <v>0.16666666666666666</v>
      </c>
      <c r="AE2412">
        <v>631</v>
      </c>
      <c r="AF2412">
        <v>2</v>
      </c>
      <c r="AG2412" s="9">
        <v>2.1000000000000001E-2</v>
      </c>
      <c r="AH2412" s="9">
        <v>1.37</v>
      </c>
      <c r="AI2412" s="9">
        <v>0.42</v>
      </c>
      <c r="AJ2412" s="9">
        <v>2.7E-2</v>
      </c>
      <c r="AK2412" s="9">
        <v>1E-3</v>
      </c>
      <c r="AL2412" s="9">
        <v>22.7</v>
      </c>
      <c r="AM2412" s="9">
        <v>5.44</v>
      </c>
      <c r="AN2412" s="9">
        <v>3.23</v>
      </c>
      <c r="AO2412" s="9">
        <v>0.154</v>
      </c>
      <c r="AP2412"/>
    </row>
    <row r="2413" spans="1:42" x14ac:dyDescent="0.3">
      <c r="A2413" t="s">
        <v>1798</v>
      </c>
      <c r="B2413" t="s">
        <v>1736</v>
      </c>
      <c r="C2413">
        <v>83</v>
      </c>
      <c r="D2413" s="8">
        <v>1.4461999999999999</v>
      </c>
      <c r="E2413">
        <v>600</v>
      </c>
      <c r="G2413" t="s">
        <v>192</v>
      </c>
      <c r="H2413">
        <v>8.35</v>
      </c>
      <c r="I2413" s="4">
        <v>-1.3</v>
      </c>
      <c r="J2413" s="3">
        <v>0.05</v>
      </c>
      <c r="L2413" t="s">
        <v>172</v>
      </c>
      <c r="M2413" t="s">
        <v>171</v>
      </c>
      <c r="N2413" s="3">
        <v>1.3</v>
      </c>
      <c r="O2413" s="3">
        <v>0</v>
      </c>
      <c r="P2413">
        <v>55</v>
      </c>
      <c r="Q2413">
        <v>8.35</v>
      </c>
      <c r="R2413" t="s">
        <v>983</v>
      </c>
      <c r="S2413">
        <v>0.6</v>
      </c>
      <c r="T2413" s="6">
        <f>10^-(14-Q2413)</f>
        <v>2.2387211385683329E-6</v>
      </c>
      <c r="U2413" s="6">
        <v>0.2</v>
      </c>
      <c r="V2413" s="6">
        <v>0.15</v>
      </c>
      <c r="W2413" s="6">
        <v>0</v>
      </c>
      <c r="X2413" s="6">
        <v>0.15</v>
      </c>
      <c r="Y2413" t="s">
        <v>171</v>
      </c>
      <c r="AD2413">
        <v>0.16666666666666666</v>
      </c>
      <c r="AE2413">
        <v>501</v>
      </c>
      <c r="AF2413">
        <v>1</v>
      </c>
      <c r="AG2413" s="9">
        <v>2.1000000000000001E-2</v>
      </c>
      <c r="AH2413" s="9">
        <v>1.37</v>
      </c>
      <c r="AI2413" s="9">
        <v>0.42</v>
      </c>
      <c r="AJ2413" s="9">
        <v>2.7E-2</v>
      </c>
      <c r="AK2413" s="9">
        <v>1E-3</v>
      </c>
      <c r="AL2413" s="9">
        <v>22.7</v>
      </c>
      <c r="AM2413" s="9">
        <v>5.44</v>
      </c>
      <c r="AN2413" s="9">
        <v>3.23</v>
      </c>
      <c r="AO2413" s="9">
        <v>0.154</v>
      </c>
      <c r="AP2413"/>
    </row>
    <row r="2414" spans="1:42" x14ac:dyDescent="0.3">
      <c r="A2414" t="s">
        <v>1813</v>
      </c>
      <c r="B2414" t="s">
        <v>1736</v>
      </c>
      <c r="C2414">
        <v>83</v>
      </c>
      <c r="D2414" s="8">
        <v>1.4461999999999999</v>
      </c>
      <c r="E2414">
        <v>600</v>
      </c>
      <c r="G2414" t="s">
        <v>192</v>
      </c>
      <c r="H2414">
        <v>8.35</v>
      </c>
      <c r="I2414" s="4">
        <v>-1.3</v>
      </c>
      <c r="J2414" s="3">
        <v>0.05</v>
      </c>
      <c r="L2414" t="s">
        <v>172</v>
      </c>
      <c r="M2414" t="s">
        <v>171</v>
      </c>
      <c r="N2414" s="3">
        <v>1.3</v>
      </c>
      <c r="O2414" s="3">
        <v>0</v>
      </c>
      <c r="P2414">
        <v>55</v>
      </c>
      <c r="Q2414">
        <v>8.35</v>
      </c>
      <c r="R2414" t="s">
        <v>983</v>
      </c>
      <c r="S2414">
        <v>0.6</v>
      </c>
      <c r="T2414" s="6">
        <f>10^-(14-Q2414)</f>
        <v>2.2387211385683329E-6</v>
      </c>
      <c r="U2414" s="6">
        <v>0.2</v>
      </c>
      <c r="V2414" s="6">
        <v>0.15</v>
      </c>
      <c r="W2414" s="6">
        <v>0</v>
      </c>
      <c r="X2414" s="6">
        <v>0.15</v>
      </c>
      <c r="Y2414" t="s">
        <v>171</v>
      </c>
      <c r="AD2414">
        <v>0.16666666666666666</v>
      </c>
      <c r="AE2414">
        <v>494</v>
      </c>
      <c r="AF2414">
        <v>1</v>
      </c>
      <c r="AG2414" s="9">
        <v>2.1000000000000001E-2</v>
      </c>
      <c r="AH2414" s="9">
        <v>1.37</v>
      </c>
      <c r="AI2414" s="9">
        <v>0.42</v>
      </c>
      <c r="AJ2414" s="9">
        <v>2.7E-2</v>
      </c>
      <c r="AK2414" s="9">
        <v>1E-3</v>
      </c>
      <c r="AL2414" s="9">
        <v>22.7</v>
      </c>
      <c r="AM2414" s="9">
        <v>5.44</v>
      </c>
      <c r="AN2414" s="9">
        <v>3.23</v>
      </c>
      <c r="AO2414" s="9">
        <v>0.154</v>
      </c>
      <c r="AP2414"/>
    </row>
    <row r="2415" spans="1:42" x14ac:dyDescent="0.3">
      <c r="A2415" t="s">
        <v>1828</v>
      </c>
      <c r="B2415" t="s">
        <v>1736</v>
      </c>
      <c r="C2415">
        <v>83</v>
      </c>
      <c r="D2415" s="8">
        <v>1.4481999999999999</v>
      </c>
      <c r="F2415">
        <v>3.62</v>
      </c>
      <c r="G2415" t="s">
        <v>192</v>
      </c>
      <c r="H2415">
        <v>6.9</v>
      </c>
      <c r="I2415" s="4">
        <v>-1.3</v>
      </c>
      <c r="J2415" s="3">
        <v>0.05</v>
      </c>
      <c r="L2415" t="s">
        <v>172</v>
      </c>
      <c r="M2415" t="s">
        <v>171</v>
      </c>
      <c r="N2415" s="3">
        <v>1.6</v>
      </c>
      <c r="O2415" s="3">
        <v>0</v>
      </c>
      <c r="P2415">
        <v>35</v>
      </c>
      <c r="Q2415">
        <v>6.9</v>
      </c>
      <c r="R2415" t="s">
        <v>983</v>
      </c>
      <c r="S2415">
        <v>0.6</v>
      </c>
      <c r="T2415" s="6">
        <f>10^-(14-Q2415)</f>
        <v>7.943282347242818E-8</v>
      </c>
      <c r="U2415" s="6">
        <v>0.2</v>
      </c>
      <c r="V2415" s="6">
        <v>0.15</v>
      </c>
      <c r="W2415" s="6">
        <v>0</v>
      </c>
      <c r="X2415" s="6">
        <v>0.15</v>
      </c>
      <c r="Y2415" t="s">
        <v>171</v>
      </c>
      <c r="Z2415" s="5">
        <v>-190</v>
      </c>
      <c r="AD2415">
        <v>0.16666666666666666</v>
      </c>
      <c r="AE2415">
        <v>477</v>
      </c>
      <c r="AF2415">
        <v>1</v>
      </c>
      <c r="AG2415" s="9">
        <v>2.1000000000000001E-2</v>
      </c>
      <c r="AH2415" s="9">
        <v>1.37</v>
      </c>
      <c r="AI2415" s="9">
        <v>0.42</v>
      </c>
      <c r="AJ2415" s="9">
        <v>2.7E-2</v>
      </c>
      <c r="AK2415" s="9">
        <v>1E-3</v>
      </c>
      <c r="AL2415" s="9">
        <v>22.7</v>
      </c>
      <c r="AM2415" s="9">
        <v>5.44</v>
      </c>
      <c r="AN2415" s="9">
        <v>3.23</v>
      </c>
      <c r="AO2415" s="9">
        <v>0.154</v>
      </c>
      <c r="AP2415"/>
    </row>
    <row r="2416" spans="1:42" x14ac:dyDescent="0.3">
      <c r="A2416" t="s">
        <v>1838</v>
      </c>
      <c r="B2416" t="s">
        <v>1736</v>
      </c>
      <c r="C2416">
        <v>83</v>
      </c>
      <c r="D2416" s="8">
        <v>1.4461999999999999</v>
      </c>
      <c r="F2416">
        <v>0.48499999999999999</v>
      </c>
      <c r="G2416" t="s">
        <v>192</v>
      </c>
      <c r="H2416">
        <v>6.9</v>
      </c>
      <c r="I2416" s="4">
        <v>-1.3</v>
      </c>
      <c r="J2416" s="3">
        <v>0.05</v>
      </c>
      <c r="L2416" t="s">
        <v>172</v>
      </c>
      <c r="M2416" t="s">
        <v>171</v>
      </c>
      <c r="N2416" s="3">
        <v>1.6</v>
      </c>
      <c r="O2416" s="3">
        <v>0</v>
      </c>
      <c r="P2416">
        <v>55</v>
      </c>
      <c r="Q2416">
        <v>6.9</v>
      </c>
      <c r="R2416" t="s">
        <v>983</v>
      </c>
      <c r="S2416">
        <v>0.6</v>
      </c>
      <c r="T2416" s="6">
        <f>10^-(14-Q2416)</f>
        <v>7.943282347242818E-8</v>
      </c>
      <c r="U2416" s="6">
        <v>0.2</v>
      </c>
      <c r="V2416" s="6">
        <v>0.15</v>
      </c>
      <c r="W2416" s="6">
        <v>0</v>
      </c>
      <c r="X2416" s="6">
        <v>0.15</v>
      </c>
      <c r="Y2416" t="s">
        <v>171</v>
      </c>
      <c r="Z2416" s="5">
        <v>-180</v>
      </c>
      <c r="AD2416">
        <v>0.16666666666666666</v>
      </c>
      <c r="AE2416">
        <v>567</v>
      </c>
      <c r="AF2416">
        <v>1</v>
      </c>
      <c r="AG2416" s="9">
        <v>2.1000000000000001E-2</v>
      </c>
      <c r="AH2416" s="9">
        <v>1.37</v>
      </c>
      <c r="AI2416" s="9">
        <v>0.42</v>
      </c>
      <c r="AJ2416" s="9">
        <v>2.7E-2</v>
      </c>
      <c r="AK2416" s="9">
        <v>1E-3</v>
      </c>
      <c r="AL2416" s="9">
        <v>22.7</v>
      </c>
      <c r="AM2416" s="9">
        <v>5.44</v>
      </c>
      <c r="AN2416" s="9">
        <v>3.23</v>
      </c>
      <c r="AO2416" s="9">
        <v>0.154</v>
      </c>
      <c r="AP2416"/>
    </row>
    <row r="2417" spans="1:42" x14ac:dyDescent="0.3">
      <c r="A2417" t="s">
        <v>1849</v>
      </c>
      <c r="B2417" t="s">
        <v>1736</v>
      </c>
      <c r="C2417">
        <v>83</v>
      </c>
      <c r="D2417" s="8">
        <v>1.4461999999999999</v>
      </c>
      <c r="F2417">
        <v>0.48499999999999999</v>
      </c>
      <c r="G2417" t="s">
        <v>192</v>
      </c>
      <c r="H2417">
        <v>6.9</v>
      </c>
      <c r="I2417" s="4">
        <v>-1.3</v>
      </c>
      <c r="J2417" s="3">
        <v>0.05</v>
      </c>
      <c r="L2417" t="s">
        <v>172</v>
      </c>
      <c r="M2417" t="s">
        <v>171</v>
      </c>
      <c r="N2417" s="3">
        <v>1.6</v>
      </c>
      <c r="O2417" s="3">
        <v>0</v>
      </c>
      <c r="P2417">
        <v>55</v>
      </c>
      <c r="Q2417">
        <v>6.9</v>
      </c>
      <c r="R2417" t="s">
        <v>983</v>
      </c>
      <c r="S2417">
        <v>0.6</v>
      </c>
      <c r="T2417" s="6">
        <f>10^-(14-Q2417)</f>
        <v>7.943282347242818E-8</v>
      </c>
      <c r="U2417" s="6">
        <v>0.2</v>
      </c>
      <c r="V2417" s="6">
        <v>0.15</v>
      </c>
      <c r="W2417" s="6">
        <v>0</v>
      </c>
      <c r="X2417" s="6">
        <v>0.15</v>
      </c>
      <c r="Y2417" t="s">
        <v>171</v>
      </c>
      <c r="Z2417" s="5">
        <v>-180</v>
      </c>
      <c r="AD2417">
        <v>0.16666666666666666</v>
      </c>
      <c r="AE2417">
        <v>642</v>
      </c>
      <c r="AF2417">
        <v>2</v>
      </c>
      <c r="AG2417" s="9">
        <v>2.1000000000000001E-2</v>
      </c>
      <c r="AH2417" s="9">
        <v>1.37</v>
      </c>
      <c r="AI2417" s="9">
        <v>0.42</v>
      </c>
      <c r="AJ2417" s="9">
        <v>2.7E-2</v>
      </c>
      <c r="AK2417" s="9">
        <v>1E-3</v>
      </c>
      <c r="AL2417" s="9">
        <v>22.7</v>
      </c>
      <c r="AM2417" s="9">
        <v>5.44</v>
      </c>
      <c r="AN2417" s="9">
        <v>3.23</v>
      </c>
      <c r="AO2417" s="9">
        <v>0.154</v>
      </c>
      <c r="AP2417"/>
    </row>
    <row r="2418" spans="1:42" x14ac:dyDescent="0.3">
      <c r="A2418" t="s">
        <v>1865</v>
      </c>
      <c r="B2418" t="s">
        <v>1736</v>
      </c>
      <c r="C2418">
        <v>83</v>
      </c>
      <c r="D2418" s="8">
        <v>1.4461999999999999</v>
      </c>
      <c r="F2418">
        <v>0.48499999999999999</v>
      </c>
      <c r="G2418" t="s">
        <v>192</v>
      </c>
      <c r="H2418">
        <v>8.35</v>
      </c>
      <c r="I2418" s="4">
        <v>-1.3</v>
      </c>
      <c r="J2418" s="3">
        <v>0.05</v>
      </c>
      <c r="L2418" t="s">
        <v>172</v>
      </c>
      <c r="M2418" t="s">
        <v>171</v>
      </c>
      <c r="N2418" s="3">
        <v>1.3</v>
      </c>
      <c r="O2418" s="3">
        <v>0</v>
      </c>
      <c r="P2418">
        <v>55</v>
      </c>
      <c r="Q2418">
        <v>8.35</v>
      </c>
      <c r="R2418" t="s">
        <v>983</v>
      </c>
      <c r="S2418">
        <v>0.6</v>
      </c>
      <c r="T2418" s="6">
        <f>10^-(14-Q2418)</f>
        <v>2.2387211385683329E-6</v>
      </c>
      <c r="U2418" s="6">
        <v>0.2</v>
      </c>
      <c r="V2418" s="6">
        <v>0.15</v>
      </c>
      <c r="W2418" s="6">
        <v>0</v>
      </c>
      <c r="X2418" s="6">
        <v>0.15</v>
      </c>
      <c r="Y2418" t="s">
        <v>171</v>
      </c>
      <c r="Z2418" s="5">
        <v>-130</v>
      </c>
      <c r="AD2418">
        <v>0.16666666666666666</v>
      </c>
      <c r="AE2418">
        <v>573</v>
      </c>
      <c r="AF2418">
        <v>1</v>
      </c>
      <c r="AG2418" s="9">
        <v>2.1000000000000001E-2</v>
      </c>
      <c r="AH2418" s="9">
        <v>1.37</v>
      </c>
      <c r="AI2418" s="9">
        <v>0.42</v>
      </c>
      <c r="AJ2418" s="9">
        <v>2.7E-2</v>
      </c>
      <c r="AK2418" s="9">
        <v>1E-3</v>
      </c>
      <c r="AL2418" s="9">
        <v>22.7</v>
      </c>
      <c r="AM2418" s="9">
        <v>5.44</v>
      </c>
      <c r="AN2418" s="9">
        <v>3.23</v>
      </c>
      <c r="AO2418" s="9">
        <v>0.154</v>
      </c>
      <c r="AP2418"/>
    </row>
    <row r="2419" spans="1:42" x14ac:dyDescent="0.3">
      <c r="A2419" t="s">
        <v>1880</v>
      </c>
      <c r="B2419" t="s">
        <v>1736</v>
      </c>
      <c r="C2419">
        <v>83</v>
      </c>
      <c r="D2419" s="8">
        <v>1.4461999999999999</v>
      </c>
      <c r="F2419">
        <v>0.48499999999999999</v>
      </c>
      <c r="G2419" t="s">
        <v>192</v>
      </c>
      <c r="H2419">
        <v>8.35</v>
      </c>
      <c r="I2419" s="4">
        <v>-1.3</v>
      </c>
      <c r="J2419" s="3">
        <v>0.05</v>
      </c>
      <c r="L2419" t="s">
        <v>172</v>
      </c>
      <c r="M2419" t="s">
        <v>171</v>
      </c>
      <c r="N2419" s="3">
        <v>1.3</v>
      </c>
      <c r="O2419" s="3">
        <v>0</v>
      </c>
      <c r="P2419">
        <v>55</v>
      </c>
      <c r="Q2419">
        <v>8.35</v>
      </c>
      <c r="R2419" t="s">
        <v>983</v>
      </c>
      <c r="S2419">
        <v>0.6</v>
      </c>
      <c r="T2419" s="6">
        <f>10^-(14-Q2419)</f>
        <v>2.2387211385683329E-6</v>
      </c>
      <c r="U2419" s="6">
        <v>0.2</v>
      </c>
      <c r="V2419" s="6">
        <v>0.15</v>
      </c>
      <c r="W2419" s="6">
        <v>0</v>
      </c>
      <c r="X2419" s="6">
        <v>0.15</v>
      </c>
      <c r="Y2419" t="s">
        <v>171</v>
      </c>
      <c r="Z2419" s="5">
        <v>-130</v>
      </c>
      <c r="AD2419">
        <v>0.16666666666666666</v>
      </c>
      <c r="AE2419">
        <v>546</v>
      </c>
      <c r="AF2419">
        <v>1</v>
      </c>
      <c r="AG2419" s="9">
        <v>2.1000000000000001E-2</v>
      </c>
      <c r="AH2419" s="9">
        <v>1.37</v>
      </c>
      <c r="AI2419" s="9">
        <v>0.42</v>
      </c>
      <c r="AJ2419" s="9">
        <v>2.7E-2</v>
      </c>
      <c r="AK2419" s="9">
        <v>1E-3</v>
      </c>
      <c r="AL2419" s="9">
        <v>22.7</v>
      </c>
      <c r="AM2419" s="9">
        <v>5.44</v>
      </c>
      <c r="AN2419" s="9">
        <v>3.23</v>
      </c>
      <c r="AO2419" s="9">
        <v>0.154</v>
      </c>
      <c r="AP2419"/>
    </row>
    <row r="2420" spans="1:42" x14ac:dyDescent="0.3">
      <c r="A2420" t="s">
        <v>1739</v>
      </c>
      <c r="B2420" t="s">
        <v>1736</v>
      </c>
      <c r="C2420">
        <v>83</v>
      </c>
      <c r="D2420" s="8">
        <v>1.4461999999999999</v>
      </c>
      <c r="E2420">
        <v>600</v>
      </c>
      <c r="G2420" t="s">
        <v>192</v>
      </c>
      <c r="H2420">
        <v>8.35</v>
      </c>
      <c r="I2420" s="4">
        <v>-1.3</v>
      </c>
      <c r="J2420" s="3">
        <v>0.05</v>
      </c>
      <c r="L2420" t="s">
        <v>172</v>
      </c>
      <c r="M2420" t="s">
        <v>171</v>
      </c>
      <c r="N2420" s="3">
        <v>1.3</v>
      </c>
      <c r="O2420" s="3">
        <v>0</v>
      </c>
      <c r="P2420">
        <v>35</v>
      </c>
      <c r="Q2420">
        <v>8.35</v>
      </c>
      <c r="R2420" t="s">
        <v>983</v>
      </c>
      <c r="S2420">
        <v>0.6</v>
      </c>
      <c r="T2420" s="6">
        <f>10^-(14-Q2420)</f>
        <v>2.2387211385683329E-6</v>
      </c>
      <c r="U2420" s="6">
        <v>0.2</v>
      </c>
      <c r="V2420" s="6">
        <v>0.15</v>
      </c>
      <c r="W2420" s="6">
        <v>0</v>
      </c>
      <c r="X2420" s="6">
        <v>0.15</v>
      </c>
      <c r="Y2420" t="s">
        <v>171</v>
      </c>
      <c r="AD2420">
        <v>0.16666666666666666</v>
      </c>
      <c r="AE2420">
        <v>675</v>
      </c>
      <c r="AF2420">
        <v>2</v>
      </c>
      <c r="AG2420" s="9">
        <v>1.7000000000000001E-2</v>
      </c>
      <c r="AH2420" s="9">
        <v>1.4</v>
      </c>
      <c r="AI2420" s="9">
        <v>0.49</v>
      </c>
      <c r="AJ2420" s="9">
        <v>2.5999999999999999E-2</v>
      </c>
      <c r="AK2420" s="9">
        <v>1E-3</v>
      </c>
      <c r="AL2420" s="9">
        <v>22.9</v>
      </c>
      <c r="AM2420" s="9">
        <v>5.44</v>
      </c>
      <c r="AN2420" s="9">
        <v>3.28</v>
      </c>
      <c r="AO2420" s="9">
        <v>0.16200000000000001</v>
      </c>
      <c r="AP2420"/>
    </row>
    <row r="2421" spans="1:42" x14ac:dyDescent="0.3">
      <c r="A2421" t="s">
        <v>1754</v>
      </c>
      <c r="B2421" t="s">
        <v>1736</v>
      </c>
      <c r="C2421">
        <v>83</v>
      </c>
      <c r="D2421" s="8">
        <v>1.4461999999999999</v>
      </c>
      <c r="E2421">
        <v>600</v>
      </c>
      <c r="G2421" t="s">
        <v>192</v>
      </c>
      <c r="H2421">
        <v>8.35</v>
      </c>
      <c r="I2421" s="4">
        <v>-1.3</v>
      </c>
      <c r="J2421" s="3">
        <v>0.05</v>
      </c>
      <c r="L2421" t="s">
        <v>172</v>
      </c>
      <c r="M2421" t="s">
        <v>171</v>
      </c>
      <c r="N2421" s="3">
        <v>1.3</v>
      </c>
      <c r="O2421" s="3">
        <v>0</v>
      </c>
      <c r="P2421">
        <v>35</v>
      </c>
      <c r="Q2421">
        <v>8.35</v>
      </c>
      <c r="R2421" t="s">
        <v>983</v>
      </c>
      <c r="S2421">
        <v>0.6</v>
      </c>
      <c r="T2421" s="6">
        <f>10^-(14-Q2421)</f>
        <v>2.2387211385683329E-6</v>
      </c>
      <c r="U2421" s="6">
        <v>0.2</v>
      </c>
      <c r="V2421" s="6">
        <v>0.15</v>
      </c>
      <c r="W2421" s="6">
        <v>0</v>
      </c>
      <c r="X2421" s="6">
        <v>0.15</v>
      </c>
      <c r="Y2421" t="s">
        <v>171</v>
      </c>
      <c r="AD2421">
        <v>0.16666666666666666</v>
      </c>
      <c r="AE2421">
        <v>675</v>
      </c>
      <c r="AF2421">
        <v>2</v>
      </c>
      <c r="AG2421" s="9">
        <v>1.7000000000000001E-2</v>
      </c>
      <c r="AH2421" s="9">
        <v>1.4</v>
      </c>
      <c r="AI2421" s="9">
        <v>0.49</v>
      </c>
      <c r="AJ2421" s="9">
        <v>2.5999999999999999E-2</v>
      </c>
      <c r="AK2421" s="9">
        <v>1E-3</v>
      </c>
      <c r="AL2421" s="9">
        <v>22.9</v>
      </c>
      <c r="AM2421" s="9">
        <v>5.44</v>
      </c>
      <c r="AN2421" s="9">
        <v>3.28</v>
      </c>
      <c r="AO2421" s="9">
        <v>0.16200000000000001</v>
      </c>
      <c r="AP2421"/>
    </row>
    <row r="2422" spans="1:42" x14ac:dyDescent="0.3">
      <c r="A2422" t="s">
        <v>1769</v>
      </c>
      <c r="B2422" t="s">
        <v>1736</v>
      </c>
      <c r="C2422">
        <v>83</v>
      </c>
      <c r="D2422" s="8">
        <v>1.4461999999999999</v>
      </c>
      <c r="F2422">
        <v>0.48499999999999999</v>
      </c>
      <c r="G2422" t="s">
        <v>192</v>
      </c>
      <c r="H2422">
        <v>8.35</v>
      </c>
      <c r="I2422" s="4">
        <v>-1.3</v>
      </c>
      <c r="J2422" s="3">
        <v>0.05</v>
      </c>
      <c r="L2422" t="s">
        <v>172</v>
      </c>
      <c r="M2422" t="s">
        <v>171</v>
      </c>
      <c r="N2422" s="3">
        <v>1.3</v>
      </c>
      <c r="O2422" s="3">
        <v>0</v>
      </c>
      <c r="P2422">
        <v>35</v>
      </c>
      <c r="Q2422">
        <v>8.35</v>
      </c>
      <c r="R2422" t="s">
        <v>983</v>
      </c>
      <c r="S2422">
        <v>0.6</v>
      </c>
      <c r="T2422" s="6">
        <f>10^-(14-Q2422)</f>
        <v>2.2387211385683329E-6</v>
      </c>
      <c r="U2422" s="6">
        <v>0.2</v>
      </c>
      <c r="V2422" s="6">
        <v>0.15</v>
      </c>
      <c r="W2422" s="6">
        <v>0</v>
      </c>
      <c r="X2422" s="6">
        <v>0.15</v>
      </c>
      <c r="Y2422" t="s">
        <v>171</v>
      </c>
      <c r="Z2422" s="5">
        <v>-140</v>
      </c>
      <c r="AD2422">
        <v>0.16666666666666666</v>
      </c>
      <c r="AE2422">
        <v>664</v>
      </c>
      <c r="AF2422">
        <v>2</v>
      </c>
      <c r="AG2422" s="9">
        <v>1.7000000000000001E-2</v>
      </c>
      <c r="AH2422" s="9">
        <v>1.4</v>
      </c>
      <c r="AI2422" s="9">
        <v>0.49</v>
      </c>
      <c r="AJ2422" s="9">
        <v>2.5999999999999999E-2</v>
      </c>
      <c r="AK2422" s="9">
        <v>1E-3</v>
      </c>
      <c r="AL2422" s="9">
        <v>22.9</v>
      </c>
      <c r="AM2422" s="9">
        <v>5.44</v>
      </c>
      <c r="AN2422" s="9">
        <v>3.28</v>
      </c>
      <c r="AO2422" s="9">
        <v>0.16200000000000001</v>
      </c>
      <c r="AP2422"/>
    </row>
    <row r="2423" spans="1:42" x14ac:dyDescent="0.3">
      <c r="A2423" t="s">
        <v>1784</v>
      </c>
      <c r="B2423" t="s">
        <v>1736</v>
      </c>
      <c r="C2423">
        <v>83</v>
      </c>
      <c r="D2423" s="8">
        <v>1.4461999999999999</v>
      </c>
      <c r="F2423">
        <v>0.48499999999999999</v>
      </c>
      <c r="G2423" t="s">
        <v>192</v>
      </c>
      <c r="H2423">
        <v>8.35</v>
      </c>
      <c r="I2423" s="4">
        <v>-1.3</v>
      </c>
      <c r="J2423" s="3">
        <v>0.05</v>
      </c>
      <c r="L2423" t="s">
        <v>172</v>
      </c>
      <c r="M2423" t="s">
        <v>171</v>
      </c>
      <c r="N2423" s="3">
        <v>1.3</v>
      </c>
      <c r="O2423" s="3">
        <v>0</v>
      </c>
      <c r="P2423">
        <v>35</v>
      </c>
      <c r="Q2423">
        <v>8.35</v>
      </c>
      <c r="R2423" t="s">
        <v>983</v>
      </c>
      <c r="S2423">
        <v>0.6</v>
      </c>
      <c r="T2423" s="6">
        <f>10^-(14-Q2423)</f>
        <v>2.2387211385683329E-6</v>
      </c>
      <c r="U2423" s="6">
        <v>0.2</v>
      </c>
      <c r="V2423" s="6">
        <v>0.15</v>
      </c>
      <c r="W2423" s="6">
        <v>0</v>
      </c>
      <c r="X2423" s="6">
        <v>0.15</v>
      </c>
      <c r="Y2423" t="s">
        <v>171</v>
      </c>
      <c r="Z2423" s="5">
        <v>-140</v>
      </c>
      <c r="AD2423">
        <v>0.16666666666666666</v>
      </c>
      <c r="AE2423">
        <v>656</v>
      </c>
      <c r="AF2423">
        <v>2</v>
      </c>
      <c r="AG2423" s="9">
        <v>1.7000000000000001E-2</v>
      </c>
      <c r="AH2423" s="9">
        <v>1.4</v>
      </c>
      <c r="AI2423" s="9">
        <v>0.49</v>
      </c>
      <c r="AJ2423" s="9">
        <v>2.5999999999999999E-2</v>
      </c>
      <c r="AK2423" s="9">
        <v>1E-3</v>
      </c>
      <c r="AL2423" s="9">
        <v>22.9</v>
      </c>
      <c r="AM2423" s="9">
        <v>5.44</v>
      </c>
      <c r="AN2423" s="9">
        <v>3.28</v>
      </c>
      <c r="AO2423" s="9">
        <v>0.16200000000000001</v>
      </c>
      <c r="AP2423"/>
    </row>
    <row r="2424" spans="1:42" x14ac:dyDescent="0.3">
      <c r="A2424" t="s">
        <v>1799</v>
      </c>
      <c r="B2424" t="s">
        <v>1736</v>
      </c>
      <c r="C2424">
        <v>83</v>
      </c>
      <c r="D2424" s="8">
        <v>1.4461999999999999</v>
      </c>
      <c r="E2424">
        <v>600</v>
      </c>
      <c r="G2424" t="s">
        <v>192</v>
      </c>
      <c r="H2424">
        <v>8.35</v>
      </c>
      <c r="I2424" s="4">
        <v>-1.3</v>
      </c>
      <c r="J2424" s="3">
        <v>0.05</v>
      </c>
      <c r="L2424" t="s">
        <v>172</v>
      </c>
      <c r="M2424" t="s">
        <v>171</v>
      </c>
      <c r="N2424" s="3">
        <v>1.3</v>
      </c>
      <c r="O2424" s="3">
        <v>0</v>
      </c>
      <c r="P2424">
        <v>55</v>
      </c>
      <c r="Q2424">
        <v>8.35</v>
      </c>
      <c r="R2424" t="s">
        <v>983</v>
      </c>
      <c r="S2424">
        <v>0.6</v>
      </c>
      <c r="T2424" s="6">
        <f>10^-(14-Q2424)</f>
        <v>2.2387211385683329E-6</v>
      </c>
      <c r="U2424" s="6">
        <v>0.2</v>
      </c>
      <c r="V2424" s="6">
        <v>0.15</v>
      </c>
      <c r="W2424" s="6">
        <v>0</v>
      </c>
      <c r="X2424" s="6">
        <v>0.15</v>
      </c>
      <c r="Y2424" t="s">
        <v>171</v>
      </c>
      <c r="AD2424">
        <v>0.16666666666666666</v>
      </c>
      <c r="AE2424">
        <v>617</v>
      </c>
      <c r="AF2424">
        <v>2</v>
      </c>
      <c r="AG2424" s="9">
        <v>1.7000000000000001E-2</v>
      </c>
      <c r="AH2424" s="9">
        <v>1.4</v>
      </c>
      <c r="AI2424" s="9">
        <v>0.49</v>
      </c>
      <c r="AJ2424" s="9">
        <v>2.5999999999999999E-2</v>
      </c>
      <c r="AK2424" s="9">
        <v>1E-3</v>
      </c>
      <c r="AL2424" s="9">
        <v>22.9</v>
      </c>
      <c r="AM2424" s="9">
        <v>5.44</v>
      </c>
      <c r="AN2424" s="9">
        <v>3.28</v>
      </c>
      <c r="AO2424" s="9">
        <v>0.16200000000000001</v>
      </c>
      <c r="AP2424"/>
    </row>
    <row r="2425" spans="1:42" x14ac:dyDescent="0.3">
      <c r="A2425" t="s">
        <v>1814</v>
      </c>
      <c r="B2425" t="s">
        <v>1736</v>
      </c>
      <c r="C2425">
        <v>83</v>
      </c>
      <c r="D2425" s="8">
        <v>1.4461999999999999</v>
      </c>
      <c r="E2425">
        <v>600</v>
      </c>
      <c r="G2425" t="s">
        <v>192</v>
      </c>
      <c r="H2425">
        <v>8.35</v>
      </c>
      <c r="I2425" s="4">
        <v>-1.3</v>
      </c>
      <c r="J2425" s="3">
        <v>0.05</v>
      </c>
      <c r="L2425" t="s">
        <v>172</v>
      </c>
      <c r="M2425" t="s">
        <v>171</v>
      </c>
      <c r="N2425" s="3">
        <v>1.3</v>
      </c>
      <c r="O2425" s="3">
        <v>0</v>
      </c>
      <c r="P2425">
        <v>55</v>
      </c>
      <c r="Q2425">
        <v>8.35</v>
      </c>
      <c r="R2425" t="s">
        <v>983</v>
      </c>
      <c r="S2425">
        <v>0.6</v>
      </c>
      <c r="T2425" s="6">
        <f>10^-(14-Q2425)</f>
        <v>2.2387211385683329E-6</v>
      </c>
      <c r="U2425" s="6">
        <v>0.2</v>
      </c>
      <c r="V2425" s="6">
        <v>0.15</v>
      </c>
      <c r="W2425" s="6">
        <v>0</v>
      </c>
      <c r="X2425" s="6">
        <v>0.15</v>
      </c>
      <c r="Y2425" t="s">
        <v>171</v>
      </c>
      <c r="AD2425">
        <v>0.16666666666666666</v>
      </c>
      <c r="AE2425">
        <v>623</v>
      </c>
      <c r="AF2425">
        <v>2</v>
      </c>
      <c r="AG2425" s="9">
        <v>1.7000000000000001E-2</v>
      </c>
      <c r="AH2425" s="9">
        <v>1.4</v>
      </c>
      <c r="AI2425" s="9">
        <v>0.49</v>
      </c>
      <c r="AJ2425" s="9">
        <v>2.5999999999999999E-2</v>
      </c>
      <c r="AK2425" s="9">
        <v>1E-3</v>
      </c>
      <c r="AL2425" s="9">
        <v>22.9</v>
      </c>
      <c r="AM2425" s="9">
        <v>5.44</v>
      </c>
      <c r="AN2425" s="9">
        <v>3.28</v>
      </c>
      <c r="AO2425" s="9">
        <v>0.16200000000000001</v>
      </c>
      <c r="AP2425"/>
    </row>
    <row r="2426" spans="1:42" x14ac:dyDescent="0.3">
      <c r="A2426" t="s">
        <v>1829</v>
      </c>
      <c r="B2426" t="s">
        <v>1736</v>
      </c>
      <c r="C2426">
        <v>83</v>
      </c>
      <c r="D2426" s="8">
        <v>1.4003000000000001</v>
      </c>
      <c r="F2426">
        <v>2.895</v>
      </c>
      <c r="G2426" t="s">
        <v>192</v>
      </c>
      <c r="H2426">
        <v>6.9</v>
      </c>
      <c r="I2426" s="4">
        <v>-1.3</v>
      </c>
      <c r="J2426" s="3">
        <v>0.05</v>
      </c>
      <c r="L2426" t="s">
        <v>172</v>
      </c>
      <c r="M2426" t="s">
        <v>171</v>
      </c>
      <c r="N2426" s="3">
        <v>1.6</v>
      </c>
      <c r="O2426" s="3">
        <v>0</v>
      </c>
      <c r="P2426">
        <v>35</v>
      </c>
      <c r="Q2426">
        <v>6.9</v>
      </c>
      <c r="R2426" t="s">
        <v>983</v>
      </c>
      <c r="S2426">
        <v>0.6</v>
      </c>
      <c r="T2426" s="6">
        <f>10^-(14-Q2426)</f>
        <v>7.943282347242818E-8</v>
      </c>
      <c r="U2426" s="6">
        <v>0.2</v>
      </c>
      <c r="V2426" s="6">
        <v>0.15</v>
      </c>
      <c r="W2426" s="6">
        <v>0</v>
      </c>
      <c r="X2426" s="6">
        <v>0.15</v>
      </c>
      <c r="Y2426" t="s">
        <v>171</v>
      </c>
      <c r="Z2426" s="5">
        <v>-190</v>
      </c>
      <c r="AD2426">
        <v>0.16666666666666666</v>
      </c>
      <c r="AE2426">
        <v>135</v>
      </c>
      <c r="AF2426">
        <v>1</v>
      </c>
      <c r="AG2426" s="9">
        <v>1.7000000000000001E-2</v>
      </c>
      <c r="AH2426" s="9">
        <v>1.4</v>
      </c>
      <c r="AI2426" s="9">
        <v>0.49</v>
      </c>
      <c r="AJ2426" s="9">
        <v>2.5999999999999999E-2</v>
      </c>
      <c r="AK2426" s="9">
        <v>1E-3</v>
      </c>
      <c r="AL2426" s="9">
        <v>22.9</v>
      </c>
      <c r="AM2426" s="9">
        <v>5.44</v>
      </c>
      <c r="AN2426" s="9">
        <v>3.28</v>
      </c>
      <c r="AO2426" s="9">
        <v>0.16200000000000001</v>
      </c>
      <c r="AP2426"/>
    </row>
    <row r="2427" spans="1:42" x14ac:dyDescent="0.3">
      <c r="A2427" t="s">
        <v>1866</v>
      </c>
      <c r="B2427" t="s">
        <v>1736</v>
      </c>
      <c r="C2427">
        <v>83</v>
      </c>
      <c r="D2427" s="8">
        <v>1.4461999999999999</v>
      </c>
      <c r="F2427">
        <v>0.48499999999999999</v>
      </c>
      <c r="G2427" t="s">
        <v>192</v>
      </c>
      <c r="H2427">
        <v>8.35</v>
      </c>
      <c r="I2427" s="4">
        <v>-1.3</v>
      </c>
      <c r="J2427" s="3">
        <v>0.05</v>
      </c>
      <c r="L2427" t="s">
        <v>172</v>
      </c>
      <c r="M2427" t="s">
        <v>171</v>
      </c>
      <c r="N2427" s="3">
        <v>1.3</v>
      </c>
      <c r="O2427" s="3">
        <v>0</v>
      </c>
      <c r="P2427">
        <v>55</v>
      </c>
      <c r="Q2427">
        <v>8.35</v>
      </c>
      <c r="R2427" t="s">
        <v>983</v>
      </c>
      <c r="S2427">
        <v>0.6</v>
      </c>
      <c r="T2427" s="6">
        <f>10^-(14-Q2427)</f>
        <v>2.2387211385683329E-6</v>
      </c>
      <c r="U2427" s="6">
        <v>0.2</v>
      </c>
      <c r="V2427" s="6">
        <v>0.15</v>
      </c>
      <c r="W2427" s="6">
        <v>0</v>
      </c>
      <c r="X2427" s="6">
        <v>0.15</v>
      </c>
      <c r="Y2427" t="s">
        <v>171</v>
      </c>
      <c r="Z2427" s="5">
        <v>-130</v>
      </c>
      <c r="AD2427">
        <v>0.16666666666666666</v>
      </c>
      <c r="AE2427">
        <v>628</v>
      </c>
      <c r="AF2427">
        <v>2</v>
      </c>
      <c r="AG2427" s="9">
        <v>1.7000000000000001E-2</v>
      </c>
      <c r="AH2427" s="9">
        <v>1.4</v>
      </c>
      <c r="AI2427" s="9">
        <v>0.49</v>
      </c>
      <c r="AJ2427" s="9">
        <v>2.5999999999999999E-2</v>
      </c>
      <c r="AK2427" s="9">
        <v>1E-3</v>
      </c>
      <c r="AL2427" s="9">
        <v>22.9</v>
      </c>
      <c r="AM2427" s="9">
        <v>5.44</v>
      </c>
      <c r="AN2427" s="9">
        <v>3.28</v>
      </c>
      <c r="AO2427" s="9">
        <v>0.16200000000000001</v>
      </c>
      <c r="AP2427"/>
    </row>
    <row r="2428" spans="1:42" x14ac:dyDescent="0.3">
      <c r="A2428" t="s">
        <v>1881</v>
      </c>
      <c r="B2428" t="s">
        <v>1736</v>
      </c>
      <c r="C2428">
        <v>83</v>
      </c>
      <c r="D2428" s="8">
        <v>1.4461999999999999</v>
      </c>
      <c r="F2428">
        <v>0.48499999999999999</v>
      </c>
      <c r="G2428" t="s">
        <v>192</v>
      </c>
      <c r="H2428">
        <v>8.35</v>
      </c>
      <c r="I2428" s="4">
        <v>-1.3</v>
      </c>
      <c r="J2428" s="3">
        <v>0.05</v>
      </c>
      <c r="L2428" t="s">
        <v>172</v>
      </c>
      <c r="M2428" t="s">
        <v>171</v>
      </c>
      <c r="N2428" s="3">
        <v>1.3</v>
      </c>
      <c r="O2428" s="3">
        <v>0</v>
      </c>
      <c r="P2428">
        <v>55</v>
      </c>
      <c r="Q2428">
        <v>8.35</v>
      </c>
      <c r="R2428" t="s">
        <v>983</v>
      </c>
      <c r="S2428">
        <v>0.6</v>
      </c>
      <c r="T2428" s="6">
        <f>10^-(14-Q2428)</f>
        <v>2.2387211385683329E-6</v>
      </c>
      <c r="U2428" s="6">
        <v>0.2</v>
      </c>
      <c r="V2428" s="6">
        <v>0.15</v>
      </c>
      <c r="W2428" s="6">
        <v>0</v>
      </c>
      <c r="X2428" s="6">
        <v>0.15</v>
      </c>
      <c r="Y2428" t="s">
        <v>171</v>
      </c>
      <c r="Z2428" s="5">
        <v>-130</v>
      </c>
      <c r="AD2428">
        <v>0.16666666666666666</v>
      </c>
      <c r="AE2428">
        <v>611</v>
      </c>
      <c r="AF2428">
        <v>2</v>
      </c>
      <c r="AG2428" s="9">
        <v>1.7000000000000001E-2</v>
      </c>
      <c r="AH2428" s="9">
        <v>1.4</v>
      </c>
      <c r="AI2428" s="9">
        <v>0.49</v>
      </c>
      <c r="AJ2428" s="9">
        <v>2.5999999999999999E-2</v>
      </c>
      <c r="AK2428" s="9">
        <v>1E-3</v>
      </c>
      <c r="AL2428" s="9">
        <v>22.9</v>
      </c>
      <c r="AM2428" s="9">
        <v>5.44</v>
      </c>
      <c r="AN2428" s="9">
        <v>3.28</v>
      </c>
      <c r="AO2428" s="9">
        <v>0.16200000000000001</v>
      </c>
      <c r="AP2428"/>
    </row>
    <row r="2429" spans="1:42" x14ac:dyDescent="0.3">
      <c r="A2429" t="s">
        <v>1748</v>
      </c>
      <c r="B2429" t="s">
        <v>1736</v>
      </c>
      <c r="C2429">
        <v>83</v>
      </c>
      <c r="D2429" s="8">
        <v>1.4661999999999999</v>
      </c>
      <c r="E2429">
        <v>600</v>
      </c>
      <c r="G2429" t="s">
        <v>192</v>
      </c>
      <c r="H2429">
        <v>8.35</v>
      </c>
      <c r="I2429" s="4">
        <v>-1.3</v>
      </c>
      <c r="J2429" s="3">
        <v>0.05</v>
      </c>
      <c r="L2429" t="s">
        <v>172</v>
      </c>
      <c r="M2429" t="s">
        <v>171</v>
      </c>
      <c r="N2429" s="3">
        <v>1.3</v>
      </c>
      <c r="O2429" s="3">
        <v>0</v>
      </c>
      <c r="P2429">
        <v>35</v>
      </c>
      <c r="Q2429">
        <v>8.35</v>
      </c>
      <c r="R2429" t="s">
        <v>983</v>
      </c>
      <c r="S2429">
        <v>0.6</v>
      </c>
      <c r="T2429" s="6">
        <f>10^-(14-Q2429)</f>
        <v>2.2387211385683329E-6</v>
      </c>
      <c r="U2429" s="6">
        <v>0.2</v>
      </c>
      <c r="V2429" s="6">
        <v>0.15</v>
      </c>
      <c r="W2429" s="6">
        <v>0</v>
      </c>
      <c r="X2429" s="6">
        <v>0.15</v>
      </c>
      <c r="Y2429" t="s">
        <v>171</v>
      </c>
      <c r="AD2429">
        <v>0.16666666666666666</v>
      </c>
      <c r="AE2429">
        <v>666</v>
      </c>
      <c r="AF2429">
        <v>2</v>
      </c>
      <c r="AG2429" s="9">
        <v>2.5000000000000001E-2</v>
      </c>
      <c r="AH2429" s="9">
        <v>2.83</v>
      </c>
      <c r="AI2429" s="9">
        <v>0.33</v>
      </c>
      <c r="AJ2429" s="9">
        <v>2.4E-2</v>
      </c>
      <c r="AK2429" s="9">
        <v>1E-3</v>
      </c>
      <c r="AL2429" s="9">
        <v>23.9</v>
      </c>
      <c r="AM2429" s="9">
        <v>3.7</v>
      </c>
      <c r="AN2429" s="9">
        <v>1.56</v>
      </c>
      <c r="AO2429" s="9">
        <v>0.25700000000000001</v>
      </c>
      <c r="AP2429"/>
    </row>
    <row r="2430" spans="1:42" x14ac:dyDescent="0.3">
      <c r="A2430" t="s">
        <v>1763</v>
      </c>
      <c r="B2430" t="s">
        <v>1736</v>
      </c>
      <c r="C2430">
        <v>83</v>
      </c>
      <c r="D2430" s="8">
        <v>1.4661999999999999</v>
      </c>
      <c r="E2430">
        <v>600</v>
      </c>
      <c r="G2430" t="s">
        <v>192</v>
      </c>
      <c r="H2430">
        <v>8.35</v>
      </c>
      <c r="I2430" s="4">
        <v>-1.3</v>
      </c>
      <c r="J2430" s="3">
        <v>0.05</v>
      </c>
      <c r="L2430" t="s">
        <v>172</v>
      </c>
      <c r="M2430" t="s">
        <v>171</v>
      </c>
      <c r="N2430" s="3">
        <v>1.3</v>
      </c>
      <c r="O2430" s="3">
        <v>0</v>
      </c>
      <c r="P2430">
        <v>35</v>
      </c>
      <c r="Q2430">
        <v>8.35</v>
      </c>
      <c r="R2430" t="s">
        <v>983</v>
      </c>
      <c r="S2430">
        <v>0.6</v>
      </c>
      <c r="T2430" s="6">
        <f>10^-(14-Q2430)</f>
        <v>2.2387211385683329E-6</v>
      </c>
      <c r="U2430" s="6">
        <v>0.2</v>
      </c>
      <c r="V2430" s="6">
        <v>0.15</v>
      </c>
      <c r="W2430" s="6">
        <v>0</v>
      </c>
      <c r="X2430" s="6">
        <v>0.15</v>
      </c>
      <c r="Y2430" t="s">
        <v>171</v>
      </c>
      <c r="Z2430" s="11"/>
      <c r="AD2430">
        <v>0.16666666666666666</v>
      </c>
      <c r="AE2430">
        <v>657</v>
      </c>
      <c r="AF2430">
        <v>2</v>
      </c>
      <c r="AG2430" s="9">
        <v>2.5000000000000001E-2</v>
      </c>
      <c r="AH2430" s="9">
        <v>2.83</v>
      </c>
      <c r="AI2430" s="9">
        <v>0.33</v>
      </c>
      <c r="AJ2430" s="9">
        <v>2.4E-2</v>
      </c>
      <c r="AK2430" s="9">
        <v>1E-3</v>
      </c>
      <c r="AL2430" s="9">
        <v>23.9</v>
      </c>
      <c r="AM2430" s="9">
        <v>3.7</v>
      </c>
      <c r="AN2430" s="9">
        <v>1.56</v>
      </c>
      <c r="AO2430" s="9">
        <v>0.25700000000000001</v>
      </c>
      <c r="AP2430"/>
    </row>
    <row r="2431" spans="1:42" x14ac:dyDescent="0.3">
      <c r="A2431" t="s">
        <v>1778</v>
      </c>
      <c r="B2431" t="s">
        <v>1736</v>
      </c>
      <c r="C2431">
        <v>83</v>
      </c>
      <c r="D2431" s="8">
        <v>1.4661999999999999</v>
      </c>
      <c r="F2431">
        <v>2.9649999999999999</v>
      </c>
      <c r="G2431" t="s">
        <v>192</v>
      </c>
      <c r="H2431">
        <v>8.35</v>
      </c>
      <c r="I2431" s="4">
        <v>-1.3</v>
      </c>
      <c r="J2431" s="3">
        <v>0.05</v>
      </c>
      <c r="L2431" t="s">
        <v>172</v>
      </c>
      <c r="M2431" t="s">
        <v>171</v>
      </c>
      <c r="N2431" s="3">
        <v>1.3</v>
      </c>
      <c r="O2431" s="3">
        <v>0</v>
      </c>
      <c r="P2431">
        <v>35</v>
      </c>
      <c r="Q2431">
        <v>8.35</v>
      </c>
      <c r="R2431" t="s">
        <v>983</v>
      </c>
      <c r="S2431">
        <v>0.6</v>
      </c>
      <c r="T2431" s="6">
        <f>10^-(14-Q2431)</f>
        <v>2.2387211385683329E-6</v>
      </c>
      <c r="U2431" s="6">
        <v>0.2</v>
      </c>
      <c r="V2431" s="6">
        <v>0.15</v>
      </c>
      <c r="W2431" s="6">
        <v>0</v>
      </c>
      <c r="X2431" s="6">
        <v>0.15</v>
      </c>
      <c r="Y2431" t="s">
        <v>171</v>
      </c>
      <c r="Z2431" s="5">
        <v>-120</v>
      </c>
      <c r="AD2431">
        <v>0.16666666666666666</v>
      </c>
      <c r="AE2431">
        <v>670</v>
      </c>
      <c r="AF2431">
        <v>2</v>
      </c>
      <c r="AG2431" s="9">
        <v>2.5000000000000001E-2</v>
      </c>
      <c r="AH2431" s="9">
        <v>2.83</v>
      </c>
      <c r="AI2431" s="9">
        <v>0.33</v>
      </c>
      <c r="AJ2431" s="9">
        <v>2.4E-2</v>
      </c>
      <c r="AK2431" s="9">
        <v>1E-3</v>
      </c>
      <c r="AL2431" s="9">
        <v>23.9</v>
      </c>
      <c r="AM2431" s="9">
        <v>3.7</v>
      </c>
      <c r="AN2431" s="9">
        <v>1.56</v>
      </c>
      <c r="AO2431" s="9">
        <v>0.25700000000000001</v>
      </c>
      <c r="AP2431"/>
    </row>
    <row r="2432" spans="1:42" x14ac:dyDescent="0.3">
      <c r="A2432" t="s">
        <v>1793</v>
      </c>
      <c r="B2432" t="s">
        <v>1736</v>
      </c>
      <c r="C2432">
        <v>83</v>
      </c>
      <c r="D2432" s="8">
        <v>1.4661999999999999</v>
      </c>
      <c r="F2432">
        <v>2.9649999999999999</v>
      </c>
      <c r="G2432" t="s">
        <v>192</v>
      </c>
      <c r="H2432">
        <v>8.35</v>
      </c>
      <c r="I2432" s="4">
        <v>-1.3</v>
      </c>
      <c r="J2432" s="3">
        <v>0.05</v>
      </c>
      <c r="L2432" t="s">
        <v>172</v>
      </c>
      <c r="M2432" t="s">
        <v>171</v>
      </c>
      <c r="N2432" s="3">
        <v>1.3</v>
      </c>
      <c r="O2432" s="3">
        <v>0</v>
      </c>
      <c r="P2432">
        <v>35</v>
      </c>
      <c r="Q2432">
        <v>8.35</v>
      </c>
      <c r="R2432" t="s">
        <v>983</v>
      </c>
      <c r="S2432">
        <v>0.6</v>
      </c>
      <c r="T2432" s="6">
        <f>10^-(14-Q2432)</f>
        <v>2.2387211385683329E-6</v>
      </c>
      <c r="U2432" s="6">
        <v>0.2</v>
      </c>
      <c r="V2432" s="6">
        <v>0.15</v>
      </c>
      <c r="W2432" s="6">
        <v>0</v>
      </c>
      <c r="X2432" s="6">
        <v>0.15</v>
      </c>
      <c r="Y2432" t="s">
        <v>171</v>
      </c>
      <c r="Z2432" s="5">
        <v>-120</v>
      </c>
      <c r="AD2432">
        <v>0.16666666666666666</v>
      </c>
      <c r="AE2432">
        <v>671</v>
      </c>
      <c r="AF2432">
        <v>2</v>
      </c>
      <c r="AG2432" s="9">
        <v>2.5000000000000001E-2</v>
      </c>
      <c r="AH2432" s="9">
        <v>2.83</v>
      </c>
      <c r="AI2432" s="9">
        <v>0.33</v>
      </c>
      <c r="AJ2432" s="9">
        <v>2.4E-2</v>
      </c>
      <c r="AK2432" s="9">
        <v>1E-3</v>
      </c>
      <c r="AL2432" s="9">
        <v>23.9</v>
      </c>
      <c r="AM2432" s="9">
        <v>3.7</v>
      </c>
      <c r="AN2432" s="9">
        <v>1.56</v>
      </c>
      <c r="AO2432" s="9">
        <v>0.25700000000000001</v>
      </c>
      <c r="AP2432"/>
    </row>
    <row r="2433" spans="1:42" x14ac:dyDescent="0.3">
      <c r="A2433" t="s">
        <v>1808</v>
      </c>
      <c r="B2433" t="s">
        <v>1736</v>
      </c>
      <c r="C2433">
        <v>83</v>
      </c>
      <c r="D2433" s="8">
        <v>1.4661999999999999</v>
      </c>
      <c r="E2433">
        <v>600</v>
      </c>
      <c r="G2433" t="s">
        <v>192</v>
      </c>
      <c r="H2433">
        <v>8.35</v>
      </c>
      <c r="I2433" s="4">
        <v>-1.3</v>
      </c>
      <c r="J2433" s="3">
        <v>0.05</v>
      </c>
      <c r="L2433" t="s">
        <v>172</v>
      </c>
      <c r="M2433" t="s">
        <v>171</v>
      </c>
      <c r="N2433" s="3">
        <v>1.3</v>
      </c>
      <c r="O2433" s="3">
        <v>0</v>
      </c>
      <c r="P2433">
        <v>55</v>
      </c>
      <c r="Q2433">
        <v>8.35</v>
      </c>
      <c r="R2433" t="s">
        <v>983</v>
      </c>
      <c r="S2433">
        <v>0.6</v>
      </c>
      <c r="T2433" s="6">
        <f>10^-(14-Q2433)</f>
        <v>2.2387211385683329E-6</v>
      </c>
      <c r="U2433" s="6">
        <v>0.2</v>
      </c>
      <c r="V2433" s="6">
        <v>0.15</v>
      </c>
      <c r="W2433" s="6">
        <v>0</v>
      </c>
      <c r="X2433" s="6">
        <v>0.15</v>
      </c>
      <c r="Y2433" t="s">
        <v>171</v>
      </c>
      <c r="AD2433">
        <v>0.16666666666666666</v>
      </c>
      <c r="AE2433">
        <v>503</v>
      </c>
      <c r="AF2433">
        <v>1</v>
      </c>
      <c r="AG2433" s="9">
        <v>2.5000000000000001E-2</v>
      </c>
      <c r="AH2433" s="9">
        <v>2.83</v>
      </c>
      <c r="AI2433" s="9">
        <v>0.33</v>
      </c>
      <c r="AJ2433" s="9">
        <v>2.4E-2</v>
      </c>
      <c r="AK2433" s="9">
        <v>1E-3</v>
      </c>
      <c r="AL2433" s="9">
        <v>23.9</v>
      </c>
      <c r="AM2433" s="9">
        <v>3.7</v>
      </c>
      <c r="AN2433" s="9">
        <v>1.56</v>
      </c>
      <c r="AO2433" s="9">
        <v>0.25700000000000001</v>
      </c>
      <c r="AP2433"/>
    </row>
    <row r="2434" spans="1:42" x14ac:dyDescent="0.3">
      <c r="A2434" t="s">
        <v>1823</v>
      </c>
      <c r="B2434" t="s">
        <v>1736</v>
      </c>
      <c r="C2434">
        <v>83</v>
      </c>
      <c r="D2434" s="8">
        <v>1.4661999999999999</v>
      </c>
      <c r="E2434">
        <v>600</v>
      </c>
      <c r="G2434" t="s">
        <v>192</v>
      </c>
      <c r="H2434">
        <v>8.35</v>
      </c>
      <c r="I2434" s="4">
        <v>-1.3</v>
      </c>
      <c r="J2434" s="3">
        <v>0.05</v>
      </c>
      <c r="L2434" t="s">
        <v>172</v>
      </c>
      <c r="M2434" t="s">
        <v>171</v>
      </c>
      <c r="N2434" s="3">
        <v>1.3</v>
      </c>
      <c r="O2434" s="3">
        <v>0</v>
      </c>
      <c r="P2434">
        <v>55</v>
      </c>
      <c r="Q2434">
        <v>8.35</v>
      </c>
      <c r="R2434" t="s">
        <v>983</v>
      </c>
      <c r="S2434">
        <v>0.6</v>
      </c>
      <c r="T2434" s="6">
        <f>10^-(14-Q2434)</f>
        <v>2.2387211385683329E-6</v>
      </c>
      <c r="U2434" s="6">
        <v>0.2</v>
      </c>
      <c r="V2434" s="6">
        <v>0.15</v>
      </c>
      <c r="W2434" s="6">
        <v>0</v>
      </c>
      <c r="X2434" s="6">
        <v>0.15</v>
      </c>
      <c r="Y2434" t="s">
        <v>171</v>
      </c>
      <c r="AD2434">
        <v>0.16666666666666666</v>
      </c>
      <c r="AE2434">
        <v>551</v>
      </c>
      <c r="AF2434">
        <v>1</v>
      </c>
      <c r="AG2434" s="9">
        <v>2.5000000000000001E-2</v>
      </c>
      <c r="AH2434" s="9">
        <v>2.83</v>
      </c>
      <c r="AI2434" s="9">
        <v>0.33</v>
      </c>
      <c r="AJ2434" s="9">
        <v>2.4E-2</v>
      </c>
      <c r="AK2434" s="9">
        <v>1E-3</v>
      </c>
      <c r="AL2434" s="9">
        <v>23.9</v>
      </c>
      <c r="AM2434" s="9">
        <v>3.7</v>
      </c>
      <c r="AN2434" s="9">
        <v>1.56</v>
      </c>
      <c r="AO2434" s="9">
        <v>0.25700000000000001</v>
      </c>
      <c r="AP2434"/>
    </row>
    <row r="2435" spans="1:42" x14ac:dyDescent="0.3">
      <c r="A2435" t="s">
        <v>1845</v>
      </c>
      <c r="B2435" t="s">
        <v>1736</v>
      </c>
      <c r="C2435">
        <v>83</v>
      </c>
      <c r="D2435" s="8">
        <v>1.4661999999999999</v>
      </c>
      <c r="F2435">
        <v>2.9649999999999999</v>
      </c>
      <c r="G2435" t="s">
        <v>192</v>
      </c>
      <c r="H2435">
        <v>6.9</v>
      </c>
      <c r="I2435" s="4">
        <v>-1.3</v>
      </c>
      <c r="J2435" s="3">
        <v>0.05</v>
      </c>
      <c r="L2435" t="s">
        <v>172</v>
      </c>
      <c r="M2435" t="s">
        <v>171</v>
      </c>
      <c r="N2435" s="3">
        <v>1.6</v>
      </c>
      <c r="O2435" s="3">
        <v>0</v>
      </c>
      <c r="P2435">
        <v>55</v>
      </c>
      <c r="Q2435">
        <v>6.9</v>
      </c>
      <c r="R2435" t="s">
        <v>983</v>
      </c>
      <c r="S2435">
        <v>0.6</v>
      </c>
      <c r="T2435" s="6">
        <f>10^-(14-Q2435)</f>
        <v>7.943282347242818E-8</v>
      </c>
      <c r="U2435" s="6">
        <v>0.2</v>
      </c>
      <c r="V2435" s="6">
        <v>0.15</v>
      </c>
      <c r="W2435" s="6">
        <v>0</v>
      </c>
      <c r="X2435" s="6">
        <v>0.15</v>
      </c>
      <c r="Y2435" t="s">
        <v>171</v>
      </c>
      <c r="Z2435" s="5">
        <v>-160</v>
      </c>
      <c r="AD2435">
        <v>0.16666666666666666</v>
      </c>
      <c r="AE2435">
        <v>275</v>
      </c>
      <c r="AF2435">
        <v>1</v>
      </c>
      <c r="AG2435" s="9">
        <v>2.5000000000000001E-2</v>
      </c>
      <c r="AH2435" s="9">
        <v>2.83</v>
      </c>
      <c r="AI2435" s="9">
        <v>0.33</v>
      </c>
      <c r="AJ2435" s="9">
        <v>2.4E-2</v>
      </c>
      <c r="AK2435" s="9">
        <v>1E-3</v>
      </c>
      <c r="AL2435" s="9">
        <v>23.9</v>
      </c>
      <c r="AM2435" s="9">
        <v>3.7</v>
      </c>
      <c r="AN2435" s="9">
        <v>1.56</v>
      </c>
      <c r="AO2435" s="9">
        <v>0.25700000000000001</v>
      </c>
      <c r="AP2435"/>
    </row>
    <row r="2436" spans="1:42" x14ac:dyDescent="0.3">
      <c r="A2436" t="s">
        <v>1856</v>
      </c>
      <c r="B2436" t="s">
        <v>1736</v>
      </c>
      <c r="C2436">
        <v>83</v>
      </c>
      <c r="D2436" s="8">
        <v>1.4661999999999999</v>
      </c>
      <c r="F2436">
        <v>2.9649999999999999</v>
      </c>
      <c r="G2436" t="s">
        <v>192</v>
      </c>
      <c r="H2436">
        <v>6.9</v>
      </c>
      <c r="I2436" s="4">
        <v>-1.3</v>
      </c>
      <c r="J2436" s="3">
        <v>0.05</v>
      </c>
      <c r="L2436" t="s">
        <v>172</v>
      </c>
      <c r="M2436" t="s">
        <v>171</v>
      </c>
      <c r="N2436" s="3">
        <v>1.6</v>
      </c>
      <c r="O2436" s="3">
        <v>0</v>
      </c>
      <c r="P2436">
        <v>55</v>
      </c>
      <c r="Q2436">
        <v>6.9</v>
      </c>
      <c r="R2436" t="s">
        <v>983</v>
      </c>
      <c r="S2436">
        <v>0.6</v>
      </c>
      <c r="T2436" s="6">
        <f>10^-(14-Q2436)</f>
        <v>7.943282347242818E-8</v>
      </c>
      <c r="U2436" s="6">
        <v>0.2</v>
      </c>
      <c r="V2436" s="6">
        <v>0.15</v>
      </c>
      <c r="W2436" s="6">
        <v>0</v>
      </c>
      <c r="X2436" s="6">
        <v>0.15</v>
      </c>
      <c r="Y2436" t="s">
        <v>171</v>
      </c>
      <c r="Z2436" s="5">
        <v>-160</v>
      </c>
      <c r="AD2436">
        <v>0.16666666666666666</v>
      </c>
      <c r="AE2436">
        <v>251</v>
      </c>
      <c r="AF2436">
        <v>1</v>
      </c>
      <c r="AG2436" s="9">
        <v>2.5000000000000001E-2</v>
      </c>
      <c r="AH2436" s="9">
        <v>2.83</v>
      </c>
      <c r="AI2436" s="9">
        <v>0.33</v>
      </c>
      <c r="AJ2436" s="9">
        <v>2.4E-2</v>
      </c>
      <c r="AK2436" s="9">
        <v>1E-3</v>
      </c>
      <c r="AL2436" s="9">
        <v>23.9</v>
      </c>
      <c r="AM2436" s="9">
        <v>3.7</v>
      </c>
      <c r="AN2436" s="9">
        <v>1.56</v>
      </c>
      <c r="AO2436" s="9">
        <v>0.25700000000000001</v>
      </c>
      <c r="AP2436"/>
    </row>
    <row r="2437" spans="1:42" x14ac:dyDescent="0.3">
      <c r="A2437" t="s">
        <v>1861</v>
      </c>
      <c r="B2437" t="s">
        <v>1736</v>
      </c>
      <c r="C2437">
        <v>83</v>
      </c>
      <c r="D2437" s="8">
        <v>1.4661999999999999</v>
      </c>
      <c r="F2437">
        <v>2.9649999999999999</v>
      </c>
      <c r="G2437" t="s">
        <v>192</v>
      </c>
      <c r="H2437">
        <v>6.9</v>
      </c>
      <c r="I2437" s="4">
        <v>-1.3</v>
      </c>
      <c r="J2437" s="3">
        <v>0.05</v>
      </c>
      <c r="L2437" t="s">
        <v>172</v>
      </c>
      <c r="M2437" t="s">
        <v>171</v>
      </c>
      <c r="N2437" s="3">
        <v>1.6</v>
      </c>
      <c r="O2437" s="3">
        <v>0</v>
      </c>
      <c r="P2437">
        <v>55</v>
      </c>
      <c r="Q2437">
        <v>6.9</v>
      </c>
      <c r="R2437" t="s">
        <v>983</v>
      </c>
      <c r="S2437">
        <v>0.6</v>
      </c>
      <c r="T2437" s="6">
        <f>10^-(14-Q2437)</f>
        <v>7.943282347242818E-8</v>
      </c>
      <c r="U2437" s="6">
        <v>0.2</v>
      </c>
      <c r="V2437" s="6">
        <v>0.15</v>
      </c>
      <c r="W2437" s="6">
        <v>0</v>
      </c>
      <c r="X2437" s="6">
        <v>0.15</v>
      </c>
      <c r="Y2437" t="s">
        <v>171</v>
      </c>
      <c r="Z2437" s="5">
        <v>-160</v>
      </c>
      <c r="AD2437">
        <v>0.16666666666666666</v>
      </c>
      <c r="AE2437">
        <v>431</v>
      </c>
      <c r="AF2437">
        <v>1</v>
      </c>
      <c r="AG2437" s="9">
        <v>2.5000000000000001E-2</v>
      </c>
      <c r="AH2437" s="9">
        <v>2.83</v>
      </c>
      <c r="AI2437" s="9">
        <v>0.33</v>
      </c>
      <c r="AJ2437" s="9">
        <v>2.4E-2</v>
      </c>
      <c r="AK2437" s="9">
        <v>1E-3</v>
      </c>
      <c r="AL2437" s="9">
        <v>23.9</v>
      </c>
      <c r="AM2437" s="9">
        <v>3.7</v>
      </c>
      <c r="AN2437" s="9">
        <v>1.56</v>
      </c>
      <c r="AO2437" s="9">
        <v>0.25700000000000001</v>
      </c>
      <c r="AP2437"/>
    </row>
    <row r="2438" spans="1:42" x14ac:dyDescent="0.3">
      <c r="A2438" t="s">
        <v>1875</v>
      </c>
      <c r="B2438" t="s">
        <v>1736</v>
      </c>
      <c r="C2438">
        <v>83</v>
      </c>
      <c r="D2438" s="8">
        <v>1.4661999999999999</v>
      </c>
      <c r="F2438">
        <v>2.9649999999999999</v>
      </c>
      <c r="G2438" t="s">
        <v>192</v>
      </c>
      <c r="H2438">
        <v>8.35</v>
      </c>
      <c r="I2438" s="4">
        <v>-1.3</v>
      </c>
      <c r="J2438" s="3">
        <v>0.05</v>
      </c>
      <c r="L2438" t="s">
        <v>172</v>
      </c>
      <c r="M2438" t="s">
        <v>171</v>
      </c>
      <c r="N2438" s="3">
        <v>1.3</v>
      </c>
      <c r="O2438" s="3">
        <v>0</v>
      </c>
      <c r="P2438">
        <v>55</v>
      </c>
      <c r="Q2438">
        <v>8.35</v>
      </c>
      <c r="R2438" t="s">
        <v>983</v>
      </c>
      <c r="S2438">
        <v>0.6</v>
      </c>
      <c r="T2438" s="6">
        <f>10^-(14-Q2438)</f>
        <v>2.2387211385683329E-6</v>
      </c>
      <c r="U2438" s="6">
        <v>0.2</v>
      </c>
      <c r="V2438" s="6">
        <v>0.15</v>
      </c>
      <c r="W2438" s="6">
        <v>0</v>
      </c>
      <c r="X2438" s="6">
        <v>0.15</v>
      </c>
      <c r="Y2438" t="s">
        <v>171</v>
      </c>
      <c r="Z2438" s="5">
        <v>-110</v>
      </c>
      <c r="AD2438">
        <v>0.16666666666666666</v>
      </c>
      <c r="AE2438">
        <v>421</v>
      </c>
      <c r="AF2438">
        <v>1</v>
      </c>
      <c r="AG2438" s="9">
        <v>2.5000000000000001E-2</v>
      </c>
      <c r="AH2438" s="9">
        <v>2.83</v>
      </c>
      <c r="AI2438" s="9">
        <v>0.33</v>
      </c>
      <c r="AJ2438" s="9">
        <v>2.4E-2</v>
      </c>
      <c r="AK2438" s="9">
        <v>1E-3</v>
      </c>
      <c r="AL2438" s="9">
        <v>23.9</v>
      </c>
      <c r="AM2438" s="9">
        <v>3.7</v>
      </c>
      <c r="AN2438" s="9">
        <v>1.56</v>
      </c>
      <c r="AO2438" s="9">
        <v>0.25700000000000001</v>
      </c>
      <c r="AP2438"/>
    </row>
    <row r="2439" spans="1:42" x14ac:dyDescent="0.3">
      <c r="A2439" t="s">
        <v>1890</v>
      </c>
      <c r="B2439" t="s">
        <v>1736</v>
      </c>
      <c r="C2439">
        <v>83</v>
      </c>
      <c r="D2439" s="8">
        <v>1.4661999999999999</v>
      </c>
      <c r="F2439">
        <v>2.9649999999999999</v>
      </c>
      <c r="G2439" t="s">
        <v>192</v>
      </c>
      <c r="H2439">
        <v>8.35</v>
      </c>
      <c r="I2439" s="4">
        <v>-1.3</v>
      </c>
      <c r="J2439" s="3">
        <v>0.05</v>
      </c>
      <c r="L2439" t="s">
        <v>172</v>
      </c>
      <c r="M2439" t="s">
        <v>171</v>
      </c>
      <c r="N2439" s="3">
        <v>1.3</v>
      </c>
      <c r="O2439" s="3">
        <v>0</v>
      </c>
      <c r="P2439">
        <v>55</v>
      </c>
      <c r="Q2439">
        <v>8.35</v>
      </c>
      <c r="R2439" t="s">
        <v>983</v>
      </c>
      <c r="S2439">
        <v>0.6</v>
      </c>
      <c r="T2439" s="6">
        <f>10^-(14-Q2439)</f>
        <v>2.2387211385683329E-6</v>
      </c>
      <c r="U2439" s="6">
        <v>0.2</v>
      </c>
      <c r="V2439" s="6">
        <v>0.15</v>
      </c>
      <c r="W2439" s="6">
        <v>0</v>
      </c>
      <c r="X2439" s="6">
        <v>0.15</v>
      </c>
      <c r="Y2439" t="s">
        <v>171</v>
      </c>
      <c r="Z2439" s="5">
        <v>-110</v>
      </c>
      <c r="AD2439">
        <v>0.16666666666666666</v>
      </c>
      <c r="AE2439">
        <v>420</v>
      </c>
      <c r="AF2439">
        <v>1</v>
      </c>
      <c r="AG2439" s="9">
        <v>2.5000000000000001E-2</v>
      </c>
      <c r="AH2439" s="9">
        <v>2.83</v>
      </c>
      <c r="AI2439" s="9">
        <v>0.33</v>
      </c>
      <c r="AJ2439" s="9">
        <v>2.4E-2</v>
      </c>
      <c r="AK2439" s="9">
        <v>1E-3</v>
      </c>
      <c r="AL2439" s="9">
        <v>23.9</v>
      </c>
      <c r="AM2439" s="9">
        <v>3.7</v>
      </c>
      <c r="AN2439" s="9">
        <v>1.56</v>
      </c>
      <c r="AO2439" s="9">
        <v>0.25700000000000001</v>
      </c>
      <c r="AP2439"/>
    </row>
  </sheetData>
  <sortState xmlns:xlrd2="http://schemas.microsoft.com/office/spreadsheetml/2017/richdata2" ref="A2:AO2443">
    <sortCondition ref="B2:B244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Soccol</dc:creator>
  <cp:lastModifiedBy>Dimitri Soccol</cp:lastModifiedBy>
  <dcterms:created xsi:type="dcterms:W3CDTF">2022-06-29T09:43:33Z</dcterms:created>
  <dcterms:modified xsi:type="dcterms:W3CDTF">2023-03-07T07:46:12Z</dcterms:modified>
</cp:coreProperties>
</file>